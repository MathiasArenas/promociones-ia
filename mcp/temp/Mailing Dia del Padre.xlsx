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enas\Desktop\Globant\Test\solicitudes\"/>
    </mc:Choice>
  </mc:AlternateContent>
  <xr:revisionPtr revIDLastSave="0" documentId="13_ncr:1_{86C3C203-C439-4A21-AF29-B7A41CF2EF06}" xr6:coauthVersionLast="47" xr6:coauthVersionMax="47" xr10:uidLastSave="{00000000-0000-0000-0000-000000000000}"/>
  <bookViews>
    <workbookView xWindow="20370" yWindow="-120" windowWidth="29040" windowHeight="15840" tabRatio="603" xr2:uid="{15C60FD6-1EF2-4C6A-8062-AC2659E15F5C}"/>
  </bookViews>
  <sheets>
    <sheet name="Planilla" sheetId="15" r:id="rId1"/>
    <sheet name="Biblia" sheetId="14" r:id="rId2"/>
    <sheet name="Planilla (2)" sheetId="13" state="hidden" r:id="rId3"/>
    <sheet name="Datos base" sheetId="2" r:id="rId4"/>
  </sheets>
  <definedNames>
    <definedName name="_xlnm._FilterDatabase" localSheetId="3" hidden="1">'Datos base'!$A$2:$L$2</definedName>
    <definedName name="_xlnm._FilterDatabase" localSheetId="0" hidden="1">Planilla!$B$12:$N$1375</definedName>
    <definedName name="_xlnm._FilterDatabase" localSheetId="2" hidden="1">'Planilla (2)'!$B$12:$N$1534</definedName>
    <definedName name="Area" comment="Lista de Areas" localSheetId="3">'Datos base'!$A$2+'Datos base'!$A$3:$A$1048576</definedName>
    <definedName name="Autoliquidables">#REF!</definedName>
    <definedName name="B2B">#REF!</definedName>
    <definedName name="CanjeDePuntos">#REF!</definedName>
    <definedName name="ClientesExistentes">#REF!</definedName>
    <definedName name="ClientesInactivos">#REF!</definedName>
    <definedName name="ClientesNuevos">#REF!</definedName>
    <definedName name="ClubDelVino">#REF!</definedName>
    <definedName name="DescuentoManual">#REF!</definedName>
    <definedName name="Empleados">#REF!</definedName>
    <definedName name="EventoExterno">'Datos base'!$H$7</definedName>
    <definedName name="FormatoPromocion">'Datos base'!$L$3:$L$10</definedName>
    <definedName name="Imperdibles">#REF!</definedName>
    <definedName name="Mailing">#REF!</definedName>
    <definedName name="OfertaInterna">#REF!</definedName>
    <definedName name="TipoEvento">'Datos base'!$H$3:$H$14</definedName>
    <definedName name="Web">#REF!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5" l="1"/>
  <c r="C15" i="14"/>
  <c r="B23" i="14"/>
  <c r="B22" i="14"/>
  <c r="B20" i="14"/>
  <c r="B15" i="14"/>
  <c r="B14" i="14"/>
  <c r="O27" i="14"/>
  <c r="P27" i="14" s="1"/>
  <c r="E33" i="14"/>
  <c r="F32" i="14"/>
  <c r="F31" i="14"/>
  <c r="F30" i="14"/>
  <c r="F29" i="14"/>
  <c r="I27" i="14"/>
  <c r="J27" i="14" s="1"/>
  <c r="F28" i="14"/>
  <c r="T26" i="14"/>
  <c r="U26" i="14" s="1"/>
  <c r="O26" i="14"/>
  <c r="P26" i="14" s="1"/>
  <c r="J26" i="14"/>
  <c r="I26" i="14"/>
  <c r="F27" i="14"/>
  <c r="U25" i="14"/>
  <c r="T25" i="14"/>
  <c r="O25" i="14"/>
  <c r="P25" i="14" s="1"/>
  <c r="J25" i="14"/>
  <c r="I25" i="14"/>
  <c r="T24" i="14"/>
  <c r="U24" i="14" s="1"/>
  <c r="P24" i="14"/>
  <c r="O24" i="14"/>
  <c r="J24" i="14"/>
  <c r="I24" i="14"/>
  <c r="T23" i="14"/>
  <c r="U23" i="14" s="1"/>
  <c r="O23" i="14"/>
  <c r="P23" i="14" s="1"/>
  <c r="I23" i="14"/>
  <c r="J23" i="14" s="1"/>
  <c r="T22" i="14"/>
  <c r="U22" i="14" s="1"/>
  <c r="P22" i="14"/>
  <c r="O22" i="14"/>
  <c r="J22" i="14"/>
  <c r="I22" i="14"/>
  <c r="I28" i="14" s="1"/>
  <c r="T21" i="14"/>
  <c r="U21" i="14" s="1"/>
  <c r="O21" i="14"/>
  <c r="P21" i="14" s="1"/>
  <c r="K19" i="14"/>
  <c r="J19" i="14"/>
  <c r="K18" i="14"/>
  <c r="J18" i="14"/>
  <c r="M17" i="14"/>
  <c r="L17" i="14"/>
  <c r="K14" i="14"/>
  <c r="J14" i="14"/>
  <c r="L10" i="14"/>
  <c r="B10" i="14"/>
  <c r="B8" i="14"/>
  <c r="D7" i="14"/>
  <c r="N4" i="14"/>
  <c r="M4" i="14"/>
  <c r="L4" i="14"/>
  <c r="C4" i="14"/>
  <c r="D4" i="14" s="1"/>
  <c r="F33" i="14" l="1"/>
  <c r="E4" i="14"/>
  <c r="F4" i="14" s="1"/>
  <c r="O4" i="14"/>
  <c r="P4" i="14" s="1"/>
  <c r="P5" i="14" s="1"/>
  <c r="P6" i="14" s="1"/>
  <c r="R6" i="14" s="1"/>
  <c r="M10" i="14"/>
  <c r="N10" i="14" s="1"/>
  <c r="E34" i="14"/>
  <c r="O10" i="14" l="1"/>
  <c r="P10" i="14" s="1"/>
  <c r="P11" i="14" s="1"/>
  <c r="P12" i="14" s="1"/>
  <c r="P14" i="14" s="1"/>
  <c r="Q14" i="14" s="1"/>
  <c r="G4" i="14"/>
  <c r="E35" i="14"/>
  <c r="E36" i="14" s="1"/>
  <c r="G36" i="14" l="1"/>
  <c r="E37" i="14"/>
  <c r="H4" i="14"/>
  <c r="H6" i="14" s="1"/>
  <c r="G7" i="14" s="1"/>
  <c r="G5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Nubia Navarro</author>
  </authors>
  <commentList>
    <comment ref="L12" authorId="0" shapeId="0" xr:uid="{3665D6E2-96CB-42E3-AE10-D85BC3CA6F59}">
      <text>
        <r>
          <rPr>
            <b/>
            <sz val="9"/>
            <color indexed="81"/>
            <rFont val="Tahoma"/>
            <family val="2"/>
          </rPr>
          <t>Opciones posibles:</t>
        </r>
        <r>
          <rPr>
            <sz val="9"/>
            <color indexed="81"/>
            <rFont val="Tahoma"/>
            <family val="2"/>
          </rPr>
          <t xml:space="preserve">
Si
No
</t>
        </r>
      </text>
    </comment>
    <comment ref="M12" authorId="0" shapeId="0" xr:uid="{DE90E8BB-E4F1-443A-A1DF-499AD2D9ACA2}">
      <text>
        <r>
          <rPr>
            <b/>
            <sz val="9"/>
            <color indexed="81"/>
            <rFont val="Tahoma"/>
            <family val="2"/>
          </rPr>
          <t>Opciones posibles:</t>
        </r>
        <r>
          <rPr>
            <sz val="9"/>
            <color indexed="81"/>
            <rFont val="Tahoma"/>
            <family val="2"/>
          </rPr>
          <t xml:space="preserve">
Si
No</t>
        </r>
      </text>
    </comment>
    <comment ref="N12" authorId="0" shapeId="0" xr:uid="{867CE7A8-F7B6-436B-9716-79A23D2AA209}">
      <text>
        <r>
          <rPr>
            <b/>
            <sz val="9"/>
            <color indexed="81"/>
            <rFont val="Tahoma"/>
            <family val="2"/>
          </rPr>
          <t xml:space="preserve">Opciones posibles:
</t>
        </r>
        <r>
          <rPr>
            <sz val="9"/>
            <color indexed="81"/>
            <rFont val="Tahoma"/>
            <family val="2"/>
          </rPr>
          <t xml:space="preserve">Si
No (para articulos de mailing no se aplica la promocion)
</t>
        </r>
      </text>
    </comment>
    <comment ref="R12" authorId="0" shapeId="0" xr:uid="{511DA184-BA07-4F87-94AA-AFA4C664B9DC}">
      <text>
        <r>
          <rPr>
            <b/>
            <sz val="9"/>
            <color indexed="81"/>
            <rFont val="Tahoma"/>
            <family val="2"/>
          </rPr>
          <t xml:space="preserve">Opciones posibles:
</t>
        </r>
        <r>
          <rPr>
            <sz val="9"/>
            <color indexed="81"/>
            <rFont val="Tahoma"/>
            <family val="2"/>
          </rPr>
          <t>Aprobado
Falla
En Progreso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0" shapeId="0" xr:uid="{E4602E0F-0870-4076-8F96-09934D987ABE}">
      <text>
        <r>
          <rPr>
            <b/>
            <sz val="9"/>
            <color indexed="81"/>
            <rFont val="Tahoma"/>
            <family val="2"/>
          </rPr>
          <t xml:space="preserve">Opciones posibles:
</t>
        </r>
        <r>
          <rPr>
            <sz val="9"/>
            <color indexed="81"/>
            <rFont val="Tahoma"/>
            <family val="2"/>
          </rPr>
          <t xml:space="preserve">Aprobado
Falla
En Progreso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Nubia Navarro</author>
  </authors>
  <commentList>
    <comment ref="L12" authorId="0" shapeId="0" xr:uid="{4836FF48-136A-48DE-9B70-179A4207E835}">
      <text>
        <r>
          <rPr>
            <b/>
            <sz val="9"/>
            <color indexed="81"/>
            <rFont val="Tahoma"/>
            <family val="2"/>
          </rPr>
          <t>Opciones posibles:</t>
        </r>
        <r>
          <rPr>
            <sz val="9"/>
            <color indexed="81"/>
            <rFont val="Tahoma"/>
            <family val="2"/>
          </rPr>
          <t xml:space="preserve">
Si
No
</t>
        </r>
      </text>
    </comment>
    <comment ref="M12" authorId="0" shapeId="0" xr:uid="{43B86708-6D9D-43DC-80E0-C7ED6BD61A3A}">
      <text>
        <r>
          <rPr>
            <b/>
            <sz val="9"/>
            <color indexed="81"/>
            <rFont val="Tahoma"/>
            <family val="2"/>
          </rPr>
          <t>Opciones posibles:</t>
        </r>
        <r>
          <rPr>
            <sz val="9"/>
            <color indexed="81"/>
            <rFont val="Tahoma"/>
            <family val="2"/>
          </rPr>
          <t xml:space="preserve">
Si
No</t>
        </r>
      </text>
    </comment>
    <comment ref="N12" authorId="0" shapeId="0" xr:uid="{22AAD1F1-757A-4976-B4FB-17BEC65B9B22}">
      <text>
        <r>
          <rPr>
            <b/>
            <sz val="9"/>
            <color indexed="81"/>
            <rFont val="Tahoma"/>
            <family val="2"/>
          </rPr>
          <t xml:space="preserve">Opciones posibles:
</t>
        </r>
        <r>
          <rPr>
            <sz val="9"/>
            <color indexed="81"/>
            <rFont val="Tahoma"/>
            <family val="2"/>
          </rPr>
          <t xml:space="preserve">Si
No (para articulos de mailing no se aplica la promocion)
</t>
        </r>
      </text>
    </comment>
    <comment ref="R12" authorId="0" shapeId="0" xr:uid="{54EC5BC3-4228-4F36-B348-C6C01F89B550}">
      <text>
        <r>
          <rPr>
            <b/>
            <sz val="9"/>
            <color indexed="81"/>
            <rFont val="Tahoma"/>
            <family val="2"/>
          </rPr>
          <t xml:space="preserve">Opciones posibles:
</t>
        </r>
        <r>
          <rPr>
            <sz val="9"/>
            <color indexed="81"/>
            <rFont val="Tahoma"/>
            <family val="2"/>
          </rPr>
          <t>Aprobado
Falla
En Progreso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0" shapeId="0" xr:uid="{36DCEB51-F523-4635-BE05-F2743A2F6388}">
      <text>
        <r>
          <rPr>
            <b/>
            <sz val="9"/>
            <color indexed="81"/>
            <rFont val="Tahoma"/>
            <family val="2"/>
          </rPr>
          <t xml:space="preserve">Opciones posibles:
</t>
        </r>
        <r>
          <rPr>
            <sz val="9"/>
            <color indexed="81"/>
            <rFont val="Tahoma"/>
            <family val="2"/>
          </rPr>
          <t xml:space="preserve">Aprobado
Falla
En Progreso
</t>
        </r>
      </text>
    </comment>
  </commentList>
</comments>
</file>

<file path=xl/sharedStrings.xml><?xml version="1.0" encoding="utf-8"?>
<sst xmlns="http://schemas.openxmlformats.org/spreadsheetml/2006/main" count="16889" uniqueCount="2145">
  <si>
    <t>Planilla de Solicitud de Promociones</t>
  </si>
  <si>
    <t>Area Solicitante:</t>
  </si>
  <si>
    <t>Comercial</t>
  </si>
  <si>
    <t>Nombre Solicitante:</t>
  </si>
  <si>
    <t>Gabriela Villar</t>
  </si>
  <si>
    <t>Tipo de Evento:</t>
  </si>
  <si>
    <t>Mailing</t>
  </si>
  <si>
    <t>Detalle de Promoción:</t>
  </si>
  <si>
    <t>Descuento</t>
  </si>
  <si>
    <t>Nombre de Evento:</t>
  </si>
  <si>
    <t>Locales:</t>
  </si>
  <si>
    <t>Todos</t>
  </si>
  <si>
    <t>Fecha Fin:</t>
  </si>
  <si>
    <t>Operaciones</t>
  </si>
  <si>
    <t>Desarrollo</t>
  </si>
  <si>
    <t>Pruebas</t>
  </si>
  <si>
    <t>Comprador / NroTelefono</t>
  </si>
  <si>
    <t>Código</t>
  </si>
  <si>
    <t>Descripción Artículo</t>
  </si>
  <si>
    <t>Marca segun reglas de negocio
M = Markdown
P = Promocional
R = Precio Regular</t>
  </si>
  <si>
    <t>Nombre Promoción 
(como ve el CLIENTE) 
(maximo 40 caracteres)</t>
  </si>
  <si>
    <t xml:space="preserve">Formato Promoción </t>
  </si>
  <si>
    <t>Acción en cajas</t>
  </si>
  <si>
    <t>Acción auxiliar</t>
  </si>
  <si>
    <t>Comentarios</t>
  </si>
  <si>
    <t>Acumula con Dctos Empleado</t>
  </si>
  <si>
    <t>Acumula con Dctos Scotia</t>
  </si>
  <si>
    <t>Acumula con Listado Mailing o Imperdibles</t>
  </si>
  <si>
    <t>Maida</t>
  </si>
  <si>
    <t>idGeoPromotion</t>
  </si>
  <si>
    <t>Responsable</t>
  </si>
  <si>
    <t>Estatus</t>
  </si>
  <si>
    <t>P</t>
  </si>
  <si>
    <t>MxN</t>
  </si>
  <si>
    <t>Nueva funcionalidad de Area Solicitante que permita:
1. Crear nueva
2. Ver creados
3. Eliminar (que sea como el campo tipo de promocion que es como dar de baja y queda historial)
4. Editar creados (actualizar promos activas, inactivas, habilitadas y deshabilitadas)
Solo para rol administrador
Se debe visualizar nuevo comboBox al crear nueva promocion y solo debe listar y seleccionar los activos y no los eliminados</t>
  </si>
  <si>
    <t>Campaña Padre</t>
  </si>
  <si>
    <t>Area Solicitante</t>
  </si>
  <si>
    <t>Nombre Solicitante</t>
  </si>
  <si>
    <t>Tipo de Evento</t>
  </si>
  <si>
    <t>Descripción Evento</t>
  </si>
  <si>
    <t>Tipo Promocion</t>
  </si>
  <si>
    <t>Detalle de Promoción</t>
  </si>
  <si>
    <t>Formato Promoción</t>
  </si>
  <si>
    <t>B2B</t>
  </si>
  <si>
    <t>Agustina Piacenza</t>
  </si>
  <si>
    <t>Combo</t>
  </si>
  <si>
    <t>Imperdibles</t>
  </si>
  <si>
    <t>Alvaro Nuñez</t>
  </si>
  <si>
    <t>Precio Fijo</t>
  </si>
  <si>
    <t>Canje de Puntos</t>
  </si>
  <si>
    <t>Ecommerce</t>
  </si>
  <si>
    <t>Bruno Perrone</t>
  </si>
  <si>
    <t>Descuento %</t>
  </si>
  <si>
    <t>Web</t>
  </si>
  <si>
    <t>Convenio Empleado</t>
  </si>
  <si>
    <t>DescuentoPorcentajeAProducto</t>
  </si>
  <si>
    <t>Farmacia</t>
  </si>
  <si>
    <t>Camila Belassi</t>
  </si>
  <si>
    <t>Descuento fijo</t>
  </si>
  <si>
    <t>OfertaInterna</t>
  </si>
  <si>
    <t>DescuentoMontoAProducto</t>
  </si>
  <si>
    <t>Fidelidad</t>
  </si>
  <si>
    <t>Carolina Fernández</t>
  </si>
  <si>
    <t>No Aplica</t>
  </si>
  <si>
    <t>EventoExterno</t>
  </si>
  <si>
    <t>Descuento Empleado</t>
  </si>
  <si>
    <t>DescuentoPrecioFijoAProducto</t>
  </si>
  <si>
    <t>Liquiloca</t>
  </si>
  <si>
    <t>Carolina Ripoll</t>
  </si>
  <si>
    <t>Mensaje Informativo</t>
  </si>
  <si>
    <t>Autoliquidables</t>
  </si>
  <si>
    <t>Dto. %</t>
  </si>
  <si>
    <t>DescuentoPorcentajeA2daUnidad</t>
  </si>
  <si>
    <t>Marketing</t>
  </si>
  <si>
    <t>Diego Gonzalez</t>
  </si>
  <si>
    <t>Scotiabank</t>
  </si>
  <si>
    <t>ClubDelVino</t>
  </si>
  <si>
    <t>Dto. precio fijo</t>
  </si>
  <si>
    <t>MensajeInformativoPantalla</t>
  </si>
  <si>
    <t>MeatHouse</t>
  </si>
  <si>
    <t>Eliana Patka</t>
  </si>
  <si>
    <t>ClientesExistentes</t>
  </si>
  <si>
    <t>Envio gratis</t>
  </si>
  <si>
    <t>NoAplica</t>
  </si>
  <si>
    <t>RRHH</t>
  </si>
  <si>
    <t>Fabrina Valle</t>
  </si>
  <si>
    <t>ClientesInactivos</t>
  </si>
  <si>
    <t>Generación Cupón Sorteo</t>
  </si>
  <si>
    <t>Sistemas</t>
  </si>
  <si>
    <t>Federico Garrido</t>
  </si>
  <si>
    <t>ClientesNuevos</t>
  </si>
  <si>
    <t>Generación Stickers</t>
  </si>
  <si>
    <t>Federico Poggi</t>
  </si>
  <si>
    <t>Generación Tienda Vale</t>
  </si>
  <si>
    <t>Felipe Barbe</t>
  </si>
  <si>
    <t>Fernanda Didb</t>
  </si>
  <si>
    <t>CanjeDePuntos</t>
  </si>
  <si>
    <t>Plato del Día</t>
  </si>
  <si>
    <t>DescuentoManual</t>
  </si>
  <si>
    <t>Gastón Pérez</t>
  </si>
  <si>
    <t>Empleados</t>
  </si>
  <si>
    <t>Uso Tienda Vale</t>
  </si>
  <si>
    <t>Ines Saldias</t>
  </si>
  <si>
    <t>Leticia Clausen</t>
  </si>
  <si>
    <t>Luis Gracia</t>
  </si>
  <si>
    <t>Marcos Lima</t>
  </si>
  <si>
    <t>Mariangely Arraga</t>
  </si>
  <si>
    <t>Martin Britos</t>
  </si>
  <si>
    <t>Mathias Sayanes</t>
  </si>
  <si>
    <t>Mercedes Coronel</t>
  </si>
  <si>
    <t>Miguel Sureda</t>
  </si>
  <si>
    <t>Mónica Rojas</t>
  </si>
  <si>
    <t>Paola Andreoni</t>
  </si>
  <si>
    <t>Patricia Garcia</t>
  </si>
  <si>
    <t>Santiago Inciarte</t>
  </si>
  <si>
    <t>Victoria Bernal</t>
  </si>
  <si>
    <t>Oferta Interna</t>
  </si>
  <si>
    <t>Club del Vino</t>
  </si>
  <si>
    <t>Clientes Inactivos</t>
  </si>
  <si>
    <t>Clientes Nuevos</t>
  </si>
  <si>
    <t>Clientes Existentes</t>
  </si>
  <si>
    <t>Descuento Manual</t>
  </si>
  <si>
    <t>Evento Externo</t>
  </si>
  <si>
    <t>Inteligencia Comercial</t>
  </si>
  <si>
    <t>Nicolás Viggiano</t>
  </si>
  <si>
    <t>Fecha Inicio:</t>
  </si>
  <si>
    <t>No</t>
  </si>
  <si>
    <t>rexona</t>
  </si>
  <si>
    <t>Moneda</t>
  </si>
  <si>
    <t>$</t>
  </si>
  <si>
    <t>PLATO POSTRE AURORA AZ 21CM MELAM BTW</t>
  </si>
  <si>
    <t>PLATO LLANO AURORA AZ 27CM MELAM BTW</t>
  </si>
  <si>
    <t>PLATO LLANO ACUARELA GR 27CM MELAM BTW</t>
  </si>
  <si>
    <t>PLATO POSTRE ACUARELA GR 23CM MELAM BTW</t>
  </si>
  <si>
    <t>TV SAMSUNG LED 50" 4K UN50CU7000</t>
  </si>
  <si>
    <t>TV SMART INHAUS LED 50"  4K UHD</t>
  </si>
  <si>
    <t>TV SMART INHAUS LED 55" 4K UHD</t>
  </si>
  <si>
    <t>TV INHAUS SMART LED 75" 4K UHD</t>
  </si>
  <si>
    <t>PARLANTE PORTATIL LEXA BT LX575 GRIS</t>
  </si>
  <si>
    <t>PARLANTE PORTATIL LEXA BT LX575 NEGRO</t>
  </si>
  <si>
    <t>PARLANTE PORTATIL LEXA BT LX595 NEGRO</t>
  </si>
  <si>
    <t>PARLANTE PORTATIL  LEXA BT LX595 GRIS</t>
  </si>
  <si>
    <t>PARLANTE PORTATIL LEXA BT LX585 ROJO</t>
  </si>
  <si>
    <t>PARLANTE PORTATIL LEXA BT LX585 GRIS</t>
  </si>
  <si>
    <t>PARLANTE PORTATIL LEXA BT LX585 AZUL</t>
  </si>
  <si>
    <t>PARLANTE PORTATIL LEXA BT LX585 NEGRO</t>
  </si>
  <si>
    <t>BARRA DE SONIDO INHAUS 2.0 INH-BS8809 BT</t>
  </si>
  <si>
    <t>PARLANTE BLUETOOTH LEXA MD3-08</t>
  </si>
  <si>
    <t>LG UHD 4K 43" 43UQ7500PSF AL SMART TV"</t>
  </si>
  <si>
    <t>CONSOLA PS5 STANDARD FIFA 23</t>
  </si>
  <si>
    <t>CONSOLA PS5 HW STANDARD 1215 GOWR</t>
  </si>
  <si>
    <t>RELOJ INTELIGENTEX-WATCH88</t>
  </si>
  <si>
    <t>PARLANTE XION XTREME XI-XT550 9500W PMPO</t>
  </si>
  <si>
    <t>TV SONY 55" GOOGLE TV 4K KD-55X77L</t>
  </si>
  <si>
    <t>PARLANTE BATERIA SONY SRSXP500</t>
  </si>
  <si>
    <t>CONSOLA PS5 STANDARD FC24 BUNDLE</t>
  </si>
  <si>
    <t>CONSOLA PS5 SPIDERMAN EDICION LIMITADA</t>
  </si>
  <si>
    <t>MI PORTABLE BLUETOOTH SPEAKER (16W) BLACK</t>
  </si>
  <si>
    <t>AIRE ACONDICIONADO GALANZ 12000 BTU INV</t>
  </si>
  <si>
    <t>AIRE AC ECOSYSTEM 24.000 BTU INVERTER</t>
  </si>
  <si>
    <t>AIRE ACONDICIONADO GALANZ 9000 BTU INV</t>
  </si>
  <si>
    <t>ASPIRADORA ROBOT LEXA</t>
  </si>
  <si>
    <t>CAFETERA DE GOTEO LEXA 1.25L</t>
  </si>
  <si>
    <t>LICUADORA PHILIPS 550 W 2 L HR2127/02</t>
  </si>
  <si>
    <t>CALEFON JAMES 30L PRISMA ACERO EFIC.B</t>
  </si>
  <si>
    <t>CALEFON THOMPSON 30 LTS</t>
  </si>
  <si>
    <t>CALEFON THOMPSON 60 LTS ACERO</t>
  </si>
  <si>
    <t>CALEFON JAMES 60 L ACERO CL.A</t>
  </si>
  <si>
    <t>COCINA LEXA 4 HORNALLAS A GAS</t>
  </si>
  <si>
    <t>FREIDORA SIN ACEITE LEXA 3.5L</t>
  </si>
  <si>
    <t>LAVASECARROPAS SMARTLIFE SL-WDFL107W INV</t>
  </si>
  <si>
    <t>MICROONDAS DIGITAL LEXA 20L</t>
  </si>
  <si>
    <t>PLANCHA VERTICAL LEXA USI-4801</t>
  </si>
  <si>
    <t>PLANCHA A VAPOR LEXA USI-128</t>
  </si>
  <si>
    <t>REFRIGERADOR SAMSUNG RT29T571BS8 C/DISP</t>
  </si>
  <si>
    <t>REFRIGERADOR SMARTLIFE SLRNF270SD INVERT</t>
  </si>
  <si>
    <t>REFRIGERADOR SMARTLIFE SLRNF270WD INVERT</t>
  </si>
  <si>
    <t>REFRIGERADOR SAMSUNG RT35T573BSL</t>
  </si>
  <si>
    <t>REFRIGERADOR SAMSUNG RT32T573BSL INOX</t>
  </si>
  <si>
    <t>REFRIGERADOR SMARTLIFE SIDE BY SIDE</t>
  </si>
  <si>
    <t>REFRIGERADOR LG GT29WPPDC</t>
  </si>
  <si>
    <t>REFRIGERADOR LG GT32WPPDC C/DISP</t>
  </si>
  <si>
    <t>VENTILADOR TURBO  LEXA 12" BF-1243</t>
  </si>
  <si>
    <t>VENTILADOR DE PIE 16" LEXA US-16058</t>
  </si>
  <si>
    <t>"VENTILADOR LEXA 16 CONTROL REMOTO"</t>
  </si>
  <si>
    <t>JARRA ELÉCTRICA LEXA UK-248 1.8L</t>
  </si>
  <si>
    <t>REFRIGERADOR SAMSUNG RT48A6640B1</t>
  </si>
  <si>
    <t>REFRIGERADOR SAMSUNG RT44A6640B1</t>
  </si>
  <si>
    <t>SALADMAKER DAEWOO SM3619</t>
  </si>
  <si>
    <t>COCINA JAMES C 900A TKS INOX DH (TQ)</t>
  </si>
  <si>
    <t>JUEGO RATTAN 5PZAS COLUMBIA KETER</t>
  </si>
  <si>
    <t>SOMBRILLON COLGANTE 3MT</t>
  </si>
  <si>
    <t>SILLA APILABLE ACERO GRIS 96X72X54</t>
  </si>
  <si>
    <t>$USD</t>
  </si>
  <si>
    <t>Liquidacion Non Food</t>
  </si>
  <si>
    <t>AMOLADORA 800W MASTER-X</t>
  </si>
  <si>
    <t>ATORNILLADOR 4V MASTER-X</t>
  </si>
  <si>
    <t>BANCO PLEGABLE  182.5X28X43</t>
  </si>
  <si>
    <t>BANQUETA PLATAFORMA ALUMINIO 68X48X30CM</t>
  </si>
  <si>
    <t>BOLSO P/HERRAMIENTAS 30.5X25.4X28CM</t>
  </si>
  <si>
    <t>CAJA ORG APILABLE 26 CM 1UNIDAD</t>
  </si>
  <si>
    <t>CAJA ORG C/TAPA NEGRO 22L  26.2X43X30.7</t>
  </si>
  <si>
    <t>CAJA  ORGA 10L C/TAPA NEGRA 21.2X4.5X24</t>
  </si>
  <si>
    <t>CAJA ORGA 40L C/TAPA NEGRA 31.2X49X35.2</t>
  </si>
  <si>
    <t>CANASTO C/TAPA 55L BLANCO 54.5X45.5X32.8</t>
  </si>
  <si>
    <t>CANASTO C/TAPA 55L NEGRO 54.5X45.5X32.8</t>
  </si>
  <si>
    <t>CANASTO ORG BLANCO 13X28.8X20.3CM</t>
  </si>
  <si>
    <t>CANASTO ORG BLANCO 16X42X29.3CM</t>
  </si>
  <si>
    <t>CANASTO ORG BLANCO 30L 30.8X39X40.1CN</t>
  </si>
  <si>
    <t>CANASTO ORG NEGRO 30L 30.8X39X40.1CN</t>
  </si>
  <si>
    <t>CANASTO ORG ROJO  13X28.8X20.3CM</t>
  </si>
  <si>
    <t>CANASTO ORG ROJO 16X42X29CM</t>
  </si>
  <si>
    <t>CANASTO ORG ROJO 8X20.6 X14.5CM</t>
  </si>
  <si>
    <t>CANASTO ORG VERDE 16X42X29.3CM</t>
  </si>
  <si>
    <t>CANASTO ORG VERDE  8X20.6 X14.5CM</t>
  </si>
  <si>
    <t>CANASTO ORGAN BLAN 8.8 X 20.6 X 14.5 UZ</t>
  </si>
  <si>
    <t>CANASTO ORGANIZADOR 30L 30.8X39X40.1 CM</t>
  </si>
  <si>
    <t>CANASTO ORGANIZADOR 5L 13X28.8X20.3CM</t>
  </si>
  <si>
    <t xml:space="preserve"> CANASTO ORGANIZADOR 8.8X20.6X14.5</t>
  </si>
  <si>
    <t>CANASTO ORGANIZADOR PLASTICO 19X23X12</t>
  </si>
  <si>
    <t>CANASTO ORGANIZADOR PLASTICO 21X28X15</t>
  </si>
  <si>
    <t>CANASTO PLEGABLE PLASTICO 27X17X10</t>
  </si>
  <si>
    <t>CANASTO VERDE  13X28.8X20.3CM</t>
  </si>
  <si>
    <t>CARPA  4P ROJA 210X210X110CM  RAVE</t>
  </si>
  <si>
    <t>CARPA 2P ROJA RAVE 210X120X95CM RAVE</t>
  </si>
  <si>
    <t>CARPA 6P ROJA 240X210X130CM RAVE</t>
  </si>
  <si>
    <t>CARTUCHO PURIFICADOR CARBON ACTIVO</t>
  </si>
  <si>
    <t>CARTUCHO PURIFICADOR POLIPROPILENO</t>
  </si>
  <si>
    <t>COLCHON INFLABLE C/INF  1.37X1.91X25 INT</t>
  </si>
  <si>
    <t>COLCHON INFLABLE C/INFLADOR 99X1.91X25</t>
  </si>
  <si>
    <t>CONSERVADORA  TERMICA 28L- OPALA BEL</t>
  </si>
  <si>
    <t>CONSERVADORA 36L BEL - OPALA</t>
  </si>
  <si>
    <t>DESMALEZADORA 75KW/7000RPM2.3HP MASTER-X</t>
  </si>
  <si>
    <t>ESCALERA 3 PELD. ALUM. NG MASTER-X</t>
  </si>
  <si>
    <t>ESCALERA BANQUETA PLEGABLE 33X22X39CM</t>
  </si>
  <si>
    <t>ESCALERA EXTENSIBLE 2.6MT 8 ESC ALUM</t>
  </si>
  <si>
    <t>ESPATULA DE PARRILLA 4 EN 1 UBL</t>
  </si>
  <si>
    <t>ESQUINERO CLAIRE + MESA KETER</t>
  </si>
  <si>
    <t>FAROL SOLAR 36 CM UB</t>
  </si>
  <si>
    <t>GAZEBO 3X3 AZUL AJUST AUTOARMABLE</t>
  </si>
  <si>
    <t>GAZEBO 3X3 BLANCO PG024-WH</t>
  </si>
  <si>
    <t>GAZEBO AUTOARMABLE 3X3  AZUL</t>
  </si>
  <si>
    <t>GAZEBO BLANCO 3X3 MT</t>
  </si>
  <si>
    <t>GAZEBO PLEGABLE  3X3  AZUL</t>
  </si>
  <si>
    <t>GAZEBO PLEGABLE 3X3 BLANCO</t>
  </si>
  <si>
    <t>HIDROLAVADORA 1800W 130 BAR MASTER-X</t>
  </si>
  <si>
    <t>LONA P/LEÑA 296X365CM  UB</t>
  </si>
  <si>
    <t>MACETA ARENA GR UB</t>
  </si>
  <si>
    <t>MACETA BARRO 10CM</t>
  </si>
  <si>
    <t>MACETA BARRO 12CM</t>
  </si>
  <si>
    <t>MACETA BARRO 16CM.</t>
  </si>
  <si>
    <t>MACETA BARRO 18CM</t>
  </si>
  <si>
    <t>MACETA BARRO 18CM CILINDRICA</t>
  </si>
  <si>
    <t>MACETA BARRO 20CM.</t>
  </si>
  <si>
    <t>MACETA BARRO 4X4CM CLASICA</t>
  </si>
  <si>
    <t>MACETA BARRO 8X7CM CLASICA</t>
  </si>
  <si>
    <t>MACETA BEIGE CH UB</t>
  </si>
  <si>
    <t>MACETA BEIGE GR UB</t>
  </si>
  <si>
    <t>MACETA BEIGE MED UB</t>
  </si>
  <si>
    <t>MACETA BLANCA GR UB</t>
  </si>
  <si>
    <t>MACETA BLANCA MED UB</t>
  </si>
  <si>
    <t>MACETA CALDERO C /MENSULA</t>
  </si>
  <si>
    <t>MACETA CARA Y MANO 18X18 CM</t>
  </si>
  <si>
    <t>MACETA CORAL C/PLATO 20.8X8.7X6.8CM</t>
  </si>
  <si>
    <t>MACETA CORAL C/PLATO 27.7X11.8X9.1CM</t>
  </si>
  <si>
    <t>MACETA DIAMANTE GRAFICO 4.90LT 24X24X19</t>
  </si>
  <si>
    <t>MACETA DIAMANTE GRIS 0.3LT 9X8 CM</t>
  </si>
  <si>
    <t>MACETA DIAMANTE GRIS 1.30LT 14X14X12</t>
  </si>
  <si>
    <t>MACETA DIAMANTE GRIS 2.40LT 17X17X15</t>
  </si>
  <si>
    <t>MACETA DIAMANTE GRIS 4.80LT 22X22X13</t>
  </si>
  <si>
    <t>MACETA DIAMANTE GRIS 9.20LT 27X27X24</t>
  </si>
  <si>
    <t>MACETA DISEÑOS CERA LARGE 30X25</t>
  </si>
  <si>
    <t>MACETA DISEÑOS CERA MEDIUM 21X19 CM</t>
  </si>
  <si>
    <t>MACETA DISEÑOS CERA SMALL 15X13</t>
  </si>
  <si>
    <t>MACETA GRIS CLARO GR UB</t>
  </si>
  <si>
    <t>MACETA GRIS CLARO MED UB</t>
  </si>
  <si>
    <t>MACETA GRIS GRA UB</t>
  </si>
  <si>
    <t>MACETA GRIS MED UB</t>
  </si>
  <si>
    <t>MACETA HEXAGONAL 12.5X12.5X11 CM 1LT ROS</t>
  </si>
  <si>
    <t>MACETA HEXAGONAL 17.5X17.5X13CM 2LT</t>
  </si>
  <si>
    <t>MACETA PERLA GRAFICO 2.20LT 19X19X15</t>
  </si>
  <si>
    <t>MACETA PERLA GRIS  29X29X24</t>
  </si>
  <si>
    <t>MACETA PLASTICA C/PLATO 14.6X14.6X11.5</t>
  </si>
  <si>
    <t>MACETA PLASTICA C/PLATO 8X8X6.8 0.15LT</t>
  </si>
  <si>
    <t>MACETA RELIEVE GRIS GR UB</t>
  </si>
  <si>
    <t>MACETA ROMBO BLANCA GR UB</t>
  </si>
  <si>
    <t>MANGUERA DE DUCHA PARA MASCOTAS UB</t>
  </si>
  <si>
    <t>MESA HIERRO Y VIDRIO 150X70X90 CM</t>
  </si>
  <si>
    <t>MESA JARDIN ACERO 60X70 CM</t>
  </si>
  <si>
    <t>MESA JARDIN VIDRIO Y ACERO 80X70 CM CDC-</t>
  </si>
  <si>
    <t>MESA PLEGABLE CAMPING 80X60X70</t>
  </si>
  <si>
    <t>PARASOL 2 PZAS UB</t>
  </si>
  <si>
    <t>PILOT 0001 INFANTIL S/L</t>
  </si>
  <si>
    <t>PISCINA 2 ANILLOS 61CM X15CM BESTWAY</t>
  </si>
  <si>
    <t>PISCINA 3 ANILLOS 1.83M X33CM  BESTWAY</t>
  </si>
  <si>
    <t>PISCINA 4.27X1.07M 12706L PREMIUM INTEX</t>
  </si>
  <si>
    <t>PISCINA 4.88X1.22M 19156L PREMIUM COMP.</t>
  </si>
  <si>
    <t>PISCINA EST 305X76CM 4485L S/BOMBA</t>
  </si>
  <si>
    <t>PISCINA ESTRUCT. 6503L 366X76CM SIN/BOMB</t>
  </si>
  <si>
    <t>PISCINA GOMON 1.52X 38CM BESTWAY</t>
  </si>
  <si>
    <t>PISCINA GOMON 880L 183X51CM INTEX</t>
  </si>
  <si>
    <t>PISCINA GOMON C/BOM 1.942LT  2.44X61 INT</t>
  </si>
  <si>
    <t>PISCINA INTEX  BASKETBAL 2.57X1.88X1.3</t>
  </si>
  <si>
    <t>PISCINA INTEX DINO 3.02X2.29X1.12</t>
  </si>
  <si>
    <t>PISCINA INTEX EST4485 L 3.05X76 CM C/BOM</t>
  </si>
  <si>
    <t>PISCINA INTEX GOMON 3853L 305X76CM C/BOM</t>
  </si>
  <si>
    <t>PISCINA INTEX JUNGLA AVEN 2.44X1.98X71CM</t>
  </si>
  <si>
    <t>PISCINA INTEX OCEANO 1.91X1.78X61CM</t>
  </si>
  <si>
    <t>PISCINA JIRAFA 2.66X1.57X 1.27M BESTWAY</t>
  </si>
  <si>
    <t>PISCINA SANDIA 1.68X38CM</t>
  </si>
  <si>
    <t>PISTOLA CALOR 2000 W MASTER-X</t>
  </si>
  <si>
    <t>PURIFICADOR AGUA C/FILTRO P/MESADA</t>
  </si>
  <si>
    <t>PURIFICADOR AGUA DOBLE FILTRO P/CANILLA</t>
  </si>
  <si>
    <t>SET MECHAS Y PUNTAS 71PZAS</t>
  </si>
  <si>
    <t>SET PISCINA INTEX  C/PELOTA/ARO 132X28CM</t>
  </si>
  <si>
    <t>SET PISCINA INTEX 114L+PELOTA+ ARO</t>
  </si>
  <si>
    <t>SIERRA CIRCULAR 1200 W MASTER-X</t>
  </si>
  <si>
    <t>SILLA 6 POSICIONES 86X57CM ALU -FLORES</t>
  </si>
  <si>
    <t>SILLA ALTA AZUL OSCURO AC2306</t>
  </si>
  <si>
    <t>SILLA ALTA BLANCA  92X34X64CM    AC2006</t>
  </si>
  <si>
    <t>SILLA ALTA CELESTE AC2306</t>
  </si>
  <si>
    <t>SILLA ALUMINIO BAJA PLAYA</t>
  </si>
  <si>
    <t>SILLA ALUMINIO NEWPORT 5P</t>
  </si>
  <si>
    <t>SILLA APILABLE RATAN 53X61X74</t>
  </si>
  <si>
    <t>SILLA BAJA RESP ALTO  92X34X64 CM AZUL</t>
  </si>
  <si>
    <t>SILLA BAJA RESPALDO ALTO AZUL OSCURO C/C</t>
  </si>
  <si>
    <t>SILLA BAJA RESPALDO ALTO BLANCOC/CORREA</t>
  </si>
  <si>
    <t>SILLA BAJA RESPALDO ALTO C/POSA BRAZO AZ</t>
  </si>
  <si>
    <t>SILLA BAJA RESPALDO ALTO C/POSA BRAZO BL</t>
  </si>
  <si>
    <t>SILLA PLAYA BAJA ALUM AZUL/VERD 59X55X67</t>
  </si>
  <si>
    <t>SOMBRILLA AZUL 1.80MT BLANCA/AZUL</t>
  </si>
  <si>
    <t>SOMBRILLA COLOR BLANCA 1.80 UV50 ZERO</t>
  </si>
  <si>
    <t>SOMBRILLA COLOR NATURAL 1.80MT UV50 ZERO</t>
  </si>
  <si>
    <t>SOMBRILLA PLAYA SWISS ARMOR 2M FILTRO TU</t>
  </si>
  <si>
    <t>SOMBRILLA SWISS ARMOR 2M FILTRO UV50</t>
  </si>
  <si>
    <t>SOMMIER INFLABLE C/INFLADOR 1.52X2.03X46</t>
  </si>
  <si>
    <t>TABLA BODY BOARD 37" 94X50X35CM</t>
  </si>
  <si>
    <t>TABLA BODY BOARD 41" 104X52X35CM</t>
  </si>
  <si>
    <t>TABLA PADDLEBOARD  3.05X84X12CM BESTWAY</t>
  </si>
  <si>
    <t>TABLA SURF  6  184X53X13CM</t>
  </si>
  <si>
    <t>TABLA SURF  8  246X57X14.5CM</t>
  </si>
  <si>
    <t>TALADRO ATOR. 21V C/MAL Y ACC MASTER-X</t>
  </si>
  <si>
    <t>TALADRO IMPACTO 500W MASTER-X</t>
  </si>
  <si>
    <t>TOLDO PLAYA 210CM X 230CM +50UV</t>
  </si>
  <si>
    <t>VELA CITRONELLA 200G UB</t>
  </si>
  <si>
    <t>VELA CITRONELLA 60G UB</t>
  </si>
  <si>
    <t>VELA CITRONELLA X12 14 GR</t>
  </si>
  <si>
    <t>CONSERVADORA INFLABLE 88X7CM BESTWAY</t>
  </si>
  <si>
    <t>BOTE INFLABLE INTEX 2P 236X114X41CM 200K</t>
  </si>
  <si>
    <t>BOTE INFLABLE INTEX 120K 196X102X33CM</t>
  </si>
  <si>
    <t>BOTE MIROVIA PRO SPORT 3.30X1.62X44CM</t>
  </si>
  <si>
    <t>PLATO LLANO 25CM BLANCO RYL</t>
  </si>
  <si>
    <t>PLATO LLANO 27CM AZUL RYL</t>
  </si>
  <si>
    <t>PLATO LLANO FLORES AZ 27CM MELAM BTW</t>
  </si>
  <si>
    <t>PLATO LLANO AGATHA AZ 27 CM MELAM BTW</t>
  </si>
  <si>
    <t>PLATO POSTRE FLORES AZ 23CM MELAM BTW</t>
  </si>
  <si>
    <t>PLATO LLANO 27CM VERDE RYL</t>
  </si>
  <si>
    <t>PLATO POSTRE 19CM AZUL RYL</t>
  </si>
  <si>
    <t>PLATO POSTRE 18CM BLANCO RYL</t>
  </si>
  <si>
    <t>PLATO LLANO 27CM ROSA RYL</t>
  </si>
  <si>
    <t>PLATO POSTRE 19CM ROSA RYL</t>
  </si>
  <si>
    <t>PLATO MELAMINA 23CM SURT UBL</t>
  </si>
  <si>
    <t>PLATO POSTRE 20CM GRANITO BL RYL</t>
  </si>
  <si>
    <t>PLATO POSTRE AGATHA AZ 22CM MELAM BTW</t>
  </si>
  <si>
    <t>PLATO HONDO 20CM ROSA RYL</t>
  </si>
  <si>
    <t>PLATO MELAMINA KIDS UBL</t>
  </si>
  <si>
    <t>PLATO BURGER TRAMONTINA</t>
  </si>
  <si>
    <t>PLATO POSTRE 19CM VERDE RYL</t>
  </si>
  <si>
    <t>PLATO SURT D21 YIW</t>
  </si>
  <si>
    <t>PLATO PIZZA TRAMONTINA</t>
  </si>
  <si>
    <t>PLATO SURT D19 YIW</t>
  </si>
  <si>
    <t>PLATO LLANO 26CM GRANITO BL RYL</t>
  </si>
  <si>
    <t>PLATO HONDO 22CM GRANITO BL RYL</t>
  </si>
  <si>
    <t>PLATO MONSTRUO VIO TRAMONTINA</t>
  </si>
  <si>
    <t>PLATO MONSTRUO VER TRAMONTINA</t>
  </si>
  <si>
    <t>PLATO LLANO CUAD 18CM BLANCO UZ</t>
  </si>
  <si>
    <t>PLATO CUAD SURT 26X26 YIW</t>
  </si>
  <si>
    <t>PLATO LLANO BLANCO 26CM</t>
  </si>
  <si>
    <t>PLATO SURT D26 YIW</t>
  </si>
  <si>
    <t>PLATO HONDO RED 20CM ROJO UZ</t>
  </si>
  <si>
    <t>PLATO 26CM BLANCO UZ</t>
  </si>
  <si>
    <t>PLATO 20CM BLANCO UZ</t>
  </si>
  <si>
    <t>PLATO LLANO RED 25CM ROJO UZ</t>
  </si>
  <si>
    <t>PLATO 20 BAMBU AZ/VIOL XBE</t>
  </si>
  <si>
    <t>PLATO POSTRE MELAM 20CM UBL</t>
  </si>
  <si>
    <t>PLATO LLANO CUAD 20CM BLANCO UZ</t>
  </si>
  <si>
    <t>PLATO POSTRE 20 HOJA  FRASES</t>
  </si>
  <si>
    <t>PLATO LLANO 25CM DIAMETRO A002</t>
  </si>
  <si>
    <t>PLATO INFANTIL MELAM 21CM UBL</t>
  </si>
  <si>
    <t>PLATO 17 FLORES YIW</t>
  </si>
  <si>
    <t>PROVOLONERA 29CM C/CAV HIERRO RYL</t>
  </si>
  <si>
    <t>VIANDAS X6 TAKEAWAY 500ML</t>
  </si>
  <si>
    <t>VIANDAS X5 TAKEAWAY 750ML</t>
  </si>
  <si>
    <t>COPA DE VINO  TINTO 310 ML AZ RYL</t>
  </si>
  <si>
    <t>COPA DE VINO BLANCO  240 ML AZ RYL</t>
  </si>
  <si>
    <t>COPA DE  CHAMPAGNE 150 ML AZ RYL</t>
  </si>
  <si>
    <t>VASO 350 ML AZUL RYL</t>
  </si>
  <si>
    <t>VASO 250 ML AZUL RYL</t>
  </si>
  <si>
    <t>JUEGO CUBIERTOS 79PZ ANGRA TRAMONTINA</t>
  </si>
  <si>
    <t>SET X3 VIANDAS RECT ROJO UZ</t>
  </si>
  <si>
    <t>SET X3 VIANDAS CUAD ROJO UZ</t>
  </si>
  <si>
    <t>SET X3 BOLS PL GDL</t>
  </si>
  <si>
    <t>VIANDA 900ML HERM T/VERDE GDL</t>
  </si>
  <si>
    <t>VIANDA 600ML HERM T/VERDE GDL</t>
  </si>
  <si>
    <t>TERMO 750ML TRAMONTINA</t>
  </si>
  <si>
    <t>TERMO 1L TRAMONTINA</t>
  </si>
  <si>
    <t>AIRE ACOND ECOSYSTEM ESDM 12000 INV</t>
  </si>
  <si>
    <t>AIRE ACOND ECOSYSTEM ESDM 18000 INV</t>
  </si>
  <si>
    <t>AIRE ACOND ECOSYSTEM ESDM 9000 INV</t>
  </si>
  <si>
    <t>AIRE ACOND ECOSYSTEM ESDM 12000 BTU</t>
  </si>
  <si>
    <t>AIRE ACOND ECOSYSTEM ESDM 9000 BTU</t>
  </si>
  <si>
    <t>FREIDORA SIN ACEITE LEXA 6,0L</t>
  </si>
  <si>
    <t>LAVARROPA JAMES LR 6900 PLUS (ARG) 6KG</t>
  </si>
  <si>
    <t>LAVAVAJILLA LEXA 12 CUBIERTOS</t>
  </si>
  <si>
    <t>EXTRACTOR DE JUGOS INHAUS JE-43</t>
  </si>
  <si>
    <t>EXPRIMIDOR SMARTLIFE SL-JC3400</t>
  </si>
  <si>
    <t>TOSTADORA SMARTLIFE SL-TD1701</t>
  </si>
  <si>
    <t>HORNO ELECRICO LEXA 32L TO8400</t>
  </si>
  <si>
    <t>LICUADORA LEXA 1.5L UBL-2005 NEGRO</t>
  </si>
  <si>
    <t>TOSTADOR INHAUS INH-TO1102 BLANCO</t>
  </si>
  <si>
    <t>ANAFE LEXA 4 HORNALLAS INOX</t>
  </si>
  <si>
    <t>MIXER INHAUS INH-MX5006K</t>
  </si>
  <si>
    <t>SANDWICHERA INHAUS INH-SM1008</t>
  </si>
  <si>
    <t>VENTILADOR SMARTLIFE 3 EN 1 SL-MF45S</t>
  </si>
  <si>
    <t>PARLANTE BLUETOOTH LEXA MD11-12</t>
  </si>
  <si>
    <t>PARLANTE LEXA BLUETOOTH/USB/FM/TF WT1212</t>
  </si>
  <si>
    <t>PARLANTE INHAUS KARAOKE PARTY</t>
  </si>
  <si>
    <t>BARRA DE SONIDO INHAUS 2.1  INH-BD8808</t>
  </si>
  <si>
    <t>BARRA DE SONIDO INHAUS 5.1 INH-8823</t>
  </si>
  <si>
    <t>BARRA DE SONIDO INHAUS 2.1 INH-BS8821</t>
  </si>
  <si>
    <t>BARRA DE SONIDO MINI UA06</t>
  </si>
  <si>
    <t>BARRA DE SONIDO XION XI-BAR40</t>
  </si>
  <si>
    <t>PARLANTE INHAUS BT XTREME 140 20W AZUL</t>
  </si>
  <si>
    <t>PARLANTE INHAUS BT XTREME 140 20W NEGRO</t>
  </si>
  <si>
    <t>PARLANTE LEXA YB-2804</t>
  </si>
  <si>
    <t>PARLANTE BT JBL FLIP6 NEGRO</t>
  </si>
  <si>
    <t>PARLANTE BT JBL FLIP6 AZUL</t>
  </si>
  <si>
    <t>PARLANTE LEXA MD4-08</t>
  </si>
  <si>
    <t>PARLANTE ACTIVO XION XI-SD112</t>
  </si>
  <si>
    <t>PARLANTE SONY TORRE MHC-V02</t>
  </si>
  <si>
    <t>PARLANTE SONY BT  SRS-XB13 ROSADO</t>
  </si>
  <si>
    <t>PARLANTE SONY BT  SRS-XB13 AZUL</t>
  </si>
  <si>
    <t>PARLANTE SONY BT  SRS-XB13 NEGRO</t>
  </si>
  <si>
    <t>PARLANTE HARMAN KARDON ONYX STUDIO 7</t>
  </si>
  <si>
    <t>PARLANTE HARMAN KARDON AURA STUDIO 3</t>
  </si>
  <si>
    <t>PARLATE PORTATIL BLUETOOTH SONY SRS-XV800</t>
  </si>
  <si>
    <t>AURICULAR BASEUS INALAMBRICO WM01 BLANCO</t>
  </si>
  <si>
    <t>AURICULAR BASEUS DZ-KA ENCOK W04 NEGRO</t>
  </si>
  <si>
    <t>AURICULAR BASEUS DZ-KA ENCOK W04 BLANCO</t>
  </si>
  <si>
    <t>AURICULAR PS5 HEADSET LATAM (LB)</t>
  </si>
  <si>
    <t>AURICULAR PS5 HEADSET MIDNIGHT BLACK LATAM (LB)</t>
  </si>
  <si>
    <t>CELULAR  POCOPHONE X5 6/128GB</t>
  </si>
  <si>
    <t>GAMEPAD BASEUS SW MOTION TRANSPARENTE</t>
  </si>
  <si>
    <t>PS5 CHARGING STATION</t>
  </si>
  <si>
    <t>GAMEPAD PS5 DUALSENSE WHITE LATAM (LB)</t>
  </si>
  <si>
    <t>CONSOLA DIGITAL PS5 GOWR</t>
  </si>
  <si>
    <t>CONSOLA PLAYSTATION 5 VERSION DIGITAL</t>
  </si>
  <si>
    <t>CONSOLA PS5 HW 1215 STANDARD</t>
  </si>
  <si>
    <t>GAMEPAD PS5 DUALSENSE MIDNIGHT BLACK LATAM (LB)</t>
  </si>
  <si>
    <t>COVER PS5 SPIDERMAN EDICION LIMITADA</t>
  </si>
  <si>
    <t>PS5 DUALSENSE STARLIGHT</t>
  </si>
  <si>
    <t>DUAL SENSE SPIDERMAN EDICION LIMITADA</t>
  </si>
  <si>
    <t>GAMEPAD DUALSHOCK PS4 MAGMA RED</t>
  </si>
  <si>
    <t>GAMEPAD DUALSHOCK PS4 MIDNIGHT BLUE</t>
  </si>
  <si>
    <t>GAMEPAD DUALSHOCK PS4 GLACIER WHITE</t>
  </si>
  <si>
    <t>GAMEPAD PS5 DUALSENSE GRAY CAMO</t>
  </si>
  <si>
    <t>PS5 DUALSENSE COSMIC RED</t>
  </si>
  <si>
    <t>PS5 DUALSENSE GALACTIC PURPLE_LAT</t>
  </si>
  <si>
    <t>CONSOLA PS4 HW 1TB (CUH-2215B) GOWR</t>
  </si>
  <si>
    <t>NINTENDO SWITCH LITE AZUL</t>
  </si>
  <si>
    <t>NINTENDO SWITCH LITE ROSADO</t>
  </si>
  <si>
    <t>XBOX SERIES S 512GB</t>
  </si>
  <si>
    <t>TABLET SAMSUNG A7 LITE 8"  32GB/3RAM</t>
  </si>
  <si>
    <t>"MONITOR LEXA GAMER 27" G27 FULL HD</t>
  </si>
  <si>
    <t>"MONITOR INHAUS 24"" FHD 100HZ"</t>
  </si>
  <si>
    <t>"MONITOR INHAUS GAMER 24"" CURVO FHD 165 HZ"</t>
  </si>
  <si>
    <t>"MONITOR INHAUS GAMER 27"" FLAT FHD 165HZ"</t>
  </si>
  <si>
    <t>"MONITOR SAMSUNG 24"" CURVO GAMER C2RG50  144HZ FULL HD"</t>
  </si>
  <si>
    <t>IMPRESORA CANON INKJET G1110</t>
  </si>
  <si>
    <t>IMPRESORA CANON GM2010</t>
  </si>
  <si>
    <t>TV SMART LEXA 32" GOOGLE TV</t>
  </si>
  <si>
    <t>"TV LEXA 40"" FHD GOOGLE TV"</t>
  </si>
  <si>
    <t>TV INHAUS SMART 55" UHD 4K INH-55M7</t>
  </si>
  <si>
    <t>TV INHAUS SMART 50" UHD 4K INH-50M7</t>
  </si>
  <si>
    <t>TV INHAUS SMART 65" UHD 4K INH-65M7</t>
  </si>
  <si>
    <t>TV SMART LEXA 65"UHD L65D1291</t>
  </si>
  <si>
    <t>TV SMART LEXA 70"UHD L70D2000</t>
  </si>
  <si>
    <t>"TV SAMSUNG LED 43"" 4K UN43CU7000"</t>
  </si>
  <si>
    <t>TV SAMSUNG 32" HD SMART SAUN32T4310</t>
  </si>
  <si>
    <t>TV SAMSUNG LED SMART UHD 4K 55" CU7000</t>
  </si>
  <si>
    <t>"TV SAMSUNG QLED 55"" 4K QN55Q60CA"</t>
  </si>
  <si>
    <t>TV 43" PHILIPS FULL HD ANDR 43PHD6947/55</t>
  </si>
  <si>
    <t>TV SMART PHILIPS 70" 4K AMBILIGHT ANDROI</t>
  </si>
  <si>
    <t>TV SMART TCL 55" QLED 55C635</t>
  </si>
  <si>
    <t>TV TCL 55" C825 MINI LED</t>
  </si>
  <si>
    <t>TV XIAOMI SMART TV LED L43M6-6A 4K</t>
  </si>
  <si>
    <t>LG UHD 4K 50" 50UQ7500PSF AL SMART TV"</t>
  </si>
  <si>
    <t>SMART TV LG UHD 4K 60"" 60UQ8050PSB AL</t>
  </si>
  <si>
    <t>TV LG 70" UHD UQ8050PS/UR8750</t>
  </si>
  <si>
    <t>LG OLED 4K 48" AI OLED48C2PSA SMART TV</t>
  </si>
  <si>
    <t>RELOJ INTELIGENTEX-WATCH66.BL</t>
  </si>
  <si>
    <t>RELOJ INTELIGENTEX-WATCH66.BLK</t>
  </si>
  <si>
    <t>RELOJ INTELIGENTEX-WATCH66.GRY</t>
  </si>
  <si>
    <t>RELOJ INTELIGENTEX-WATCH66.PNK</t>
  </si>
  <si>
    <t>RELOJ SAMSUNG GALAXY WATCH 5 4MM GRAY</t>
  </si>
  <si>
    <t>RELOJ SAMSUNG GALAXY WATCH 5 4MM GOLD</t>
  </si>
  <si>
    <t>RELOJ AMAZFIT BAND 7 BEIGE</t>
  </si>
  <si>
    <t>RELOJ AMAZFIT BAND 7 PINK</t>
  </si>
  <si>
    <t>RELOJ HYUNDAI P280 BLACK PINK</t>
  </si>
  <si>
    <t>RELOJ HYUNDAI P280 BLACK BLUE</t>
  </si>
  <si>
    <t>RELOJ HYUNDAI P280 SILVER GREY</t>
  </si>
  <si>
    <t>RELOJ HYUNDAI P280 SILVER WHITE</t>
  </si>
  <si>
    <t>RELOJ HYUNDAI P240 WT</t>
  </si>
  <si>
    <t>RELOJ HYUNDAI P240 BL</t>
  </si>
  <si>
    <t>RELOJ HYUNDAI P240 BK</t>
  </si>
  <si>
    <t>RELOJ HYUNDAI P270 BLACK</t>
  </si>
  <si>
    <t>RELOJ HYUNDAI P270 SILVER GREY</t>
  </si>
  <si>
    <t>SMARTWATCH C800 GRIS 1,99"</t>
  </si>
  <si>
    <t>SMARTWATCH C800 NEGRO 1,99"</t>
  </si>
  <si>
    <t>TV STICK ANDROID TV XS97 S3</t>
  </si>
  <si>
    <t>SOPORTE MAGNETICO BASEUS 360° PLATEADO</t>
  </si>
  <si>
    <t>AURICULAR BASEUS INALAMBRICO WM01 NEGRO</t>
  </si>
  <si>
    <t>SOPORTE CELULAR BASEUS AUTO SUYL-FK01</t>
  </si>
  <si>
    <t>CARGADOR AUTO BASEUS CCALLYS01 USB USB-C</t>
  </si>
  <si>
    <t>SOPORTE CELULAR BASEUS AUTO MAGNETICO</t>
  </si>
  <si>
    <t>AURICULAR BASEUS ENCOCK H06 NEGRO</t>
  </si>
  <si>
    <t>CARGADOR BASEUS WXJK-B01 INALAM. USB-C</t>
  </si>
  <si>
    <t>CARGADOR AUTO BASEUS DIGITAL 2 USB 4.8A</t>
  </si>
  <si>
    <t>ANTENA INT. OFA SV9143/41 42 DB</t>
  </si>
  <si>
    <t>MOUSE BASEUS GAMING GAMO 9 NEGRO</t>
  </si>
  <si>
    <t>NOTEBOOKASUSV I3-N305 8G 256G 15 W11 SP</t>
  </si>
  <si>
    <t>NOTEBOOK LENOVO V15 G2 N4500 256/8GB</t>
  </si>
  <si>
    <t>NOTEBOOK LENOVO R3 IP115AMN7 15.6" 8/256</t>
  </si>
  <si>
    <t>NOTEBOOK LENOVO R5 5500U 15.6" 256/8GB</t>
  </si>
  <si>
    <t>NOTEBOOK LENOVO CI5 15IAU7 12/515GB W11</t>
  </si>
  <si>
    <t>NOTEBOOK LENOVO CI7 4,7GHZ 14" 512/8GB</t>
  </si>
  <si>
    <t>AURI BLUETOOTH WIR AU230BT.BLK</t>
  </si>
  <si>
    <t>AURI BLUETOOTH WIR AU230BT.WHT</t>
  </si>
  <si>
    <t>AURICULAR XION BLUETOOTH XI-AU230BT GRN</t>
  </si>
  <si>
    <t>AURI BLUETOOTH WI AU230BT.PRPL</t>
  </si>
  <si>
    <t>SOPORTE TV OFA WM4421 32"-60"/BRAZO</t>
  </si>
  <si>
    <t>SOPORTE TV OFA WM4251 42" C/BRAZO</t>
  </si>
  <si>
    <t>TV SMART HISENSE 32" HD</t>
  </si>
  <si>
    <t>TV SMART HISENSE 55" UHD</t>
  </si>
  <si>
    <t>TV SMART HISENSE 58" UHD 4K</t>
  </si>
  <si>
    <t>TV SMART HISENSE 43" FULL HD</t>
  </si>
  <si>
    <t>TV SMART HISENSE 50" UHD</t>
  </si>
  <si>
    <t>CASCO DE BICICLETA HARDTAIL OM</t>
  </si>
  <si>
    <t>CASCO DE BICICLETA DRIFTER OM</t>
  </si>
  <si>
    <t>RUEDA ABDOMINAL W1</t>
  </si>
  <si>
    <t>YOGA MAT  RAVE  4MM</t>
  </si>
  <si>
    <t>SET DE BANDAS DE RESISTENCIA</t>
  </si>
  <si>
    <t>YOGA MAT ESTAMPADA 4MM</t>
  </si>
  <si>
    <t>SET 6 PESAS 0,5KG + 1KG + 1,5KG</t>
  </si>
  <si>
    <t>ESCALERA PARA FITNESS RAVE 6 MTS</t>
  </si>
  <si>
    <t>ROLO FITNESS FR2 ENTRENAMIENTO</t>
  </si>
  <si>
    <t>SET YOGA MAT+CUERDA+ PILATES+EXPANDER</t>
  </si>
  <si>
    <t>SKATE ESTAMPADO 60CM NEGRO</t>
  </si>
  <si>
    <t>SET DE YOGA Y05</t>
  </si>
  <si>
    <t>YOGA MAT DISEÑOS VARIOS</t>
  </si>
  <si>
    <t>BICI DE BALANCE ROSA ROD 12" CAVEX</t>
  </si>
  <si>
    <t>BARRA DE EJECICIOS PARA PUERTA</t>
  </si>
  <si>
    <t>SET DE MANCUERNAS 20KG DB01-20K</t>
  </si>
  <si>
    <t>BICI  RAVE ROD 16 BMX GIRLY LICIOUS</t>
  </si>
  <si>
    <t>PELOTA DE  PILATES RAVE 65CM</t>
  </si>
  <si>
    <t>TORRE INFLABLE DE BOXEO INFANTIL</t>
  </si>
  <si>
    <t>MANCUERNA RAVE 1KG</t>
  </si>
  <si>
    <t>BICICLETA RAVE R26 LADY RACER II SX</t>
  </si>
  <si>
    <t>CAMA ELASTICA DIAMETRO 137 CM</t>
  </si>
  <si>
    <t>TOBILLERA RAVE 1KG</t>
  </si>
  <si>
    <t>BICI DE BALANCE ROJA ROD 12" CAVEX</t>
  </si>
  <si>
    <t>FUTBOLITO CHALLENGER 115X60X80CM</t>
  </si>
  <si>
    <t>TABLERO BASKETBALL C/BASE +PELOTA+INFLDO</t>
  </si>
  <si>
    <t>FUTBOLITO CHAMP FL 119X61X78CM</t>
  </si>
  <si>
    <t>BICICLETA RAVE ROD 26 LADY CRUISER</t>
  </si>
  <si>
    <t>MANCUERNA 5KG</t>
  </si>
  <si>
    <t>MESA DE PING PONG TABLE PRO</t>
  </si>
  <si>
    <t>BICICLETA RAVE ROD 29 DESERT SX</t>
  </si>
  <si>
    <t>TABLERO DE BASKETBALL CON PIE POLE CHAMP</t>
  </si>
  <si>
    <t>PATINES ROLLERS CHALLENGER TALLE M VERDE</t>
  </si>
  <si>
    <t>MANCUERNA HEXAGONAL 8KG</t>
  </si>
  <si>
    <t>BICICLETA RAVE ROD 27.5 DESERT</t>
  </si>
  <si>
    <t>TABLERO DE BASKETBALL HOOP CHALLENGE</t>
  </si>
  <si>
    <t>SET FUTBOL ROTOR</t>
  </si>
  <si>
    <t>JUEGO DE BASKETBALL ARCADE</t>
  </si>
  <si>
    <t>SKATE PENNY CLASSIC 55CM - VERDE</t>
  </si>
  <si>
    <t>BICICLETA RAVE ROD 26 RACER II</t>
  </si>
  <si>
    <t>CAMA ELASTICA DIAMETRO 244 CM</t>
  </si>
  <si>
    <t>BICICLETA RAVE ROD 26 LADY RACER II</t>
  </si>
  <si>
    <t>BICI RAVE ROD 12 BMX  DARK HERO</t>
  </si>
  <si>
    <t>BICI RAVE ROD 12 GIRLY LICIOUS EVA</t>
  </si>
  <si>
    <t>MESA DE PING PONG 2.74X1.53X0.76M</t>
  </si>
  <si>
    <t>BICI RAVE ROD 16 BMX DARK HERO</t>
  </si>
  <si>
    <t>SET FITNESS-STEP+PLTA+ CUERDA+RESISTNCIA</t>
  </si>
  <si>
    <t>CAMA ELASTICA C/RED 244CM</t>
  </si>
  <si>
    <t>PELOTA VOLLEYBALL WILSON PRO TOUR</t>
  </si>
  <si>
    <t>PELOTA VOLLEY MINAKA</t>
  </si>
  <si>
    <t>PELOTA URUGUAY MINI 2 COLORES N°2</t>
  </si>
  <si>
    <t>PELOTA BASKETBALL Nº7 WILSON</t>
  </si>
  <si>
    <t>PELOTA FÚTBOL PREMIUM WILSON</t>
  </si>
  <si>
    <t>PELOTA QATAR URUGUAY Nª5</t>
  </si>
  <si>
    <t>PELOTA MINI BARCELONA</t>
  </si>
  <si>
    <t>PELOTA VOLLEYBALL WILSON SHORELINE</t>
  </si>
  <si>
    <t>PELOTA WILSON PROMO COPIA</t>
  </si>
  <si>
    <t>PELOTA DE FUTBOL Nº5 QATAR BLANCA</t>
  </si>
  <si>
    <t>PELOTA WILSON  HEX TINGER 2.0</t>
  </si>
  <si>
    <t>PELOTA BASKETBALL Nº 7 JRB7 DEPORTE</t>
  </si>
  <si>
    <t>PELOTA DE FUTBOL Nº5 QATAR ROJA</t>
  </si>
  <si>
    <t>PELOTA BASKETBALL NBA Nº3 WILSON</t>
  </si>
  <si>
    <t>PELOTA FUTBOL AMERICANO</t>
  </si>
  <si>
    <t>BALDE PLAYA 8PZ C/ACC</t>
  </si>
  <si>
    <t>LANZADOR AGUA SIMPLE</t>
  </si>
  <si>
    <t>LANZADOR AGUA C/DEP 18CM</t>
  </si>
  <si>
    <t>AVION LIVIANO 35CM</t>
  </si>
  <si>
    <t>TORRE MADERA 54PZ</t>
  </si>
  <si>
    <t>DISCO VOLADOR C/LUCES</t>
  </si>
  <si>
    <t>DISCO VOLADOR SQUEEZE</t>
  </si>
  <si>
    <t>SET CAMION PLAYA 8PZ C/ACC</t>
  </si>
  <si>
    <t>PULPITOS X5 PARA EL AGUA</t>
  </si>
  <si>
    <t>BASTONES P/AGUA C/LUZ X4</t>
  </si>
  <si>
    <t>BOOMERANG PARA EL AGUA</t>
  </si>
  <si>
    <t>PELOTAS P/AGUA X2</t>
  </si>
  <si>
    <t>LANZADOR AGUA TIBURON</t>
  </si>
  <si>
    <t>LANZADOR AGUA DINO 40CM</t>
  </si>
  <si>
    <t>JUEGO P/PLAYA 8PZ BARCO C/ACC</t>
  </si>
  <si>
    <t>JUEGO P/PLAYA 7PZ BALDE C/ACC</t>
  </si>
  <si>
    <t>FLOTADOR CHALECO INFANTIL ESTAMPADO</t>
  </si>
  <si>
    <t>FLOTADOR ALITAS INFANTIL ESTAMPADO</t>
  </si>
  <si>
    <t>JUEGO ATRAPA EL PEZ</t>
  </si>
  <si>
    <t>AUTO SUMERGIBLE</t>
  </si>
  <si>
    <t>DISCO FRISBEE 20CM</t>
  </si>
  <si>
    <t>LANZADOR AGUA 32*7CM</t>
  </si>
  <si>
    <t>LANZADOR DE AGUA 55*5CM</t>
  </si>
  <si>
    <t>LANZADOR DE AGUA 660 ML</t>
  </si>
  <si>
    <t>PISTOLA DE AGUA 1080 ML</t>
  </si>
  <si>
    <t>BOMBITAS AGUA X100 C/INFLADOR 1.5L</t>
  </si>
  <si>
    <t>BOMBITAS DE AGUA X150</t>
  </si>
  <si>
    <t>JUEGO PULL/SPLASH TUYO/MIO</t>
  </si>
  <si>
    <t>JUEGO ATRAPA LA PELOTA C/VELCRO</t>
  </si>
  <si>
    <t>FLOTADOR PANCHO COLOR NIN</t>
  </si>
  <si>
    <t>PELOTA INFLABLE 51CM. DIAM.</t>
  </si>
  <si>
    <t>ALITAS INFLABLES 6-12A INTEX</t>
  </si>
  <si>
    <t>ARO INFLABLE C/AGARRADERAS 76CM. LISO</t>
  </si>
  <si>
    <t>INFLABLE ASIENTO INTEX</t>
  </si>
  <si>
    <t>COLCHONETA INFLABLE 183X69CM.COLORES</t>
  </si>
  <si>
    <t>JUEGOS PARA EL AGUA C/CINTAS</t>
  </si>
  <si>
    <t>JUEGO P/AGUA BASTONES</t>
  </si>
  <si>
    <t>JUGUETE INFLABLE ANIMALES 2+ INTEX</t>
  </si>
  <si>
    <t>CHALECO INFLABLE C/CUELLO 3-6A INTEX</t>
  </si>
  <si>
    <t>CHALECO INFLABLE TROPICAL 3-5A INTEX</t>
  </si>
  <si>
    <t>ALITAS INFLABLES 3-6 AÑOS</t>
  </si>
  <si>
    <t>FLOTADOR BABY FLOAT C/TECHO 81X66CM.</t>
  </si>
  <si>
    <t>PELOTA INFLABLE</t>
  </si>
  <si>
    <t>ARO INFLABLE 3-6A SURT INTEX</t>
  </si>
  <si>
    <t>ARO INFLABLE 6-10A SURT INTEX</t>
  </si>
  <si>
    <t>ARO INFLABLE ANIMALES  58221NP</t>
  </si>
  <si>
    <t>ARO INFLABLE COLORES C/AG 9+ INTEX</t>
  </si>
  <si>
    <t>ARO INFLABLE C/AGARRADERA NEUMATICO</t>
  </si>
  <si>
    <t>COLCHONETA INFLABLE DISEÑOS INTEX</t>
  </si>
  <si>
    <t>COLCHONETA C/RESPALDO TRANS.Y COLOR 5880</t>
  </si>
  <si>
    <t>INFLABLE COCODRILO +3 AÑOS</t>
  </si>
  <si>
    <t>INFLABLE DELFIN C/AGARRADERA 1.75X66CM</t>
  </si>
  <si>
    <t>INFLABLE AVION C/AG 3+ INTEX</t>
  </si>
  <si>
    <t>MOTO ACUATICA INFLABLE 117X77CM.</t>
  </si>
  <si>
    <t>ARO DE BASKET INFLABLE 67X55CM</t>
  </si>
  <si>
    <t>RED INFLABLE DE VOLEYBALL</t>
  </si>
  <si>
    <t>ARCO DE FUTBOL INFLABLE 140X89X81CM.</t>
  </si>
  <si>
    <t>INFLABLE DONA MORD 9+ INTEX</t>
  </si>
  <si>
    <t>LENTES P/AGUA JUNIOR 3-8 AÑOS</t>
  </si>
  <si>
    <t>LENTES AGUA 3-8 AÑOS</t>
  </si>
  <si>
    <t>LENTES DE AGUA 3-8 AÑOS</t>
  </si>
  <si>
    <t>SET DE SNORKEL +8 AÑOS</t>
  </si>
  <si>
    <t>LENTES DE AGUA DEPORTIVOS 8+ 3 COLORES</t>
  </si>
  <si>
    <t>LENTES AGUA +14 AÑOS</t>
  </si>
  <si>
    <t>LENTES AGUA SILICONA 14+ INTEX</t>
  </si>
  <si>
    <t>TENTETIESOS ANIMALES 98CM. SURTIDOS</t>
  </si>
  <si>
    <t>COLCHONETA INFLABLE 18-POCKET  INTEX</t>
  </si>
  <si>
    <t>ANIMAL SALVAVIDA INFLABLE 3-4A INTEX</t>
  </si>
  <si>
    <t>ARO INFLABLE ANIMALES C/AG 8+ INTEX</t>
  </si>
  <si>
    <t>DRAGON INFLABLE 3+ INTEX</t>
  </si>
  <si>
    <t>JUEGO AROS VOLADORES INFLABLE INTEX</t>
  </si>
  <si>
    <t>INFLABLE FLAMENCO +3 AÑOS</t>
  </si>
  <si>
    <t>TABLA INFLABLE C/AGARR INTEX</t>
  </si>
  <si>
    <t>INFLABLE UNICORNIO 201X140X97</t>
  </si>
  <si>
    <t>PATAS DE RANA 5-8 AÑOS</t>
  </si>
  <si>
    <t>INFLABLE P/4PERS C/ISLA ADULTO BESTWAY</t>
  </si>
  <si>
    <t>INFLABLE FLAMENCO</t>
  </si>
  <si>
    <t>COLCHONETA INFLABLE NUBE</t>
  </si>
  <si>
    <t>JUEGO PARA EL AGUA AROS PEZ 55507</t>
  </si>
  <si>
    <t>TOBOGAN DESL INFANTIL +3AÑOS BESTWAY</t>
  </si>
  <si>
    <t>ROCIADOR INFLABLE HOP BESTWAY</t>
  </si>
  <si>
    <t>INFLABLE MANTARRAYA +3 AÑOS</t>
  </si>
  <si>
    <t>INFLABLE PEGASUS +3AÑOS BESTWAY</t>
  </si>
  <si>
    <t>COLCHONETA INFLABLE SIRENA</t>
  </si>
  <si>
    <t>COLCHONETA INFLABLE 1.88X71CM.</t>
  </si>
  <si>
    <t>INFLABLE LANGOSTA C/AG 3+ INTEX</t>
  </si>
  <si>
    <t>INFLABLE HOJA PALMA</t>
  </si>
  <si>
    <t>ARO INFLABLE LLAMA BESTWAY</t>
  </si>
  <si>
    <t>TOBOGAN DESL TRIPLE INFLABLE B</t>
  </si>
  <si>
    <t>ARO INFLABLE LIMON +12AÑOS BESTWAY</t>
  </si>
  <si>
    <t>COLCHONETA CUPCAKE</t>
  </si>
  <si>
    <t>PORTAVASO INFLABLE BEER/MILKSHAKE BESTWA</t>
  </si>
  <si>
    <t>ARO INFLABLE TROPICAL C/AG 9+ INTEX</t>
  </si>
  <si>
    <t>INFLABLE MARIPOSA COLORIDA BESTWAY</t>
  </si>
  <si>
    <t>ARO CORAZON/ESTREL BRILLO +10AÑOS BESTWA</t>
  </si>
  <si>
    <t>INFLABLE DONAS COLORES 56263NP</t>
  </si>
  <si>
    <t>PELOTA INFLABLE GIGANTE C/ LUNARES 183CM</t>
  </si>
  <si>
    <t>ROCIADOR INFLABLE CACTUS BESTWAY</t>
  </si>
  <si>
    <t>SALVAVIDAS ALITAS 23K</t>
  </si>
  <si>
    <t>ALITA DINOSAURIO 3-6 AÑOS</t>
  </si>
  <si>
    <t>JUGUETE INFLABLE ANIMALES +4MESES BESTWA</t>
  </si>
  <si>
    <t>PISTOLA LANZA BURBUJAS TG0309</t>
  </si>
  <si>
    <t>BURBUJERO ESPADA 135ML UBL</t>
  </si>
  <si>
    <t>BURBUJERO C/VENTILADOR UBL</t>
  </si>
  <si>
    <t>BURBUJERO PISTOLA</t>
  </si>
  <si>
    <t>SET X4 BURBUJERO UBL</t>
  </si>
  <si>
    <t>TOBOGAN DESLIZADOR INFLABLE BEST WAY</t>
  </si>
  <si>
    <t>JUEGO DE MOLDES PARA PLAYA</t>
  </si>
  <si>
    <t>TOBOGAN DOBLE DESLIZADOR INFLABLE B. WAY</t>
  </si>
  <si>
    <t>BURBUJEROS SUPER COLORES</t>
  </si>
  <si>
    <t>PUFF INFLABLE GLITTER 72CM BESTWAY</t>
  </si>
  <si>
    <t>FLOTADOR AUT0/AVION INFANTIL 59380NP</t>
  </si>
  <si>
    <t>PELOTA INFLABLE JUMBO INTEX</t>
  </si>
  <si>
    <t>JUEGO ATRAPA PELOTA Y PALETA</t>
  </si>
  <si>
    <t>ACCESORIO PARA FLOTADOR PANCHO</t>
  </si>
  <si>
    <t>INFLABLE TUCAN +3AÑOS BESTWAY</t>
  </si>
  <si>
    <t>SET DE JUEGOS PARA PLAYA 5 PCS</t>
  </si>
  <si>
    <t>PELOTA P/AGUA NIN</t>
  </si>
  <si>
    <t>PISTA DE AGUA PARA PESCA NIN</t>
  </si>
  <si>
    <t>INFLABLE LLAMA AMARILLA +3 AÑOS BESTWAY</t>
  </si>
  <si>
    <t>TEJO PROFESIONAL FORRADO ESTUCHE</t>
  </si>
  <si>
    <t>BURBUJERO COLORES SURT</t>
  </si>
  <si>
    <t>ARO INFLABLE CON RESPALDO</t>
  </si>
  <si>
    <t>COLCHONETA INFLABLE HISTORIETA BESTWAY</t>
  </si>
  <si>
    <t>ARO FRESA +12AÑOS BESTWAY</t>
  </si>
  <si>
    <t>PISTOLA AGUA C/TANQUE 300ML HL</t>
  </si>
  <si>
    <t>BURBUJERO MANGO FRUTAS</t>
  </si>
  <si>
    <t>PISTOLA AGUA 1200ML HLN</t>
  </si>
  <si>
    <t xml:space="preserve">3x2 </t>
  </si>
  <si>
    <t>4x3</t>
  </si>
  <si>
    <t>CCC</t>
  </si>
  <si>
    <t>COMPRANDO 3 APLICA 20% DTO.</t>
  </si>
  <si>
    <t>dto.$</t>
  </si>
  <si>
    <t>a pagar</t>
  </si>
  <si>
    <t>dto$</t>
  </si>
  <si>
    <t>total a pagar</t>
  </si>
  <si>
    <t>% a pagar</t>
  </si>
  <si>
    <t>% de dto</t>
  </si>
  <si>
    <t>x</t>
  </si>
  <si>
    <t>dto.20%</t>
  </si>
  <si>
    <t>a pagar con CCC</t>
  </si>
  <si>
    <t>promo%</t>
  </si>
  <si>
    <t>COMPRANDO 6 APLICA 25% DTO.</t>
  </si>
  <si>
    <t>dto.25%</t>
  </si>
  <si>
    <t>adicional 25%</t>
  </si>
  <si>
    <t>dto% x unidad</t>
  </si>
  <si>
    <t>2x1</t>
  </si>
  <si>
    <t>3x2</t>
  </si>
  <si>
    <t>6x5</t>
  </si>
  <si>
    <t>4x2</t>
  </si>
  <si>
    <t>2da al 40%</t>
  </si>
  <si>
    <t>2da al 25%</t>
  </si>
  <si>
    <t>% dto</t>
  </si>
  <si>
    <t>sin CCC</t>
  </si>
  <si>
    <t>dto CCC</t>
  </si>
  <si>
    <t>con CCC</t>
  </si>
  <si>
    <t>2da al 30%</t>
  </si>
  <si>
    <t>COMBO</t>
  </si>
  <si>
    <t>pvp combo</t>
  </si>
  <si>
    <t>15% off</t>
  </si>
  <si>
    <t>2X$123</t>
  </si>
  <si>
    <t>2x$90</t>
  </si>
  <si>
    <t>6x4</t>
  </si>
  <si>
    <t>2x195</t>
  </si>
  <si>
    <t>2x$30</t>
  </si>
  <si>
    <t>12x10</t>
  </si>
  <si>
    <t>2x$206</t>
  </si>
  <si>
    <t>24x20</t>
  </si>
  <si>
    <t>2x$245</t>
  </si>
  <si>
    <t>2x$382</t>
  </si>
  <si>
    <t>(85 x 29,17%)</t>
  </si>
  <si>
    <t>2x$274</t>
  </si>
  <si>
    <t>llevando 6</t>
  </si>
  <si>
    <t>suma de dtos unitarios</t>
  </si>
  <si>
    <t>6x5 + CCC</t>
  </si>
  <si>
    <t>dto total</t>
  </si>
  <si>
    <t>2x110</t>
  </si>
  <si>
    <t>2da al 70%</t>
  </si>
  <si>
    <t>adicional 10%</t>
  </si>
  <si>
    <t>AURICULAR JBL TUNE 520 BT BLACK</t>
  </si>
  <si>
    <t>AURICULAR JBL TUNE 520 BT BLUE</t>
  </si>
  <si>
    <t>AURICULAR JBL TUNE 520 BT WHITE</t>
  </si>
  <si>
    <t>AURICULAR JBL WAVE BEAM 2 BLANCO</t>
  </si>
  <si>
    <t>AURICULAR JBL WAVE BUDS 2 NEGRO</t>
  </si>
  <si>
    <t>PARLANTE ENERGY SISTEM LOL&amp;ROLL KIDS BLU</t>
  </si>
  <si>
    <t>PARLANTE ENERGY SISTEM LOL&amp;ROLL KIDS OR</t>
  </si>
  <si>
    <t>PARLANTE ENERGY SISTEM LOL&amp;ROLL KIDS PI</t>
  </si>
  <si>
    <t>PARLANTE JBL FLIP 7 BLUETOOTH BLACK</t>
  </si>
  <si>
    <t>PARLANTE JBL FLIP 7 BLUETOOTH BLUE</t>
  </si>
  <si>
    <t>PARLANTE JBL FLIP 7 ROJO</t>
  </si>
  <si>
    <t>PARLANTE JBL GO4 NEGRO</t>
  </si>
  <si>
    <t>PARTY BOX JBL CLUB 120</t>
  </si>
  <si>
    <t>TOP BIKINI TRIÁNGULO PV26 D NEGRO T.S</t>
  </si>
  <si>
    <t>TOP BIKINI TRIÁNGULO PV26 D NEGRO T.M</t>
  </si>
  <si>
    <t>TOP BIKINI TRIÁNGULO PV26 D NEGRO T.L</t>
  </si>
  <si>
    <t>TOP BIKINI TRIÁNGULO PV26 D NEGRO T.XL</t>
  </si>
  <si>
    <t>TOP BIKINI TRIÁNGULO PV26 D VERDE T.S</t>
  </si>
  <si>
    <t>TOP BIKINI TRIÁNGULO PV26 D VERDE T.M</t>
  </si>
  <si>
    <t>TOP BIKINI TRIÁNGULO PV26 D VERDE T.L</t>
  </si>
  <si>
    <t>TOP BIKINI TRIÁNGULO PV26 D VERDE T.XL</t>
  </si>
  <si>
    <t>TOP BIKINI TRIÁNGULO PV26 D ESTAMPA T.S</t>
  </si>
  <si>
    <t>TOP BIKINI TRIÁNGULO PV26 D ESTAMPA T.M</t>
  </si>
  <si>
    <t>TOP BIKINI TRIÁNGULO PV26 D ESTAMPA T.L</t>
  </si>
  <si>
    <t>TOP BIKINI TRIÁNGULO PV26 D ESTAMPA T.XL</t>
  </si>
  <si>
    <t>BIKINI ALTO PV26 D NEGRO T.S</t>
  </si>
  <si>
    <t>BIKINI ALTO PV26 D NEGRO T.M</t>
  </si>
  <si>
    <t>BIKINI ALTO PV26 D NEGRO T.L</t>
  </si>
  <si>
    <t>BIKINI ALTO PV26 D NEGRO T.XL</t>
  </si>
  <si>
    <t>BIKINI ALTO PV26 D VERDE T.S</t>
  </si>
  <si>
    <t>BIKINI ALTO PV26 D VERDE T.M</t>
  </si>
  <si>
    <t>BIKINI ALTO PV26 D VERDE T.L</t>
  </si>
  <si>
    <t>BIKINI ALTO PV26 D VERDE T.XL</t>
  </si>
  <si>
    <t>BIKINI ALTO PV26 D ESTAMPADO T.S</t>
  </si>
  <si>
    <t>BIKINI ALTO PV26 D ESTAMPADO T.M</t>
  </si>
  <si>
    <t>BIKINI ALTO PV26 D ESTAMPADO T.L</t>
  </si>
  <si>
    <t>BIKINI ALTO PV26 D ESTAMPADO T.XL</t>
  </si>
  <si>
    <t>TOP BIKINI TEXTURA PV26 D VERDE T.S</t>
  </si>
  <si>
    <t>TOP BIKINI TEXTURA PV26 D VERDE T.M</t>
  </si>
  <si>
    <t>TOP BIKINI TEXTURA PV26 D VERDE T.L</t>
  </si>
  <si>
    <t>TOP BIKINI TEXTURA PV26 D VERDE T.XL</t>
  </si>
  <si>
    <t>TOP BIKINI TEXTURA PV26 D RAYAS T.S</t>
  </si>
  <si>
    <t>TOP BIKINI TEXTURA PV26 D RAYAS T.M</t>
  </si>
  <si>
    <t>TOP BIKINI TEXTURA PV26 D RAYAS T.L</t>
  </si>
  <si>
    <t>TOP BIKINI TEXTURA PV26 D RAYAS T.XL</t>
  </si>
  <si>
    <t>TOP BIKINI TEXTURA PV26 D MARRÓN T.S</t>
  </si>
  <si>
    <t>TOP BIKINI TEXTURA PV26 D MARRÓN T.M</t>
  </si>
  <si>
    <t>TOP BIKINI TEXTURA PV26 D MARRÓN T.L</t>
  </si>
  <si>
    <t>TOP BIKINI TEXTURA PV26 D MARRÓN T.XL</t>
  </si>
  <si>
    <t>BIKINI COLALESS PV26 D VERDE T.S</t>
  </si>
  <si>
    <t>BIKINI COLALESS PV26 D VERDE T.M</t>
  </si>
  <si>
    <t>BIKINI COLALESS PV26 D VERDE T.L</t>
  </si>
  <si>
    <t>BIKINI COLALESS PV26 D VERDE T.XL</t>
  </si>
  <si>
    <t>BIKINI COLALESS PV26 D RAYAS T.S</t>
  </si>
  <si>
    <t>BIKINI COLALESS PV26 D RAYAS T.M</t>
  </si>
  <si>
    <t>BIKINI COLALESS PV26 D RAYAS T.L</t>
  </si>
  <si>
    <t>BIKINI COLALESS PV26 D RAYAS T.XL</t>
  </si>
  <si>
    <t>BIKINI COLALESS PV26 D MARRÓN T.S</t>
  </si>
  <si>
    <t>BIKINI COLALESS PV26 D MARRÓN T.M</t>
  </si>
  <si>
    <t>BIKINI COLALESS PV26 D MARRÓN T.L</t>
  </si>
  <si>
    <t>BIKINI COLALESS PV26 D MARRÓN T.XL</t>
  </si>
  <si>
    <t>MALLA ENTERA PV26 D NEGRO T.S</t>
  </si>
  <si>
    <t>MALLA ENTERA PV26 D NEGRO T.M</t>
  </si>
  <si>
    <t>MALLA ENTERA PV26 D NEGRO T.L</t>
  </si>
  <si>
    <t>MALLA ENTERA PV26 D NEGRO T.XL</t>
  </si>
  <si>
    <t>MALLA ENTERA PV26 D ESTAMPA T.S</t>
  </si>
  <si>
    <t>MALLA ENTERA PV26 D ESTAMPA T.M</t>
  </si>
  <si>
    <t>MALLA ENTERA PV26 D ESTAMPA T.L</t>
  </si>
  <si>
    <t>MALLA ENTERA PV26 D ESTAMPA T.XL</t>
  </si>
  <si>
    <t>TOP BIKINI TRIÁNGULO PV26 D NEGRO T.2XL</t>
  </si>
  <si>
    <t>TOP BIKINI TRIÁNGULO PV26 D NEGRO T.3XL</t>
  </si>
  <si>
    <t>TOP BIKINI TRIÁNGULO PV26 D NEGRO T.4XL</t>
  </si>
  <si>
    <t>TOP BIKINI TRIÁNGULO PV26 D ESTAMP T.2XL</t>
  </si>
  <si>
    <t>TOP BIKINI TRIÁNGULO PV26 D ESTAMP T.3XL</t>
  </si>
  <si>
    <t>TOP BIKINI TRIÁNGULO PV26 D ESTAMP T.4XL</t>
  </si>
  <si>
    <t>TOP BIKINI TRIÁNGULO PV26 D VERDE T.2XL</t>
  </si>
  <si>
    <t>TOP BIKINI TRIÁNGULO PV26 D VERDE T.3XL</t>
  </si>
  <si>
    <t>TOP BIKINI TRIÁNGULO PV26 D VERDE T.4XL</t>
  </si>
  <si>
    <t>BIKINI ALTO PV26 D NEGRO T.2XL</t>
  </si>
  <si>
    <t>BIKINI ALTO PV26 D NEGRO T.3XL</t>
  </si>
  <si>
    <t>BIKINI ALTO PV26 D NEGRO T.4XL</t>
  </si>
  <si>
    <t>BIKINI ALTO PV26 D ESTAMP T.2XL</t>
  </si>
  <si>
    <t>BIKINI ALTO PV26 D ESTAMP T.3XL</t>
  </si>
  <si>
    <t>BIKINI ALTO PV26 D ESTAMP T.4XL</t>
  </si>
  <si>
    <t>BIKINI ALTO PV26 D VERDE T.2XL</t>
  </si>
  <si>
    <t>BIKINI ALTO PV26 D VERDE T.3XL</t>
  </si>
  <si>
    <t>BIKINI ALTO PV26 D VERDE T.4XL</t>
  </si>
  <si>
    <t>MALLA ENTERA PV26 D NEGRO T.2XL</t>
  </si>
  <si>
    <t>MALLA ENTERA PV26 D NEGRO T.3XL</t>
  </si>
  <si>
    <t>MALLA ENTERA PV26 D NEGRO T.4XL</t>
  </si>
  <si>
    <t>MALLA ENTERA PV26 D ESTAMPA T.2XL</t>
  </si>
  <si>
    <t>MALLA ENTERA PV26 D ESTAMPA T.3XL</t>
  </si>
  <si>
    <t>MALLA ENTERA PV26 D ESTAMPA T.4XL</t>
  </si>
  <si>
    <t>MALLA ENTERA PV26 D VERDE T.2XL</t>
  </si>
  <si>
    <t>MALLA ENTERA PV26 D VERDE T.3XL</t>
  </si>
  <si>
    <t>MALLA ENTERA PV26 D VERDE T.4XL</t>
  </si>
  <si>
    <t>MALLA UV M/L ESTAMP PV26 B RAYAS T.6/12m</t>
  </si>
  <si>
    <t>MALLA UV M/L ESTAM PV26 B RAYAS T.12/24m</t>
  </si>
  <si>
    <t>MALLA UV M/L ESTAMPA PV26 B RAYAS T.2/3a</t>
  </si>
  <si>
    <t>MALLA UV M/L ESTAMP PV26 B FLORE T.6/12m</t>
  </si>
  <si>
    <t>MALLA UV M/L ESTAMP PV26 B FLOR T.12/24m</t>
  </si>
  <si>
    <t>MALLA UV M/L ESTAMPA PV26 B FLORE T.2/3a</t>
  </si>
  <si>
    <t>MALLA ESTAMPA PV26 B ROSA T.6/12m</t>
  </si>
  <si>
    <t>MALLA ESTAMPA PV26 B ROSA T.12/24m</t>
  </si>
  <si>
    <t>MALLA ESTAMPA PV26 B ROSA T.2/3a</t>
  </si>
  <si>
    <t>REMERA UV M/L PV26 B ROSA T.6/12m</t>
  </si>
  <si>
    <t>REMERA UV M/L PV26 B ROSA T.12/24m</t>
  </si>
  <si>
    <t>REMERA UV M/L PV26 B ROSA T.2/3a</t>
  </si>
  <si>
    <t>BIKINI CUADROS PV26 B ROSA T.6/12m</t>
  </si>
  <si>
    <t>BIKINI CUADROS PV26 B ROSA T.12/24m</t>
  </si>
  <si>
    <t>BIKINI CUADROS PV26 B ROSA T.2/3a</t>
  </si>
  <si>
    <t>GORRO UV ESTAMP PV26 B ROSA T. 6m - 3a</t>
  </si>
  <si>
    <t>GORRO UV ESTAMP PV26 B PEONIA T.6m - 3a</t>
  </si>
  <si>
    <t>ENTERITO UV M/L PV26 B VERDE T.6/12m</t>
  </si>
  <si>
    <t>ENTERITO UV M/L PV26 B VERDE T.12/24m</t>
  </si>
  <si>
    <t>ENTERITO UV M/L PV26 B VERDE T.2/3a</t>
  </si>
  <si>
    <t>ENTERITO UV M/L PV26 B AZUL T.6/12m</t>
  </si>
  <si>
    <t>ENTERITO UV M/L PV26 B AZUL T.12/24m</t>
  </si>
  <si>
    <t>ENTERITO UV M/L PV26 B AZUL T.2/3a</t>
  </si>
  <si>
    <t>REMERA UV M/L PV26 B CRUDO/AZUL T.6/12m</t>
  </si>
  <si>
    <t>REMERA UV M/L PV26 B CRUDO/AZUL T.12/24m</t>
  </si>
  <si>
    <t>REMERA UV M/L PV26 B CRUDO/AZUL T.2/3a</t>
  </si>
  <si>
    <t>SHORT BAÑO RAYAS PV26 B AZUL T.6/12m</t>
  </si>
  <si>
    <t>SHORT BAÑO RAYAS PV26 B AZUL T.12/24m</t>
  </si>
  <si>
    <t>SHORT BAÑO RAYAS PV26 B AZUL T.2/3a</t>
  </si>
  <si>
    <t>GORRO UV ESTAMP PV26 B VERDE T. 6m - 3a</t>
  </si>
  <si>
    <t>GORRO UV ESTAMP PV26 B AZUL  T. 6m - 3a</t>
  </si>
  <si>
    <t>MALLA UV M/L ESTAMPA PV26 N MARINO T.4</t>
  </si>
  <si>
    <t>MALLA UV M/L ESTAMPA PV26 N MARINO T.6</t>
  </si>
  <si>
    <t>MALLA UV M/L ESTAMPA PV26 N MARINO T.8</t>
  </si>
  <si>
    <t>MALLA UV M/L ESTAMPA PV26 N MARINO T.10</t>
  </si>
  <si>
    <t>MALLA UV M/L ESTAMPA PV26 N MARINO T.12</t>
  </si>
  <si>
    <t>MALLA UV M/L ESTAMPA PV26 N MARINO T.14</t>
  </si>
  <si>
    <t>MALLA UV M/L ESTAMPA PV26 N FLORES T.4</t>
  </si>
  <si>
    <t>MALLA UV M/L ESTAMPA PV26 N FLORES T.6</t>
  </si>
  <si>
    <t>MALLA UV M/L ESTAMPA PV26 N FLORES T.8</t>
  </si>
  <si>
    <t>MALLA UV M/L ESTAMPA PV26 N FLORES T.10</t>
  </si>
  <si>
    <t>MALLA UV M/L ESTAMPA PV26 N FLORES T.12</t>
  </si>
  <si>
    <t>MALLA UV M/L ESTAMPA PV26 N FLORES T.14</t>
  </si>
  <si>
    <t>MALLA UV M/L ESTAMPA PV26 N RAYAS T.4</t>
  </si>
  <si>
    <t>MALLA UV M/L ESTAMPA PV26 N RAYAS T.6</t>
  </si>
  <si>
    <t>MALLA UV M/L ESTAMPA PV26 N RAYAS T.8</t>
  </si>
  <si>
    <t>MALLA UV M/L ESTAMPA PV26 N RAYAS T.10</t>
  </si>
  <si>
    <t>MALLA UV M/L ESTAMPA PV26 N RAYAS T.12</t>
  </si>
  <si>
    <t>MALLA UV M/L ESTAMPA PV26 N RAYAS T.14</t>
  </si>
  <si>
    <t>REMERA UV M/L ESTAMPA PV26 N MARINO T.4</t>
  </si>
  <si>
    <t>REMERA UV M/L ESTAMPA PV26 N MARINO T.6</t>
  </si>
  <si>
    <t>REMERA UV M/L ESTAMPA PV26 N MARINO T.8</t>
  </si>
  <si>
    <t>REMERA UV M/L ESTAMPA PV26 N MARINO T.10</t>
  </si>
  <si>
    <t>REMERA UV M/L ESTAMPA PV26 N MARINO T.12</t>
  </si>
  <si>
    <t>REMERA UV M/L ESTAMPA PV26 N MARINO T.14</t>
  </si>
  <si>
    <t>REMERA UV M/L ESTAMPA PV26 N PEONIA T.4</t>
  </si>
  <si>
    <t>REMERA UV M/L ESTAMPA PV26 N PEONIA T.6</t>
  </si>
  <si>
    <t>REMERA UV M/L ESTAMPA PV26 N PEONIA T.8</t>
  </si>
  <si>
    <t>REMERA UV M/L ESTAMP PV26 N PEONIA T.10</t>
  </si>
  <si>
    <t>REMERA UV M/L ESTAMP PV26 N PEONIA T.12</t>
  </si>
  <si>
    <t>REMERA UV M/L ESTAMP PV26 N PEONIA T.14</t>
  </si>
  <si>
    <t>BIKINI LUNARES PV26 N AZUL T.4</t>
  </si>
  <si>
    <t>BIKINI LUNARES PV26 N AZUL T.6</t>
  </si>
  <si>
    <t>BIKINI LUNARES PV26 N AZUL T.8</t>
  </si>
  <si>
    <t>BIKINI LUNARES PV26 N AZUL T.10</t>
  </si>
  <si>
    <t>BIKINI LUNARES PV26 N AZUL T.12</t>
  </si>
  <si>
    <t>BIKINI LUNARES PV26 N AZUL T.14</t>
  </si>
  <si>
    <t>BIKINI CUADROS PV26 N CRUDO T.4</t>
  </si>
  <si>
    <t>BIKINI CUADROS PV26 N CRUDO T.6</t>
  </si>
  <si>
    <t>BIKINI CUADROS PV26 N CRUDO T.8</t>
  </si>
  <si>
    <t>BIKINI CUADROS PV26 N CRUDO T.10</t>
  </si>
  <si>
    <t>BIKINI CUADROS PV26 N CRUDO T.12</t>
  </si>
  <si>
    <t>BIKINI CUADROS PV26 N CRUDO T.14</t>
  </si>
  <si>
    <t>MALLA RAYAS ESTAMP PV26 N AZUL T.4</t>
  </si>
  <si>
    <t>MALLA RAYAS ESTAMP PV26 N AZUL T.6</t>
  </si>
  <si>
    <t>MALLA RAYAS ESTAMP PV26 N AZUL T.8</t>
  </si>
  <si>
    <t>MALLA RAYAS ESTAMP PV26 N AZUL T.10</t>
  </si>
  <si>
    <t>MALLA RAYAS ESTAMP PV26 N AZUL T.12</t>
  </si>
  <si>
    <t>MALLA RAYAS ESTAMP PV26 N AZUL T.14</t>
  </si>
  <si>
    <t>MALLA FLORES COLORES PV26 N AZUL T.4</t>
  </si>
  <si>
    <t>MALLA FLORES COLORES PV26 N AZUL T.6</t>
  </si>
  <si>
    <t>MALLA FLORES COLORES PV26 N AZUL T.8</t>
  </si>
  <si>
    <t>MALLA FLORES COLORES PV26 N AZUL T.10</t>
  </si>
  <si>
    <t>MALLA FLORES COLORES PV26 N AZUL T.12</t>
  </si>
  <si>
    <t>MALLA FLORES COLORES PV26 N AZUL T.14</t>
  </si>
  <si>
    <t>MALLA CUADROS PV26 N CRUDO T.4</t>
  </si>
  <si>
    <t>MALLA CUADROS PV26 N CRUDO T.6</t>
  </si>
  <si>
    <t>MALLA CUADROS PV26 N CRUDO T.8</t>
  </si>
  <si>
    <t>MALLA CUADROS PV26 N CRUDO T.10</t>
  </si>
  <si>
    <t>MALLA CUADROS PV26 N CRUDO T.12</t>
  </si>
  <si>
    <t>MALLA CUADROS PV26 N CRUDO T.14</t>
  </si>
  <si>
    <t>SET BIKINI VOLADOS PV26 N FLORES T.4</t>
  </si>
  <si>
    <t>SET BIKINI VOLADOS PV26 N FLORES T.6</t>
  </si>
  <si>
    <t>SET BIKINI VOLADOS PV26 N FLORES T.8</t>
  </si>
  <si>
    <t>SET BIKINI VOLADOS PV26 N FLORES T.10</t>
  </si>
  <si>
    <t>SET BIKINI VOLADOS PV26 N RAYAS T.4</t>
  </si>
  <si>
    <t>SET BIKINI VOLADOS PV26 N RAYAS T.6</t>
  </si>
  <si>
    <t>SET BIKINI VOLADOS PV26 N RAYAS T.8</t>
  </si>
  <si>
    <t>SET BIKINI VOLADOS PV26 N RAYAS T.10</t>
  </si>
  <si>
    <t>SET 2 PIEZAS BIKINI FLOR PV26 N AZUL T.8</t>
  </si>
  <si>
    <t>SET 2 PIEZAS BIKINI FLO PV26 N AZUL T.10</t>
  </si>
  <si>
    <t>SET 2 PIEZAS BIKINI FLO PV26 N AZUL T.12</t>
  </si>
  <si>
    <t>SET 2 PIEZAS BIKINI FLO PV26 N AZUL T.14</t>
  </si>
  <si>
    <t>SET 2 PIEZAS BIKINI PV26 N RAYAS T.8</t>
  </si>
  <si>
    <t>SET 2 PIEZAS BIKINI PV26 N RAYAS T.10</t>
  </si>
  <si>
    <t>SET 2 PIEZAS BIKINI PV26 N RAYAS T.12</t>
  </si>
  <si>
    <t>SET 2 PIEZAS BIKINI PV26 N RAYAS T.14</t>
  </si>
  <si>
    <t>REMERA UV ESTAMPA PV26 V VERDE T.4</t>
  </si>
  <si>
    <t>REMERA UV ESTAMPA PV26 V VERDE T.6</t>
  </si>
  <si>
    <t>REMERA UV ESTAMPA PV26 V VERDE T.8</t>
  </si>
  <si>
    <t>REMERA UV ESTAMPA PV26 V VERDE T.10</t>
  </si>
  <si>
    <t>REMERA UV ESTAMPA PV26 V VERDE T.12</t>
  </si>
  <si>
    <t>REMERA UV ESTAMPA PV26 V VERDE T.14</t>
  </si>
  <si>
    <t>REMERA UV ESTAMPA PV26 V DENIM T.4</t>
  </si>
  <si>
    <t>REMERA UV ESTAMPA PV26 V DENIM T.6</t>
  </si>
  <si>
    <t>REMERA UV ESTAMPA PV26 V DENIM T.8</t>
  </si>
  <si>
    <t>REMERA UV ESTAMPA PV26 V DENIM T.10</t>
  </si>
  <si>
    <t>REMERA UV ESTAMPA PV26 V DENIM T.12</t>
  </si>
  <si>
    <t>REMERA UV ESTAMPA PV26 V DENIM T.14</t>
  </si>
  <si>
    <t>REMERA UV ESTAMPA PV26 V AZUL T.4</t>
  </si>
  <si>
    <t>REMERA UV ESTAMPA PV26 V AZUL T.6</t>
  </si>
  <si>
    <t>REMERA UV ESTAMPA PV26 V AZUL T.8</t>
  </si>
  <si>
    <t>REMERA UV ESTAMPA PV26 V AZUL T.10</t>
  </si>
  <si>
    <t>REMERA UV ESTAMPA PV26 V AZUL T.12</t>
  </si>
  <si>
    <t>REMERA UV ESTAMPA PV26 V AZUL T.14</t>
  </si>
  <si>
    <t>SHORT BAÑO PV26 H AZUL T.S</t>
  </si>
  <si>
    <t>SHORT BAÑO PV26 H AZUL T.M</t>
  </si>
  <si>
    <t>SHORT BAÑO PV26 H AZUL T.L</t>
  </si>
  <si>
    <t>SHORT BAÑO PV26 H AZUL T.XL</t>
  </si>
  <si>
    <t>SHORT BAÑO PV26 H AZUL T.XXL</t>
  </si>
  <si>
    <t>SHORT BAÑO PV26 H VERDE T.S</t>
  </si>
  <si>
    <t>SHORT BAÑO PV26 H VERDE T.M</t>
  </si>
  <si>
    <t>SHORT BAÑO PV26 H VERDE T.L</t>
  </si>
  <si>
    <t>SHORT BAÑO PV26 H VERDE T.XL</t>
  </si>
  <si>
    <t>SHORT BAÑO PV26 H VERDE T.XXL</t>
  </si>
  <si>
    <t>SHORT BAÑO PV26 H AZUL MARINO T.S</t>
  </si>
  <si>
    <t>SHORT BAÑO PV26 H AZUL MARINO T.M</t>
  </si>
  <si>
    <t>SHORT BAÑO PV26 H AZUL MARINO T.L</t>
  </si>
  <si>
    <t>SHORT BAÑO PV26 H AZUL MARINO T.XL</t>
  </si>
  <si>
    <t>SHORT BAÑO PV26 H AZUL MARINO T.XXL</t>
  </si>
  <si>
    <t>SHORT BAÑO PV26 H OCRE T.S</t>
  </si>
  <si>
    <t>SHORT BAÑO PV26 H OCRE T.M</t>
  </si>
  <si>
    <t>SHORT BAÑO PV26 H OCRE T.L</t>
  </si>
  <si>
    <t>SHORT BAÑO PV26 H OCRE T.XL</t>
  </si>
  <si>
    <t>SHORT BAÑO PV26 H OCRE T.XXL</t>
  </si>
  <si>
    <t>SHORT BAÑO PV26 H ESTAMPADO VERDE T.S</t>
  </si>
  <si>
    <t>SHORT BAÑO PV26 H ESTAMPADO VERDE T.M</t>
  </si>
  <si>
    <t>SHORT BAÑO PV26 H ESTAMPADO VERDE T.L</t>
  </si>
  <si>
    <t>SHORT BAÑO PV26 H ESTAMPADO VERDE T.XL</t>
  </si>
  <si>
    <t>SHORT BAÑO PV26 H ESTAMPADO VERDE T.XXL</t>
  </si>
  <si>
    <t>SHORT BAÑO PV26 H ESTAMPADO DENIM T.S</t>
  </si>
  <si>
    <t>SHORT BAÑO PV26 H ESTAMPADO DENIM T.M</t>
  </si>
  <si>
    <t>SHORT BAÑO PV26 H ESTAMPADO DENIM T.L</t>
  </si>
  <si>
    <t>SHORT BAÑO PV26 H ESTAMPADO DENIM T.XL</t>
  </si>
  <si>
    <t>SHORT BAÑO PV26 H ESTAMPADO DENIM T.XXL</t>
  </si>
  <si>
    <t>SHORT BAÑO PV26 H ESTAMPA PALMERAS T.S</t>
  </si>
  <si>
    <t>SHORT BAÑO PV26 H ESTAMPA PALMERAS T.M</t>
  </si>
  <si>
    <t>SHORT BAÑO PV26 H ESTAMPA PALMERAS T.L</t>
  </si>
  <si>
    <t>SHORT BAÑO PV26 H ESTAMPA PALMERAS T.XL</t>
  </si>
  <si>
    <t>SHORT BAÑO PV26 H ESTAMPA PALMERAS T.XXL</t>
  </si>
  <si>
    <t>SHORT BAÑO PV26 H ESTAMPA RAYAS T.S</t>
  </si>
  <si>
    <t>SHORT BAÑO PV26 H ESTAMPA RAYAS T.M</t>
  </si>
  <si>
    <t>SHORT BAÑO PV26 H ESTAMPA RAYAS T.L</t>
  </si>
  <si>
    <t>SHORT BAÑO PV26 H ESTAMPA RAYAS T.XL</t>
  </si>
  <si>
    <t>SHORT BAÑO PV26 H ESTAMPA RAYAS T.XXL</t>
  </si>
  <si>
    <t>SHORT BAÑO PV26 V VERDE T.4</t>
  </si>
  <si>
    <t>SHORT BAÑO PV26 V VERDE T.6</t>
  </si>
  <si>
    <t>SHORT BAÑO PV26 V VERDE T.8</t>
  </si>
  <si>
    <t>SHORT BAÑO PV26 V VERDE T.10</t>
  </si>
  <si>
    <t>SHORT BAÑO PV26 V VERDE T.12</t>
  </si>
  <si>
    <t>SHORT BAÑO PV26 V VERDE T.14</t>
  </si>
  <si>
    <t>SHORT BAÑO PV26 V AZUL MARINO T.4</t>
  </si>
  <si>
    <t>SHORT BAÑO PV26 V AZUL MARINO T.6</t>
  </si>
  <si>
    <t>SHORT BAÑO PV26 V AZUL MARINO T.8</t>
  </si>
  <si>
    <t>SHORT BAÑO PV26 V AZUL MARINO T.10</t>
  </si>
  <si>
    <t>SHORT BAÑO PV26 V AZUL MARINO T.12</t>
  </si>
  <si>
    <t>SHORT BAÑO PV26 V AZUL MARINO T.14</t>
  </si>
  <si>
    <t>SHORT BAÑO PV26 V OCRE T.4</t>
  </si>
  <si>
    <t>SHORT BAÑO PV26 V OCRE T.6</t>
  </si>
  <si>
    <t>SHORT BAÑO PV26 V OCRE T.8</t>
  </si>
  <si>
    <t>SHORT BAÑO PV26 V OCRE T.10</t>
  </si>
  <si>
    <t>SHORT BAÑO PV26 V OCRE T.12</t>
  </si>
  <si>
    <t>SHORT BAÑO PV26 V OCRE T.14</t>
  </si>
  <si>
    <t>SHORT BAÑO PV26 V ESTAMPA HOJAS T.4</t>
  </si>
  <si>
    <t>SHORT BAÑO PV26 V ESTAMPA HOJAS T.6</t>
  </si>
  <si>
    <t>SHORT BAÑO PV26 V ESTAMPA HOJAS T.8</t>
  </si>
  <si>
    <t>SHORT BAÑO PV26 V ESTAMPA HOJAS T.10</t>
  </si>
  <si>
    <t>SHORT BAÑO PV26 V ESTAMPA HOJAS T.12</t>
  </si>
  <si>
    <t>SHORT BAÑO PV26 V ESTAMPA HOJAS T.14</t>
  </si>
  <si>
    <t>SHORT BAÑO PV26 V ESTAMPA TEXTO T.4</t>
  </si>
  <si>
    <t>SHORT BAÑO PV26 V ESTAMPA TEXTO T.6</t>
  </si>
  <si>
    <t>SHORT BAÑO PV26 V ESTAMPA TEXTO T.8</t>
  </si>
  <si>
    <t>SHORT BAÑO PV26 V ESTAMPA TEXTO T.10</t>
  </si>
  <si>
    <t>SHORT BAÑO PV26 V ESTAMPA TEXTO T.12</t>
  </si>
  <si>
    <t>SHORT BAÑO PV26 V ESTAMPA TEXTO T.14</t>
  </si>
  <si>
    <t>SHORT BAÑO PV26 V ESTAMPA TABLAS T.4</t>
  </si>
  <si>
    <t>SHORT BAÑO PV26 V ESTAMPA TABLAS T.6</t>
  </si>
  <si>
    <t>SHORT BAÑO PV26 V ESTAMPA TABLAS T.8</t>
  </si>
  <si>
    <t>SHORT BAÑO PV26 V ESTAMPA TABLAS T.10</t>
  </si>
  <si>
    <t>SHORT BAÑO PV26 V ESTAMPA TABLAS T.12</t>
  </si>
  <si>
    <t>SHORT BAÑO PV26 V ESTAMPA TABLAS T.14</t>
  </si>
  <si>
    <t>SHORT BAÑO PV26 V ESTAMPA RAYAS T.4</t>
  </si>
  <si>
    <t>SHORT BAÑO PV26 V ESTAMPA RAYAS T.6</t>
  </si>
  <si>
    <t>SHORT BAÑO PV26 V ESTAMPA RAYAS T.8</t>
  </si>
  <si>
    <t>SHORT BAÑO PV26 V ESTAMPA RAYAS T.10</t>
  </si>
  <si>
    <t>SHORT BAÑO PV26 V ESTAMPA RAYAS T.12</t>
  </si>
  <si>
    <t>SHORT BAÑO PV26 V ESTAMPA RAYAS T.14</t>
  </si>
  <si>
    <t>dto</t>
  </si>
  <si>
    <t>adicional sbu</t>
  </si>
  <si>
    <t>dto final (porc+sbu)</t>
  </si>
  <si>
    <t>Verano</t>
  </si>
  <si>
    <t>Todos excepto las sucursales del Este 22, 25, 411, 444, 450</t>
  </si>
  <si>
    <t>LOYMIL HIELERA ARTICO 1000 C.C. P0310</t>
  </si>
  <si>
    <t>COPA HELADO FIESTA 230 ML</t>
  </si>
  <si>
    <t>VASO REFRESCO MIKONOS 460ML.</t>
  </si>
  <si>
    <t>DECANTER BOTELLON TORINO 900 ML.</t>
  </si>
  <si>
    <t>1 COPA HELADO LEXINGTON 220 ML.</t>
  </si>
  <si>
    <t>JARRA VIDRIO 700ML LAV</t>
  </si>
  <si>
    <t>JARRA VIDRIO C/TAPA 1800ML LAV</t>
  </si>
  <si>
    <t>JARRA CERVEZA ESTRIADO CRISA 473ML</t>
  </si>
  <si>
    <t>BOTELLA RÍO SURTIDA 600ML B515</t>
  </si>
  <si>
    <t>BOTELLA RÍO LOOP 600ML</t>
  </si>
  <si>
    <t>BOTELLA RÍO C/TAPA ROSCA ACERO, SURTIDO</t>
  </si>
  <si>
    <t>TERMO 1 LT RIO NEGRO</t>
  </si>
  <si>
    <t>TERMO 1 LT RÍO ROSA</t>
  </si>
  <si>
    <t>TERMO 1 LT RÍO SALMON</t>
  </si>
  <si>
    <t>TERMO 1 LT RÍO VERDE CLARO</t>
  </si>
  <si>
    <t>VASO X6 REFRESCO 300ML NADIR</t>
  </si>
  <si>
    <t>JARRA LISA 1L</t>
  </si>
  <si>
    <t>BOTELLA 1L VIDRIO CON TAPON HERMETICO</t>
  </si>
  <si>
    <t>VASO DE CERVEZA VIDRIO 580 ML</t>
  </si>
  <si>
    <t>COPA DE  VIDRIO 500 ML</t>
  </si>
  <si>
    <t>WHISKY JOHNNIE WALKER RED 1LT + 2 VASOS</t>
  </si>
  <si>
    <t>WHISKY J.WALKER BLACK 1L.+TUMBLER</t>
  </si>
  <si>
    <t>GIN TANQUERAY LONDON DRY 750ML + COPA</t>
  </si>
  <si>
    <t>WHISKY SANDY MAC 1L.</t>
  </si>
  <si>
    <t>WHISKY VAT 69 1L.</t>
  </si>
  <si>
    <t>LICOR BAILEYS 750ML.</t>
  </si>
  <si>
    <t>GIN TANQUERAY BOSSA 700ML</t>
  </si>
  <si>
    <t>GIN TANQUERAY SEVILLA 700ML.</t>
  </si>
  <si>
    <t>GIN TANQUERAY ROYALE 700ML</t>
  </si>
  <si>
    <t>CERVEZA HEINEKEN LATA 710ML</t>
  </si>
  <si>
    <t>CERVEZA AMSTEL LAGER LATA 710 ML</t>
  </si>
  <si>
    <t>SIDRA CELTA 970ML.</t>
  </si>
  <si>
    <t>ANANA CELTA 710ML.</t>
  </si>
  <si>
    <t>SIDRA TUNUYAN 710ML.</t>
  </si>
  <si>
    <t>FIZZ TUNUYAN ANANA</t>
  </si>
  <si>
    <t>ESPUMANTE FDC DEMI SEC</t>
  </si>
  <si>
    <t>ESPUMANTE FDC DEMI SEC.ROSE</t>
  </si>
  <si>
    <t>APERITIVO CYNAR 750ML.</t>
  </si>
  <si>
    <t>WHISKY CHIVAS REGAL 12 1L.</t>
  </si>
  <si>
    <t>WHISKY BALLANTINES 1L.</t>
  </si>
  <si>
    <t>WHISKY JAMESON 1L.</t>
  </si>
  <si>
    <t>WHISKY JAMESON BLACK BARREL 750ML</t>
  </si>
  <si>
    <t>GIN BEEFEATER 750ML.</t>
  </si>
  <si>
    <t>RON HAVANA CLUB AÑEJO 7 AÑOS</t>
  </si>
  <si>
    <t>FERNET BUHERO 700ML</t>
  </si>
  <si>
    <t>APERITIVO RAMAZZOTTI ROSADO  700ML</t>
  </si>
  <si>
    <t>CERVEZA ZILLERTAL LATA 473ML.</t>
  </si>
  <si>
    <t>CERVEZA ZILLERTAL 970ML.</t>
  </si>
  <si>
    <t>CERVEZA STELLA ARTOIS LATA 710ML</t>
  </si>
  <si>
    <t>FERNET BRANCA 750ML.</t>
  </si>
  <si>
    <t>CERVEZA E.DAMM LEMON BOT.330ML.</t>
  </si>
  <si>
    <t>CERVEZA DAB BOT.330ML.</t>
  </si>
  <si>
    <t>CERVEZA DAB BOT.660ML.</t>
  </si>
  <si>
    <t>CERVEZA SCHOF. BOT.330ML. C/POMELO</t>
  </si>
  <si>
    <t>CERVEZA CLAUSTHALER S/A BOT.330ML.</t>
  </si>
  <si>
    <t>CERVEZA CLAUSTHALER C/LIMON BOT. 330ML.</t>
  </si>
  <si>
    <t>CERVEZA CLAUSTHALER C/POMELO BOT. 330ML.</t>
  </si>
  <si>
    <t>CERVEZA CLAUSTHALER S/A 330ML.S/FILTRAR</t>
  </si>
  <si>
    <t>CERVEZA CLAUSTHALER S/A BOT.660ML.</t>
  </si>
  <si>
    <t>VINO GARZON ESTATE PINOT GRIGIO DE CORTE</t>
  </si>
  <si>
    <t>VINO GARZON ESTATE PINOT ROSE DE CORTE</t>
  </si>
  <si>
    <t>VINO GARZON ESTATE SAUVI. BLANC DE CORTE</t>
  </si>
  <si>
    <t>VINO GARZON RESERVA PINOT NOIR ROSE</t>
  </si>
  <si>
    <t>VINO GARZON RESERVA SAUVIGNON BLANC</t>
  </si>
  <si>
    <t>VINO GARZON SINGLE VINEYARD PETIT VERDOT</t>
  </si>
  <si>
    <t>VINO GARZON SINGLE VINEYARD ALBARIÑO</t>
  </si>
  <si>
    <t>VINO GARZON  FIELD BLEND ROSE 750ML</t>
  </si>
  <si>
    <t>VINO GARZON  FIELD BLEND CLARET 750ML</t>
  </si>
  <si>
    <t>VINO GARZON  FIELD BLEND ORANGE 750ML</t>
  </si>
  <si>
    <t>VINO BRISAS DEL ESTE SAUVIGNON BLANC</t>
  </si>
  <si>
    <t>VINO BRISAS BIVARIET TANNAT MERLOT 750ML</t>
  </si>
  <si>
    <t>VINO BRISAS DEL ESTE TANNAT</t>
  </si>
  <si>
    <t>VINO BRISAS DEL ESTE CABERNET SAUVIGNON</t>
  </si>
  <si>
    <t>VINO BRISAS DEL ESTE ROSE</t>
  </si>
  <si>
    <t>VINO BRISAS BLEND SELECTION</t>
  </si>
  <si>
    <t>VINO BRISAS BIVARIET BLANC BLANCS 750ML</t>
  </si>
  <si>
    <t>ESPUMANTE DALUAR ORANGE 750ML</t>
  </si>
  <si>
    <t>CAVA FREIXENET CORDON NEGRO BRUT 750ML</t>
  </si>
  <si>
    <t>CAVA FREIXENET CARTA NEVADA 750ML</t>
  </si>
  <si>
    <t>JUGO ADES ANANA 1L</t>
  </si>
  <si>
    <t>JUGO ADES DURAZNO 1L</t>
  </si>
  <si>
    <t>JUGO ADES MANZANA 1L</t>
  </si>
  <si>
    <t>JUGO ADES NARANJA 1L</t>
  </si>
  <si>
    <t>JUGO ADES TROPICAL 1L</t>
  </si>
  <si>
    <t>REFRESCO PEPSI BLACK 1L</t>
  </si>
  <si>
    <t>REFRESCO PEPSI COLA 1L</t>
  </si>
  <si>
    <t>REFRESCO MIRINDA NARANJA ORIG./S/AZ.1.5L</t>
  </si>
  <si>
    <t>AGUA SABORIZADA H2O CITRUS 1500ML</t>
  </si>
  <si>
    <t>AGUA SABORIZADA H2O LIMONETO 1500ML</t>
  </si>
  <si>
    <t>AGUA SABORIZADA H2O NARANCHELO 1500ML</t>
  </si>
  <si>
    <t>BEBIDA SILK CHOCOLATE 190ML</t>
  </si>
  <si>
    <t>SILK ALMENDRA ENDULZADA 1L</t>
  </si>
  <si>
    <t>BEBIDAS SILK ALMENDRA SIN ENDULZAR 1L</t>
  </si>
  <si>
    <t>SILK ALMENDRA VAINILLA SIN ENDULZAR 1L</t>
  </si>
  <si>
    <t>BEBIDAS SILK ALMENDRA CHOCOLATE 1L</t>
  </si>
  <si>
    <t>BEBIDA SILK COCO SIN AZUCAR 946ML.</t>
  </si>
  <si>
    <t>BEBIDA SILK SOJA SIN AZUCAR 946ML</t>
  </si>
  <si>
    <t>SILK ALMENDRAS AZUCARADA VAINILLA 946ML</t>
  </si>
  <si>
    <t>BEBIDA SILK AVENA SIN AZÚCAR NATUR946ML.</t>
  </si>
  <si>
    <t>JUGO CITRIC NARANJA 1L</t>
  </si>
  <si>
    <t>JUGO CITRIC NARANJA S/PULPA 1L</t>
  </si>
  <si>
    <t>JUGO CITRIC NARANJA 3L</t>
  </si>
  <si>
    <t>JUGO BAGGIO  PERA 1LT</t>
  </si>
  <si>
    <t>JUGO BAGGIO DURAZNO 1L</t>
  </si>
  <si>
    <t>JUGO BAGGIO DURAZNO 200ML</t>
  </si>
  <si>
    <t>JUGO BAGGIO MANZANA 200ML</t>
  </si>
  <si>
    <t>JUGO BAGGIO MANZANA ROJA 1L</t>
  </si>
  <si>
    <t>JUGO BAGGIO MULTIFRUTA 1L</t>
  </si>
  <si>
    <t>JUGO BAGGIO MULTIFRUTA 200ML</t>
  </si>
  <si>
    <t>JUGO BAGGIO NARANJA 1L</t>
  </si>
  <si>
    <t>JUGO BAGGIO NARANJA 200ML</t>
  </si>
  <si>
    <t>JUGO BAGGIO PERA 200ML</t>
  </si>
  <si>
    <t>JUGO DAIRYCO NAR/ZAN 3L</t>
  </si>
  <si>
    <t>JUGO DAIRYCO NAR/MANG 3L</t>
  </si>
  <si>
    <t>JUGO DAIRYCO NARANJA 3L</t>
  </si>
  <si>
    <t>JUGO DAIRYCO NARANJA LIGHT 3L</t>
  </si>
  <si>
    <t>JUGO DAIRYCO NAR/ZAN LIGHT 3L</t>
  </si>
  <si>
    <t>JUGO DAIRYCO NAR/MANG LIGHT 3L</t>
  </si>
  <si>
    <t>JUGO ZUG DURAZNO 1.5L</t>
  </si>
  <si>
    <t>JUGO ZUG MULTIFRUTA 1.5 LT</t>
  </si>
  <si>
    <t>JUGO ZUG NARANJA 1.5L</t>
  </si>
  <si>
    <t>AGUA NATIVA S/GAS 6L</t>
  </si>
  <si>
    <t>JUGO WATTS NARANJA 0.4L</t>
  </si>
  <si>
    <t>JUGO WATTS DURAZNO 0.4L</t>
  </si>
  <si>
    <t>JUGO WATTS DURAZNO 1.5L</t>
  </si>
  <si>
    <t>JUGO WATTS MULTIFRUTA  1.5L</t>
  </si>
  <si>
    <t>JUGO WATTS NARANJA 1.5L</t>
  </si>
  <si>
    <t>JUGO WATTS ZANAHORIA NARANJA 1.5L</t>
  </si>
  <si>
    <t>BEBIDA BIO DRINK ALMENDRA BAR. 1L</t>
  </si>
  <si>
    <t>COCHE BB NAPOLI 3 POSICIONES-DISCONT</t>
  </si>
  <si>
    <t>GIN AMAZZONI RIO NEGRO 700ML.</t>
  </si>
  <si>
    <t>CERVEZA GUINNESS 473ML.</t>
  </si>
  <si>
    <t>CERVEZA GUINNESS HOP HOUSE</t>
  </si>
  <si>
    <t>ESPUMANTE BOUCHON EXTRA BRUT</t>
  </si>
  <si>
    <t>VINO DON PASCUAL. CHARDONNAY (UR)</t>
  </si>
  <si>
    <t>VINO DON PASCUAL. CABERNET SAUVIGNON</t>
  </si>
  <si>
    <t>VINO DON PASCUAL. TANNAT (UR)</t>
  </si>
  <si>
    <t>VINO DON PASCUAL. MERLOT (UR)</t>
  </si>
  <si>
    <t>VINO DON PASCUAL MALBEC BLEND 750ML</t>
  </si>
  <si>
    <t>VINO DON PASCUAL ALABARIÑO BLEND 750ML</t>
  </si>
  <si>
    <t>VINO NEW AGE BLANCO FRIZZANTE 750ML (AR)</t>
  </si>
  <si>
    <t>VINO FAMILIA DEICAS A.SUR TANNAT</t>
  </si>
  <si>
    <t>VINO FAMILIA DEICAS A.SUR CAB/SAU</t>
  </si>
  <si>
    <t>VINO FAMILIA DEICAS A.SUR SAU/BLANC</t>
  </si>
  <si>
    <t>VINO FAMILIA DEICAS A.SUR ROSE</t>
  </si>
  <si>
    <t>VINO FAMILIA DEICAS A.SUR ALBARIÑO</t>
  </si>
  <si>
    <t>VINO FAMILIA DEICAS V. DE UCO MALBEC 750ML</t>
  </si>
  <si>
    <t>VINO CAS.DEL DIABLO CAB.SAUV. (CH)</t>
  </si>
  <si>
    <t>VINO CAS.DEL DIABLO SAUVIG/BLANC</t>
  </si>
  <si>
    <t>VINO CASILLERO DEL DIABLO CHARD 750ML</t>
  </si>
  <si>
    <t>VINO CAS.DEL DIABLO CARMENERE (CH)</t>
  </si>
  <si>
    <t>VINO CAS.DEL DIABLO SYRAH</t>
  </si>
  <si>
    <t>VINO CAS.DEL DIABLO MALBEC (CH)</t>
  </si>
  <si>
    <t>VINO CAS.DEL DIABLO PINOT NOIR</t>
  </si>
  <si>
    <t>VINO TINTO MERLOT CASILLERO CYT 3/4</t>
  </si>
  <si>
    <t>VINO CAS.DEL DIABLO RED BLEND (CH)</t>
  </si>
  <si>
    <t>VINO CASILLERO DEL DIABLO FAB. RED 750ML</t>
  </si>
  <si>
    <t>VINO CASILLERO DEL DIABLO F.SWEET 750ML</t>
  </si>
  <si>
    <t>WHISKY GLENFIDDICH 12 AÑOS 750ML.</t>
  </si>
  <si>
    <t>GIN HENDRICK'S 700ML.</t>
  </si>
  <si>
    <t>DULCE DE LECHE 475G LA PATAIA</t>
  </si>
  <si>
    <t>TORTILLA DE MAIZ 20 CM. MISSION</t>
  </si>
  <si>
    <t>TORTILLA 20CM. TRIGO 320G. MISSION</t>
  </si>
  <si>
    <t>SALSA MEXICANA 300G MISSION</t>
  </si>
  <si>
    <t>TORTILLA INTEGRAL MISSION 20CM 320G X16</t>
  </si>
  <si>
    <t>SALSA GUACAMOLE 300G MISSION</t>
  </si>
  <si>
    <t>SALSA QUESO CHEDDAR 300G MISSION</t>
  </si>
  <si>
    <t>CHIMICHURRI 350G DEL GAUCHO</t>
  </si>
  <si>
    <t>CHIMICHURRI HOT 350G DEL GAUCHO</t>
  </si>
  <si>
    <t>CHIMICHURRI S/SAL 350G DEL GAUCHO</t>
  </si>
  <si>
    <t>AJO Y PEREJIL S/SAL 350G DEL GAUCHO</t>
  </si>
  <si>
    <t>AJO Y PEREJIL 350G DEL GAUCHO</t>
  </si>
  <si>
    <t>PESTO 350G DEL GAUCHO</t>
  </si>
  <si>
    <t>DULCE DE LECHE 420G SILENTE</t>
  </si>
  <si>
    <t>GALLETA SURTIDA 300G.TIENDA INGLESA</t>
  </si>
  <si>
    <t>CLARA LIQUIDA PASTEU.1L PRODHI</t>
  </si>
  <si>
    <t>HUEVO LIQUIDO PASTEU.1L PRODHIN</t>
  </si>
  <si>
    <t>CEREAL ALL BRAN 400G KELLOGGS</t>
  </si>
  <si>
    <t>AZUCAR MASCABO 500GR. TERRA VERDE</t>
  </si>
  <si>
    <t>YERBA MATE ORGANICA TERRA VERDE 1KG</t>
  </si>
  <si>
    <t>ACEITE DE COCO 1L TERRA VERDE</t>
  </si>
  <si>
    <t>YERBA 500G. TIENDA INGLESA</t>
  </si>
  <si>
    <t>CAFE LIOFILIZADO PREMIUM 100G T.INGLESA</t>
  </si>
  <si>
    <t>ATUN OLIVA 354G.T.INGLESA</t>
  </si>
  <si>
    <t>FIDEO SPAGHETTI 500G.COLAVITA</t>
  </si>
  <si>
    <t>FIDEO FUSILLI 500G.COLAVITA</t>
  </si>
  <si>
    <t>FIDEO GEMELLI 500G.COLAVITA</t>
  </si>
  <si>
    <t>FIDEO FARFALLE 500G.COLAVITA</t>
  </si>
  <si>
    <t>FIDEO FETUCCINE 500G.COLAVITA</t>
  </si>
  <si>
    <t>FIDEO PENNE 500G.COLAVITA</t>
  </si>
  <si>
    <t>FIDEO RIGATONI 500G.COLAVITA</t>
  </si>
  <si>
    <t>PULPA DE TOMATE ALBAHACA 390G CIRIO</t>
  </si>
  <si>
    <t>PULPA DE TOMATE AJO/CEB 390G CIRIO</t>
  </si>
  <si>
    <t>SALSA DE TOMATE ALBAHACA 420G CIRIO</t>
  </si>
  <si>
    <t>SALSA DE TOMATE ARRABBIATA 420G CIRIO</t>
  </si>
  <si>
    <t>FIDEO TAGLIATELLE 500G.COLAVITA</t>
  </si>
  <si>
    <t>FIDEO RIGATONCINI 500G.COLAVITA</t>
  </si>
  <si>
    <t>FIDEO PENNE RIGATE 500G.COLAVITA</t>
  </si>
  <si>
    <t>FIDEO RISONE 500G.COLAVITA</t>
  </si>
  <si>
    <t>FIDEO GNOCCHI 500G COLAVITA</t>
  </si>
  <si>
    <t>FIDEO VERMICELLI 500G.COLAVITA</t>
  </si>
  <si>
    <t>FIDEO SPAGHETTINI 500G.COLAVITA</t>
  </si>
  <si>
    <t>FIDEO  BUCATINI 500G.COLAVITA</t>
  </si>
  <si>
    <t>CHIPIRON ACEI 120G CABO DE PEÑA</t>
  </si>
  <si>
    <t>CHIPIRON TINT 120G CABO DE PEÑA</t>
  </si>
  <si>
    <t>ZAMBURIÑAS S/VI 120G CABO DE PEÑA</t>
  </si>
  <si>
    <t>PULPO A.OLIVA 120G CABO DE PEÑA</t>
  </si>
  <si>
    <t>TOSTADA MINI AJO PEREJIL 150G PLAZA DEL SOL</t>
  </si>
  <si>
    <t>TOSTADA MINI CEBOLLA 150G PLAZA DEL SOL</t>
  </si>
  <si>
    <t>TOSTADA MINI TOMATE 150G PLAZA DEL SOL</t>
  </si>
  <si>
    <t>ARVEJA 400G.CASSEGRAIN</t>
  </si>
  <si>
    <t>CHOCLO DULCE 300 GRS.CASSEGRAIN</t>
  </si>
  <si>
    <t>ARVEJA ZANAHOR.400G.CASSEGRAIN</t>
  </si>
  <si>
    <t>ZANAHORIA COC.400GR.CASSEGRAIN</t>
  </si>
  <si>
    <t>SARDINA EN OLIVA RED.SODIO 120G.CABO DE</t>
  </si>
  <si>
    <t>SARDINAS EN ACEITE DE OLIVA 120G  CABO</t>
  </si>
  <si>
    <t>ATUN CLARO ACEITE VEG X3 CABO DE PEÑA</t>
  </si>
  <si>
    <t>ATUN RED.SODIO PACK X 3 240G.CABO DE PEÑ</t>
  </si>
  <si>
    <t>ATUN CLARO ACEITE VEG.111 G. CABO</t>
  </si>
  <si>
    <t>SARDINAS ACEITE GIRAS 120G CABO DE PEÑAS</t>
  </si>
  <si>
    <t>ATUN  ACEITE VEGETAL 70G. CABO DE PEÑA</t>
  </si>
  <si>
    <t>ATUN ACEITE VEG. PACK X2 160G. CABO DE P</t>
  </si>
  <si>
    <t>ATUN BONITO OLI 120G CABO DE PEÑA</t>
  </si>
  <si>
    <t>ATUN BONITO OLI 220G CABO DE PEÑA</t>
  </si>
  <si>
    <t>CHOCLO EN GRANO 300G TIENDA INGLESA</t>
  </si>
  <si>
    <t>PIMENTON DULCE LATA 75G. CARMENCITA</t>
  </si>
  <si>
    <t>AJO POLVO 40G CARMENCITA</t>
  </si>
  <si>
    <t>PIMENTON PICAN.LATA 75G. CARMENCITA</t>
  </si>
  <si>
    <t>CÚRCUMA MOLIDA 48G CARMENCITA</t>
  </si>
  <si>
    <t>JENGIBRE MOLIDO 25G CARMENCITA</t>
  </si>
  <si>
    <t>COLORANTE ALIMENTARIO 10S. CARMENCITA</t>
  </si>
  <si>
    <t>CURRY 26G CARMENCITA</t>
  </si>
  <si>
    <t>TE ENGLISH BREAKF 17 5G CARMENCITA</t>
  </si>
  <si>
    <t>SAZONADOR COMPLETO 60G CARMENCITA</t>
  </si>
  <si>
    <t>TE CON LIMON 15G CARMENCITA</t>
  </si>
  <si>
    <t>POSTRE CREMA CATALANA 80G. CARMENCITA</t>
  </si>
  <si>
    <t>AZAFRAN HEBRAS 0.375 G. CARMENCITA</t>
  </si>
  <si>
    <t>AZAFRAN POLVO 0.40G. CARMENCITA</t>
  </si>
  <si>
    <t>TE ROJO 15G CARMENCITA</t>
  </si>
  <si>
    <t>SAZON CHIMICHU 27G CARMENCITA</t>
  </si>
  <si>
    <t>SAL ROSA 3PIMIEN 312G CARMENCITA</t>
  </si>
  <si>
    <t>NUEZ MOSCADA MOL 51G CARMENCITA</t>
  </si>
  <si>
    <t>SAZONADOR ENSALADA MOL 77G CARMENCITA</t>
  </si>
  <si>
    <t>SAZONADOR CARNE 62G CARMENCITA</t>
  </si>
  <si>
    <t>PIMIENTA NEGRA GRANO.190G MOL.CARMENCITA</t>
  </si>
  <si>
    <t>ESPECIAS P/ GIN TONIC MISTIC 9G CARMENCI</t>
  </si>
  <si>
    <t>PAELLA KIT MARISCO 2P 265G CARMENCITA</t>
  </si>
  <si>
    <t>SAZ PASTA &amp; PIZZ MOL 64G CARMENCITA</t>
  </si>
  <si>
    <t>ESPECIAS PARA GINTONIC 100G CARMENCITA</t>
  </si>
  <si>
    <t>PAELLA KIT VERDURA 2P 266G CARMENCITA</t>
  </si>
  <si>
    <t>PAELLA KIT ARR NEGR 2P 265G CARMENCITA</t>
  </si>
  <si>
    <t>ENELDO HOJA 10G CARMENCITA</t>
  </si>
  <si>
    <t>TOMILLO 10G CARMENCITA</t>
  </si>
  <si>
    <t>ALBAHACA 10G CARMENCITA</t>
  </si>
  <si>
    <t>COMINO MOLIDO 30G CARMENCITA</t>
  </si>
  <si>
    <t>CALDO PALLEA MARIS 4P CARMENCITA</t>
  </si>
  <si>
    <t>MIX 4 PIMIENTAS 145G CARMENCITA</t>
  </si>
  <si>
    <t>CLAVO DE OLOR GRANO 18G CARMENCITA</t>
  </si>
  <si>
    <t>ESTRAGÓN 14G CARMENCIT</t>
  </si>
  <si>
    <t>SAL MARINA C/HIERB 328G MOL.CARMENCITA</t>
  </si>
  <si>
    <t>TE VERDE 15G CARMENCITA</t>
  </si>
  <si>
    <t>PIMENTON DULCE 150G. LATA CARMENCITA</t>
  </si>
  <si>
    <t>PIMENTON DULCE AHUM. 75G. CARMENCITA</t>
  </si>
  <si>
    <t>GALLETA MINI QUINA 100G BRIA</t>
  </si>
  <si>
    <t>GALLETA COCO Y ALMED 100G BRIA</t>
  </si>
  <si>
    <t>GALLETA PECAN Y BANAN 100G BRIA</t>
  </si>
  <si>
    <t>GALLETA CHO Y CAJÚ 100G BRIA</t>
  </si>
  <si>
    <t>GALLETA CHOCO Y AVELL 100G BRIA</t>
  </si>
  <si>
    <t>SNACK KETO 100G BRIA</t>
  </si>
  <si>
    <t>TOSTADAS ARROZ 130 G TIENDA INGLESA</t>
  </si>
  <si>
    <t>ATUN NATURAL 354G.T.INGLESA</t>
  </si>
  <si>
    <t>ARVEJA 300 GRS. TIENDA INGLESA</t>
  </si>
  <si>
    <t>ATUN LOMO ACEITE 354G.T.INGLESA</t>
  </si>
  <si>
    <t>ATUN OLIVA 160G. T. INGLESA</t>
  </si>
  <si>
    <t>ATUN EN LOMO NATURAL 170G TIENDA INGLESA</t>
  </si>
  <si>
    <t>PALMITO ENTERO 270G.T. INGLESA</t>
  </si>
  <si>
    <t>PALMITO ENTERO 400G.T. INGLESA</t>
  </si>
  <si>
    <t>ATUN EN LOMO ACEITE 170G TIENDA INGLESA</t>
  </si>
  <si>
    <t>PALMITO RODAJA 400G.T. INGLESA</t>
  </si>
  <si>
    <t>ATUN TROZOS NATURAL TI 120GR</t>
  </si>
  <si>
    <t>ATUN TROZOS ACEITE 120G T.INGLESA</t>
  </si>
  <si>
    <t>PALMITO ENTERO 800G.T. INGLESA</t>
  </si>
  <si>
    <t>ATUN NATURAL 1K. TIENDA INGLESA</t>
  </si>
  <si>
    <t>ATUN ACEITE 1 K. TIENDA INGLESA</t>
  </si>
  <si>
    <t>PALMITO RODAJA 800G.T. INGLESA</t>
  </si>
  <si>
    <t>EDULCORANTE 100 SOBRES SUCRALIGHT</t>
  </si>
  <si>
    <t>EDULCORANTE STEVIA 100 BAST.TEVIAS</t>
  </si>
  <si>
    <t>SALSA DE TOMATE FRITO 300G HELIOS</t>
  </si>
  <si>
    <t>SALSA TOMATE NAPOLITANA 300G HELIOS</t>
  </si>
  <si>
    <t>SALSA CESAR 430G. COOSUR</t>
  </si>
  <si>
    <t>SALSA ALIOLI 430G. COOSUR</t>
  </si>
  <si>
    <t>SALSA DE TOMATE PIZZA 300G HELIOS</t>
  </si>
  <si>
    <t>SIROPE CHOCOLATE 295G HELIOS</t>
  </si>
  <si>
    <t>SIROPE CARAMELO 295G HELIOS</t>
  </si>
  <si>
    <t>SIROPE FRESA 295G HELIOS</t>
  </si>
  <si>
    <t>POLVO HORNEAR 100G.FLEISCHMANN</t>
  </si>
  <si>
    <t>LEVADURA SECA 100G.FLEISCHMANN</t>
  </si>
  <si>
    <t>LEVADURA SECA 55GR.FLEISCHMANN</t>
  </si>
  <si>
    <t>POSTRE DULCE LECHE 200G.FLEISCHMANN</t>
  </si>
  <si>
    <t>POSTRE CHOCOLATE 200G.FLEISCHMANN</t>
  </si>
  <si>
    <t>POSTRE VAINILLA 200G.FLEISCHMANN</t>
  </si>
  <si>
    <t>CHANTILLY POLVO 50G.FLEISCHMANN</t>
  </si>
  <si>
    <t>BIZCOCHUELO VAIN. 480G. FLEISCHMANN</t>
  </si>
  <si>
    <t>CHANTILLY POLVO CHOC.100G.FLEISC</t>
  </si>
  <si>
    <t>BIZCOCHUELO MARM. 480G. FLEISCHMANN</t>
  </si>
  <si>
    <t>BIZCOCHUELO CHOC. 480G. FLEISCHMANN</t>
  </si>
  <si>
    <t>MERMELADA 4 FRUTOS ST.DALF</t>
  </si>
  <si>
    <t>MERMELADA DURAZNO ST.DALF 284GR</t>
  </si>
  <si>
    <t>MERMELADA ARAND ROJ/AZ ST.DALF</t>
  </si>
  <si>
    <t>MERMELADA FRUT/ RUIB S/AZU 284G STDALFOU</t>
  </si>
  <si>
    <t>MERMELADA FRAMB/GRANA S/AZU 284G STDALFO</t>
  </si>
  <si>
    <t>MERMELADA GROSELLAS NEGR.ST DALFOUR 284G</t>
  </si>
  <si>
    <t>MERMELADA NAR/JENG S/AZU 284G STDALFOUR</t>
  </si>
  <si>
    <t>MERMELADA MANZ/CANELA ST.DALF</t>
  </si>
  <si>
    <t>MERMELADA MANG/MARA S/AZU 284G STDALFOUR</t>
  </si>
  <si>
    <t>SALSA HELADO CHOC.300G.LOS NIETITOS</t>
  </si>
  <si>
    <t>SALSA HELADO D.LECHE 300 LOS NIETITOS</t>
  </si>
  <si>
    <t>SALSA HELADO FRUT.300G LOS NIETITOS</t>
  </si>
  <si>
    <t>HUEVO COLOR.PREMIUM DOC.PRODHIN</t>
  </si>
  <si>
    <t>ACEITE OLIVA EX.VIRGEN 250C.CARBONELL</t>
  </si>
  <si>
    <t>GALLETA MARIA DORADA 200G. GULLON</t>
  </si>
  <si>
    <t>GALLETA FIBRA INTEG. S/AZUC.170G. GULLON</t>
  </si>
  <si>
    <t>GALLETA CHIP CHOCO S/AZUC.125G. GULLON</t>
  </si>
  <si>
    <t>GALLETA AVENA/NAR.S/GLUTEN 180GULLON</t>
  </si>
  <si>
    <t>GALLETA MARIA DORADA 2K. GULLON</t>
  </si>
  <si>
    <t>ARROZ PARBOILED 1K. TIENDA INGLESA</t>
  </si>
  <si>
    <t>CEREAL AVENA Y MIEL 180G. LA ABUNDANCIA</t>
  </si>
  <si>
    <t>PASAS DE UVA S/SEM. 200G. BAMBINA</t>
  </si>
  <si>
    <t>CEREAL COPOS DE MAIZ 200G. LA ABUNDANCIA</t>
  </si>
  <si>
    <t>CIRUELAS C/CAR. 250G. LA ABUNDANCIA</t>
  </si>
  <si>
    <t>SALSA SOJA 250CC. KYOTO</t>
  </si>
  <si>
    <t>SALSA SOJA LIGHT 250CC. KYOTO</t>
  </si>
  <si>
    <t>DATILES S/CAROZO 250G. LA ABUNDANCIA</t>
  </si>
  <si>
    <t>CRANBERRIES ROJOS DESH. 120G. LA ABUNDAN</t>
  </si>
  <si>
    <t>ARROZ BLANCO 1K. TIENDA INGLESA</t>
  </si>
  <si>
    <t>GALLETA ARROZ MINI 150G. SAMAN</t>
  </si>
  <si>
    <t>GALLETA ARROZ MINI DULCE 150G. SAMAN</t>
  </si>
  <si>
    <t>GALLETA ARROZ MINI S/SAL 150G. SAMAN</t>
  </si>
  <si>
    <t>MAYONESA D. PACK LIGHT 950G. HELLMANNS</t>
  </si>
  <si>
    <t>KETCHUP 400G HELLMANNS</t>
  </si>
  <si>
    <t>MAYONESA LIGHT 950 HELLM+ATUN</t>
  </si>
  <si>
    <t>MOSTAZA 250G. SAVORA</t>
  </si>
  <si>
    <t>CHOCOLINAS X 265 GRS</t>
  </si>
  <si>
    <t>ACEITE OLIVA EX.VIRGEN 1L.LA PEDRIZA</t>
  </si>
  <si>
    <t>CEREAL FROOT LOOPS BOLSA 230G.KELLOGGS</t>
  </si>
  <si>
    <t>CEREAL 240G ZUCARITAS KELLOGS</t>
  </si>
  <si>
    <t>CEREAL CHOCO ZUCARITAS 240 G KELLOGS</t>
  </si>
  <si>
    <t>CEREAL ZUCARITAS 610G KELLOGGS</t>
  </si>
  <si>
    <t>CEREAL CORN FLAKES 180G BOLSA KELLOGGS</t>
  </si>
  <si>
    <t>CEREAL FROOT LOOPS 340G BOLSA KELLOGGS</t>
  </si>
  <si>
    <t>CEREAL CHOCO KRISPISKELLOGS  39G</t>
  </si>
  <si>
    <t>CEREAL MUSLI CHOC 255G. KELLOGGS</t>
  </si>
  <si>
    <t>CEREAL MUSLI MAN/PASA 255G. KELLOGGS</t>
  </si>
  <si>
    <t>CEREAL CHOCO KRISPIS 200G KELLOGGS</t>
  </si>
  <si>
    <t>CEREAL FROOT LOOPS KELLOGGS 230G</t>
  </si>
  <si>
    <t>CEREAL KELLOGGS ZUCARITAS 39G</t>
  </si>
  <si>
    <t>CEREAL CHOCO KRISPIS KELLOGGS 180G</t>
  </si>
  <si>
    <t>CEREAL CORN FLAKES KELLOGGS 200G</t>
  </si>
  <si>
    <t>CEREAL FROOT LOOPS KELLOGGS 470G</t>
  </si>
  <si>
    <t>CEREAL CHOCO ZUCARITAS KELLOGGS 240G</t>
  </si>
  <si>
    <t>GALLETA CHOCOLINAS BLANCO 245G</t>
  </si>
  <si>
    <t>GALLETA CHOCOLINAS NEGRO 245G</t>
  </si>
  <si>
    <t>YOGUR DUR.TETRATOP 500CC.CONAPROLE</t>
  </si>
  <si>
    <t>YOGUR FRUT.TETRATOP 500CC.CONAPROLE</t>
  </si>
  <si>
    <t>POSTRE PUDDING VAIN.110G. X2 CONAPROL</t>
  </si>
  <si>
    <t>POSTRE PUDDING CHOC. X2 110G.CONAPROLE</t>
  </si>
  <si>
    <t>POSTRE PUDDING DL.LECHE 110G.X2 CONAPROL</t>
  </si>
  <si>
    <t>LECHE CHOCOLATADA 1L COLET</t>
  </si>
  <si>
    <t>PAPAS CORTE TRADICIONAL 2K POLAR FOOD</t>
  </si>
  <si>
    <t>MANTECA 200G T.INGLESA</t>
  </si>
  <si>
    <t>MANTECA TIENDA INGLESA 200 GR C/SAL</t>
  </si>
  <si>
    <t>POSTRE HEL. PREMIUM PASION ALM.826G.CRUF</t>
  </si>
  <si>
    <t>POSTRE HEL. PREM CHEESECAKE 650G CRUFI</t>
  </si>
  <si>
    <t>POSTRE HEL. PREMIUM MANJ.NIEVE 844G.CRUF</t>
  </si>
  <si>
    <t>POSTRE HEL. PREMIUM SUSP. MENTA 854G.CRU</t>
  </si>
  <si>
    <t>HELADO DIET VAINILLA 1L.CRUFI</t>
  </si>
  <si>
    <t>HELADO DIET DL.LECHE C/SALSA DL. 1L CRUF</t>
  </si>
  <si>
    <t>HELADO DIET TRIPLE  1L.CRUFI</t>
  </si>
  <si>
    <t>HELADO DIET VAIN. C/ DURAZ.1L CRUFI</t>
  </si>
  <si>
    <t>HELADO DIET FLAN CON DDL. 1L.CRUFI</t>
  </si>
  <si>
    <t>HAMBURGUESA X2 160G CABAÑA LAS LILAS</t>
  </si>
  <si>
    <t>YOGUR NATURAL 310ML SILENTE</t>
  </si>
  <si>
    <t>YOGUR NATURAL 800ML SILENTE</t>
  </si>
  <si>
    <t>LECHE ENTERA BOTELLA 1L.SERENISIMA</t>
  </si>
  <si>
    <t>LECHE DESCREMADA BOTELLA 1L.SERENISIMA</t>
  </si>
  <si>
    <t>LECHE 0% LACTOSA 1L LA SERENISIMA</t>
  </si>
  <si>
    <t>LECHE C/HIERRO BOTELLA 1L LA SERENISIMA</t>
  </si>
  <si>
    <t>YOGUR GREGO NATURAL X2 180G.DANONE</t>
  </si>
  <si>
    <t>YOGUR GREGO F.ROJOS X2 180G.DANONE</t>
  </si>
  <si>
    <t>YOGUR NATURAL ENDULZ. 460G YOGURISIMO</t>
  </si>
  <si>
    <t>YOGUR NATURAL 460G YOGURISIMO</t>
  </si>
  <si>
    <t>YOGUR NATURAL BATIDO 460G SER</t>
  </si>
  <si>
    <t>YOGUR NATURAL DESLACTOSADO 460G SER</t>
  </si>
  <si>
    <t>POSTRE DL.LECHE X4 DANETTE</t>
  </si>
  <si>
    <t>POSTRE CHOCOLATE X4 DANETTE</t>
  </si>
  <si>
    <t>POSTRE CREMA AMERIC X4 DANETTE</t>
  </si>
  <si>
    <t>FLAN VAINILLA PACK X4 DANETTE</t>
  </si>
  <si>
    <t>FLAN X4 SER</t>
  </si>
  <si>
    <t>PIZZA CONG MUZZARELLA TIENDA INGLESAX2</t>
  </si>
  <si>
    <t>EMPANADA CAR TIENDA INGLESA X6</t>
  </si>
  <si>
    <t>EMPANADA JYQ TIENDA INGLESA X6</t>
  </si>
  <si>
    <t>EMPANADA EYQ TIENDA INGLESA X6</t>
  </si>
  <si>
    <t>EMPANADA QYA TIENDA INGLESAX6</t>
  </si>
  <si>
    <t>PAPA FRITA CAMPESINA 120G MARIA BONITA</t>
  </si>
  <si>
    <t>PAPA HUEVO FRITO 120G MARIA BONITA</t>
  </si>
  <si>
    <t>PAPA ETIQUETA NEGRA 120G MARIA BONITA</t>
  </si>
  <si>
    <t>PAPA LIMON Y PIMIENTA 120G MARIA BONITA</t>
  </si>
  <si>
    <t>PAPA MARIA BONITA JAMON SERRANO 120G</t>
  </si>
  <si>
    <t>PAPA RUSTICA 120G MARIA BONITA</t>
  </si>
  <si>
    <t>MIX FRUTOS ROJOS CONG. 300G MAR AUSTRAL</t>
  </si>
  <si>
    <t>FRAMBUESAS CONG. 300G MAR AUSTRAL</t>
  </si>
  <si>
    <t>ARANDANOS CONG. 300G MAR AUSTRAL</t>
  </si>
  <si>
    <t>FRUTILLAS ENTERAS CONG. 300G MAR AUSTRAL</t>
  </si>
  <si>
    <t>PAPA BASTON CONG HORNO 700G MCCAIN</t>
  </si>
  <si>
    <t>PAPA SMILES 700G MCCAIN</t>
  </si>
  <si>
    <t>PAPA NOISETTE 600G MCCAIN</t>
  </si>
  <si>
    <t>HAMBURGUESA HAMBY CLASICA X2</t>
  </si>
  <si>
    <t>HAMBURGUESA X2 113G HAMBIG</t>
  </si>
  <si>
    <t>HAMBURGUESA X2 PANCETA HAMBY</t>
  </si>
  <si>
    <t>MINI CROQUETAS J Y Q ARTICO 300GR</t>
  </si>
  <si>
    <t>BARRITAS DE MUZZARELLA ARTICO 300 GRS</t>
  </si>
  <si>
    <t>MINI CROQUETAS ESP Y QUESO ARTICO 300GR</t>
  </si>
  <si>
    <t>HELADO VASO FRUT/CREMA 220ML LEKKER</t>
  </si>
  <si>
    <t>HELADO SANDWICHE LEKKER FRUT /CREMA</t>
  </si>
  <si>
    <t>HELADO SANDWICHE LEKKER DDL/ CHOCO</t>
  </si>
  <si>
    <t>HELADO VASO CHOC./DDL 220ML LEKKER</t>
  </si>
  <si>
    <t>HELADO VASO SUPER DDL 220ML LEKKER</t>
  </si>
  <si>
    <t>PLATANO SALADO 100G INKA CHIPS</t>
  </si>
  <si>
    <t>PLATANO PICANTE 100G INKA CHIPS</t>
  </si>
  <si>
    <t>MAIZ GIGANTE ORIGINAL100G INKA CHIPS</t>
  </si>
  <si>
    <t>MAIZ GIGANTE PICANTE 100G INKA CHIPS</t>
  </si>
  <si>
    <t>ACEITUNA S/C SACHET 300G. RIO DE LA PLA.</t>
  </si>
  <si>
    <t>ACEITUNA RODAJA 140G. RIO DE LA PLATA</t>
  </si>
  <si>
    <t>ACEITUNA SACHET 300G. RIO DE LA PLATA</t>
  </si>
  <si>
    <t>ACEITUNA VER. C/C 660G RIO DE LA PLATA</t>
  </si>
  <si>
    <t>ACEITUNA VER. S/C 660G RIO DE LA PLATA</t>
  </si>
  <si>
    <t>MIX ACTIVO CAST/ALM/MANI 150G. RIO</t>
  </si>
  <si>
    <t>MIX FIBRA NUEZ/UVA/CAST/ALM. 150G. RIO</t>
  </si>
  <si>
    <t>ALMENDRAS S/SAL 100G. RIO DE LA PLAT</t>
  </si>
  <si>
    <t>MANI FRITO SALADO 180G.RIO DE LA PLATA</t>
  </si>
  <si>
    <t>MANI TOSTADO S/SAL 180 RIO DE LA PLATA</t>
  </si>
  <si>
    <t>PACK PICADA COMPLETA 320 GRS</t>
  </si>
  <si>
    <t>DORITOS SABOR QUESO 150 GRS</t>
  </si>
  <si>
    <t>PAPA LAYS CLASICA 380G</t>
  </si>
  <si>
    <t>PAPA RUFFLES 215G</t>
  </si>
  <si>
    <t>PALI CHIPS JAMON 150G</t>
  </si>
  <si>
    <t>LAVARROPA ENXUTA C/F 6KG</t>
  </si>
  <si>
    <t>COCINA ENXUTA 4 HORNALLAS  CENX9504W</t>
  </si>
  <si>
    <t>CALEFON ENXUTA T. ACERO 30L CILINDRICO</t>
  </si>
  <si>
    <t>CALEFON ENXUTA T. ACERO 47L DIG CILINDRI</t>
  </si>
  <si>
    <t>LAVARROPA INHAUS 6KG CARGA FRONTAL</t>
  </si>
  <si>
    <t>LAVARROPA INHAUS 10KG INOX FRONTAL</t>
  </si>
  <si>
    <t>LAVASECARROPAS XION CFRONTAL 12-8</t>
  </si>
  <si>
    <t>FREEZER HORIZONTAL CAP 100LTS</t>
  </si>
  <si>
    <t>REFRIGERADOR DOS PUERTAS 363LT FRIO SECO</t>
  </si>
  <si>
    <t>FRIGOBAR 93 LT INOX</t>
  </si>
  <si>
    <t>REFRIGERADOR LG VT40SPP 393L INVERTER</t>
  </si>
  <si>
    <t>REFRIGERADOR SAMSUNG INVERTER 301 L INX</t>
  </si>
  <si>
    <t>REFRIGERADOR LG INVERTER 283L VT29WPPDC</t>
  </si>
  <si>
    <t>REFRIGERADOR SMARTLIFE SL-RFH220WH 212L</t>
  </si>
  <si>
    <t>REFRIGERADOR SMARTLIFE  INOX 249L C/D</t>
  </si>
  <si>
    <t>FRIGOBAR MIDEA 93L NEGRO</t>
  </si>
  <si>
    <t>HEL. WHIRLPOOL 461L INV.</t>
  </si>
  <si>
    <t>REFRIGERADOR FRENCH DOOR 592 LTS WHIRLPOOL</t>
  </si>
  <si>
    <t>COCINA 4 HORNALLAS WHIRLPOOL</t>
  </si>
  <si>
    <t>DEPILADORA DEFINITIVA PHILIPS BRI924/30</t>
  </si>
  <si>
    <t>DEPILADORA PHILIPS BRE225/00</t>
  </si>
  <si>
    <t>AFEITADORA PHILIPS ONEBLADE QP2824/10</t>
  </si>
  <si>
    <t>LICUADORA PERSONAL MOULINEX MIX&amp;MOVE 300</t>
  </si>
  <si>
    <t>LICUADORA SMARTLIFE SL-BL1008B VIDRIO</t>
  </si>
  <si>
    <t>LICUADORA POWERMIX 8V VIDRIO MOLUNIEX</t>
  </si>
  <si>
    <t>LICUADORA PHILIPS HR2129/00 550W</t>
  </si>
  <si>
    <t>LICUADORA MIDEA NEGRA 1.5L JARRA DE VIDRIO MJ-BL6014W</t>
  </si>
  <si>
    <t>JARRA ELÉCTRICA INOX 1.7 L SMARTLIFE</t>
  </si>
  <si>
    <t>JARRA ELECTRICA CUORI 1500W 1.8L MAGDA</t>
  </si>
  <si>
    <t>JARRA ELECTRICA SMARTLIFE SL-CE1702 1.7L</t>
  </si>
  <si>
    <t>FREIDORA SIN ACEITE INHAUS VERT 5.5+5.5 INOX</t>
  </si>
  <si>
    <t>MICROONDAS SMARTLIFE 20L M</t>
  </si>
  <si>
    <t>AIRE ACONDICIONADO ECOSYSTEM 9.000 BTU ON/OFF</t>
  </si>
  <si>
    <t>AIRE ACONDICIONADO ECOSYSTEM 24.000 BTU INVER</t>
  </si>
  <si>
    <t>AIRE AC ESEZ09INV ECOSYSTEM</t>
  </si>
  <si>
    <t>AIRE ACONDICIONADO ECOSYSTEM 12.000 BTU ON/OF</t>
  </si>
  <si>
    <t>AIRE AC CLASE A ECOSYSTEM INV 18.000 BTU</t>
  </si>
  <si>
    <t>VENTILADOR 3 EN 1 LEXA USS-18731B</t>
  </si>
  <si>
    <t>VENTILADOR 3 EN 1 NEGRO INHAUS</t>
  </si>
  <si>
    <t>VENTILADOR LEXA 16 CONTROL REMOTO"</t>
  </si>
  <si>
    <t>VENTILADOR TURBO 20" INHAUS</t>
  </si>
  <si>
    <t>VENTILADOR TURBO VERTICAL INHA</t>
  </si>
  <si>
    <t>VENTILADOR TURBO 12" LEXA BF-1220</t>
  </si>
  <si>
    <t>VENTILADOR DE MESA LEXA 16" UD-1605</t>
  </si>
  <si>
    <t>CAFETERA FRAPPÉ CON LICUADORA OSTER</t>
  </si>
  <si>
    <t>COCINA INDURAMA BILBAO 4 HORNA</t>
  </si>
  <si>
    <t>REFRIGERADOR LG 287L VT26WPY</t>
  </si>
  <si>
    <t>AIRE ACONDICIONADO ECOSYSTEM 12.000 BTU INVER</t>
  </si>
  <si>
    <t>CARPA PLAYA 2P 200X120X95 BESTWAY</t>
  </si>
  <si>
    <t>MESA PLEGABLE PLAST BL 180*74*74CM</t>
  </si>
  <si>
    <t>MESA PLEGABLE PLAST BL 153*70*73.5CM</t>
  </si>
  <si>
    <t>CARPA 3P 2.10X2.10X1.30CM BESTWAY</t>
  </si>
  <si>
    <t>SOBRE DORMIR 220X75X50 CM BESTWAY</t>
  </si>
  <si>
    <t>CARPA 2P 145X205X100 BESTWAY</t>
  </si>
  <si>
    <t>LAMPARA LED P/INSECTOS 12X12X33 CM</t>
  </si>
  <si>
    <t>RAQUETA P/INSECTO A BATERIA USB 22X43CM</t>
  </si>
  <si>
    <t>CARPA 4P ALPINE SWIFTCLICK BESTWAY</t>
  </si>
  <si>
    <t>SILLA PLEGABLE PLAST BL 51X45X85.5</t>
  </si>
  <si>
    <t>ACOND. PANTENELISO EXTREMO 400ML</t>
  </si>
  <si>
    <t>ACOND. PANTENE RIZOS DEFINIDOS 400ML</t>
  </si>
  <si>
    <t>ACOND. PANTENE RESTAURACION 400ML</t>
  </si>
  <si>
    <t>ACOND. PANTENE HIDRATACION EXTREMA 400ML</t>
  </si>
  <si>
    <t>ACOND. PANTENE BAMBU 400ML</t>
  </si>
  <si>
    <t>ACOND. PANTENE MIRACLE COLAGENO 250ML</t>
  </si>
  <si>
    <t>ACOND. PANTENE EQUILIBRIO 250ML</t>
  </si>
  <si>
    <t>ACOND. PANTENE KERATINA 250ML</t>
  </si>
  <si>
    <t>ACOND. PANTENE BIOTINAMINA ANTICAIDA250ML</t>
  </si>
  <si>
    <t>SH PANTENE MIRACLE COLAGENO 300ML</t>
  </si>
  <si>
    <t>SH PANTENE LISO EXTREMO 400ML</t>
  </si>
  <si>
    <t>SH PANTENE  RIZOS DEFINIDOS 400ML</t>
  </si>
  <si>
    <t>SH PANTENE  RESTAURACION 400ML</t>
  </si>
  <si>
    <t>SH PANTENEHIDRATACION EXTREM  400ML</t>
  </si>
  <si>
    <t>SH PANTENE MICELAR 400ML</t>
  </si>
  <si>
    <t>SH PANTENE BAMBU 400ML</t>
  </si>
  <si>
    <t>SH. PANTENE EQUILIBRIO 300ML</t>
  </si>
  <si>
    <t>SH PANTENE KERATINA 300ML</t>
  </si>
  <si>
    <t>SH. PANTENE BIOTINAMINA ANTICAIDA 300ML</t>
  </si>
  <si>
    <t>SUAVIZANTE DOWNY TELA 2.800ML</t>
  </si>
  <si>
    <t>SUAVIZANTE DOWNY AMANECER 5 EN 1 2.8L</t>
  </si>
  <si>
    <t>PERLAS DOWNY FRESH 141GR</t>
  </si>
  <si>
    <t>PERLAS DOWNY LUSH 141GR</t>
  </si>
  <si>
    <t>SUAVIZANTE LIQ. DOWNY PUREZA SILV 2800ML</t>
  </si>
  <si>
    <t>SUAVIZANTE COMFORT SEGREDOS 48 1L</t>
  </si>
  <si>
    <t>SUAVIZANTE COMFORT SEGREDOS 36 1L</t>
  </si>
  <si>
    <t>SUAVIZANTE COMFORT PURO CUIDADO 1L</t>
  </si>
  <si>
    <t>SUAVIZANTE COMFORT FIBER PRO 1L</t>
  </si>
  <si>
    <t>SUAVIZANTE COMFORT EXPERT CARE HYDRA 1L</t>
  </si>
  <si>
    <t>SUAVIZANTE COMFORT CUID ESSENC 1L</t>
  </si>
  <si>
    <t>PULIDOR MULTIUSO CIF CREMA ORIGINAL 750G</t>
  </si>
  <si>
    <t>MULTIUSO CIFROYJAZ 12X750G</t>
  </si>
  <si>
    <t>MULTIUSO CIF CREMA  LIMON 750G</t>
  </si>
  <si>
    <t>JABON LIQUIDO SKIP P/DILUIR 500ML+BOTELL</t>
  </si>
  <si>
    <t>JABON LIQUIDO SKIP P/DILUIR 500ML.</t>
  </si>
  <si>
    <t>JABON LIQ. SKIP DILUIR POW DEL. 500ML</t>
  </si>
  <si>
    <t>JABON LIQ SKIP CICLOS CORTOS LIMP.BOT800</t>
  </si>
  <si>
    <t>JABON LIQ SKIP CICLOS CORTOS FRESC.BOT80</t>
  </si>
  <si>
    <t>JABON LIQ SKIP CICLOS CORTOS CUID.BOT800</t>
  </si>
  <si>
    <t>DETERG. CIF ACTIVE LIMON 750ML</t>
  </si>
  <si>
    <t>DETERG. CIF ACTIVE LIMA 750ML</t>
  </si>
  <si>
    <t>DESINFECTANTE CIF AEROSOL FLOR 360 CM3</t>
  </si>
  <si>
    <t>DESINFECTANTE AERO CIF ORIGINAL 260G</t>
  </si>
  <si>
    <t>DESINFECTANTE AERO CIF LAVANDA 260G</t>
  </si>
  <si>
    <t>DESINFECTANTE AERO CIF FREC CIT 260G</t>
  </si>
  <si>
    <t>SH DOVE REC SUP 400ML + ACOND. 200ML</t>
  </si>
  <si>
    <t>SH DOVE 400ML HIDRA INT + ACOND. 200</t>
  </si>
  <si>
    <t>SH DOVE REG EXTREM 400ML + ACOND.NDICI</t>
  </si>
  <si>
    <t>SH DOVE NUT SUP. 400ML+ACOND. 200ML</t>
  </si>
  <si>
    <t>DESOD. DOVE AEROSOL ORIGINAL 150ML</t>
  </si>
  <si>
    <t>DESOD.DOVE INVI.DRY AEROSOL</t>
  </si>
  <si>
    <t>DESOD.AERO DOVE GO FRESH POM/LIM 150ML</t>
  </si>
  <si>
    <t>DESOD.DOVE AERO GO FRESH PEPINO TE 150ML</t>
  </si>
  <si>
    <t>DESOD. AERO DOVE PERAY ALOE 150ML</t>
  </si>
  <si>
    <t>DESOD. AEROSOL DOVE GRAN VERBENA</t>
  </si>
  <si>
    <t>DESOD. DOVE W AER CLINICAL 12X91G/150ML</t>
  </si>
  <si>
    <t>DESOD. AERO DOVE AP SENSITIVE 150ML</t>
  </si>
  <si>
    <t>DESOD.DOVE AER.CLEAN C.AP</t>
  </si>
  <si>
    <t>DESOD.DOVE AER EXTRA FRESH AP</t>
  </si>
  <si>
    <t>DESOD.AERO DOVE MEN INVISIBLE DRY 150ML</t>
  </si>
  <si>
    <t>DESOD.DOVE AER MEN  SPORT 150ML</t>
  </si>
  <si>
    <t>JABON DOVE X6 ORIGINAL</t>
  </si>
  <si>
    <t>JABON DOVE KARITE Y VAINILLA X6</t>
  </si>
  <si>
    <t>JABON DOVE X6 LECHE DE COCO</t>
  </si>
  <si>
    <t>JABON DOVE X6  AGUA MICELAR</t>
  </si>
  <si>
    <t>JABON DOVE X6 GRANADA</t>
  </si>
  <si>
    <t>JABON DOVE CUIDA PROTEGE 6X90G</t>
  </si>
  <si>
    <t>PANT HUGGIES NATCARE  G HIPER 3X60UN</t>
  </si>
  <si>
    <t>PANT HUGGIES NATCARE XXG HIPER 3X52UN</t>
  </si>
  <si>
    <t>PANT HUGGIES NATCARE XG HIPER 3X56UN</t>
  </si>
  <si>
    <t>PAÑAL HUGGIES NAT. CARE RN X 34 + TOAPYN X48</t>
  </si>
  <si>
    <t>PAÑAL HUGGIES NAT.CARE P X 50 + TOA X48</t>
  </si>
  <si>
    <t>JABON LIQ PERSIL BOTELLA 6.64L</t>
  </si>
  <si>
    <t>SUAVIZANTE CONEJO AMOR DOYPACK 5L</t>
  </si>
  <si>
    <t>SUAVIZANTE CONEJO RELAX DOYPACK 5L</t>
  </si>
  <si>
    <t>DETERG.ROPA CONEJO 3 EN 1 TUPPER X30CAPS</t>
  </si>
  <si>
    <t>PAPEL HIG. DH TIENDA INGLESA PLUS 30MX12</t>
  </si>
  <si>
    <t>TOALLA COCINA T.INGLESA X2</t>
  </si>
  <si>
    <t>PAPEL HIG. DH ELITE ULTRA 50M X4</t>
  </si>
  <si>
    <t>PAPEL HIG. DH HIGIENOL PREMIUM 30M 8X6</t>
  </si>
  <si>
    <t>TOALLA COCINA MAXI ROLLO NOVA DH X 250</t>
  </si>
  <si>
    <t>TOALLA COCINA NOVA EXTRA MR 330P</t>
  </si>
  <si>
    <t>SERVILLETA ELITE 24X24 BLANCA X 200</t>
  </si>
  <si>
    <t>JABON C/BICARBON 3LTS TIENDA INGLESA</t>
  </si>
  <si>
    <t>CLORO P/PISCINA TIENDA INGLESA 10LT</t>
  </si>
  <si>
    <t>CLORO CLOR POOL TRIPLE ACCION TUBO 1K</t>
  </si>
  <si>
    <t>SET MOPA+BALDE C/CENTRIFUGADO T.INGLESA</t>
  </si>
  <si>
    <t>ESCOBA NOVICA MAX</t>
  </si>
  <si>
    <t>ESPONJA TIENDA INGLESA 3 UNIDADES</t>
  </si>
  <si>
    <t>DESINFECTANTE LYSOFORM OR.360ML PACK X2</t>
  </si>
  <si>
    <t>INSECT. RAID AERO AZUL 360ML.</t>
  </si>
  <si>
    <t>REPELENTE OFF AEROSOL 290ML.</t>
  </si>
  <si>
    <t>TABLETA RAID P/MOSQUITOS X 24</t>
  </si>
  <si>
    <t>DESOD. AMB. GLADE COCO VIBES 315ML</t>
  </si>
  <si>
    <t>DESOD. AMB. GLADE FLORAL VIBES 315ML</t>
  </si>
  <si>
    <t>LIMPIADOR FABULOSO ALTERN. CLORO 2LT</t>
  </si>
  <si>
    <t>LIMPIADOR FABULOSO LAVANDA ANTIBACT 2LT</t>
  </si>
  <si>
    <t>LIMPIADOR FABULOSO MAR FRESCO ANTIBA 2LT</t>
  </si>
  <si>
    <t>LIMPIADOR FABULOSO PASION DE FRUTAS 2LT</t>
  </si>
  <si>
    <t>LIMPIADOR FABULOSO LAVANDA ANTIBACTE 5LT</t>
  </si>
  <si>
    <t>LIMPIADOR FABULOSO MORAS/ARBOL TE 828ML</t>
  </si>
  <si>
    <t>ENJUAGUE COLGATE TOTAL 12 CLEAN MINT250ML</t>
  </si>
  <si>
    <t>CEPILLO DENTAL COLGATE TOTAL F.CLEAN X2</t>
  </si>
  <si>
    <t>TOALLITAS HUMEDAS BEBE ORIS X 60</t>
  </si>
  <si>
    <t>REPELENTE JUPITER AEROSOL 165 CC</t>
  </si>
  <si>
    <t>INSECT. JUPITER AERO CUCARACHAS</t>
  </si>
  <si>
    <t>INSECT. JUPITER MAX  MOSCAS/MOSQ.360 CC.</t>
  </si>
  <si>
    <t>DESOD. AMB. REP. JUPITER LAVANDA</t>
  </si>
  <si>
    <t>DESOD. AMB. REP. JUPITER LIMON</t>
  </si>
  <si>
    <t>DESOD. AMB. REP. JUPITER MANZANA/CANELA</t>
  </si>
  <si>
    <t>DESOD. AMB. REP. JUPITER RELAX</t>
  </si>
  <si>
    <t>DESOD. AMB. REP. JUPITER WHITE ROSE</t>
  </si>
  <si>
    <t>PAÑAL BABYSEC SUPER PREMIUM PX40</t>
  </si>
  <si>
    <t>PAÑAL BABYSEC SUPER PREMIUM GX88</t>
  </si>
  <si>
    <t>PAÑAL BABYSEC SUPER PREMIUM XXG 68 UNIDADES</t>
  </si>
  <si>
    <t>PAÑAL BABYSEC SUPER PREMIUM MX96</t>
  </si>
  <si>
    <t>PAÑAL BABYSEC SUPER PREMIUM XG 68</t>
  </si>
  <si>
    <t>DESOD. AMB. GLADE AERO VAINILLA 360ML.</t>
  </si>
  <si>
    <t>DESOD. AMB. GLADE PARAISO AZUL 360ML</t>
  </si>
  <si>
    <t>DESOD. AMB. GLADE AERO LIMON REF. 360ML.</t>
  </si>
  <si>
    <t>DESOD.AMB. GLADE NARANJO Y ORQUIDEAS 360ML</t>
  </si>
  <si>
    <t>DESOD. AMB. GLADE AERO TROP.FLORAL 360ML.</t>
  </si>
  <si>
    <t>DESOD. AMB. GLADE AERO P. FLORAL 360ML.</t>
  </si>
  <si>
    <t>DESOD. AMB. GLADE AERO LAVANDA 420ML</t>
  </si>
  <si>
    <t>SH H&amp;S 375ML CAIDA</t>
  </si>
  <si>
    <t>SH H&amp;S 375ML SUAVE Y MANEJABLE</t>
  </si>
  <si>
    <t>SH H&amp;S 375ML MANZANA FRESH</t>
  </si>
  <si>
    <t>SH H&amp;S 375ML 3 EN 1 FOR MEN</t>
  </si>
  <si>
    <t>SH H&amp;S 375ML ALIVIO INSTANTANEO</t>
  </si>
  <si>
    <t>SH H&amp;S  PROT. CAIDA 375 +SH 180</t>
  </si>
  <si>
    <t>SH H&amp;S SYM 375ML + SH 180ML</t>
  </si>
  <si>
    <t>SH H&amp;S 375ML PURIFICACION CAPILAR</t>
  </si>
  <si>
    <t>SH H&amp;S PURIF. 375ML.+180ML.</t>
  </si>
  <si>
    <t>SH H&amp;S COCONUT 375ML</t>
  </si>
  <si>
    <t>SH H&amp;S COCO 375ML + SH 180ML.</t>
  </si>
  <si>
    <t>SH. H&amp;S SENSITIVE 375ML</t>
  </si>
  <si>
    <t>SH H&amp;S REV.A/ARGAN 375ML</t>
  </si>
  <si>
    <t>SH. H&amp;S ANTI-COMEZÓN 375ML</t>
  </si>
  <si>
    <t>SH. H&amp;S ANTI-RESEQUEDAD MIEL 375ML</t>
  </si>
  <si>
    <t>SH. H&amp;S ANTI-RESEQ.MIEL 180ML+SH 180ML</t>
  </si>
  <si>
    <t>TABLETA JUPITER P/MOSQUITOS X 24 + 6</t>
  </si>
  <si>
    <t>BARRA DE SONIDO SONY HT-S100</t>
  </si>
  <si>
    <t>PARLANTE PHILIPS  TAX2706/77</t>
  </si>
  <si>
    <t>TORRE DE SONIDO PHILIPS TAX3705/77</t>
  </si>
  <si>
    <t>PARLANTE BLUETOOTH PHILIPS TAS2505B/00</t>
  </si>
  <si>
    <t>PARLANTE BLUETOOTH PHILIPS TAS2505W/00</t>
  </si>
  <si>
    <t>PARLANTE BLUETOOTH PHILIPS TAS3505/00</t>
  </si>
  <si>
    <t>BARRA DE SONIDO PHILIPS 2.0 60W</t>
  </si>
  <si>
    <t>PARLANTE BATERIA SONY SRSXP700</t>
  </si>
  <si>
    <t>PARLANTE JBL BT BOOMBOX 3 NEGRO</t>
  </si>
  <si>
    <t>BARRA DE SONIDO TCL S642W</t>
  </si>
  <si>
    <t>PARLANTE LG XBOOM XG9QBK</t>
  </si>
  <si>
    <t>SMART TVPHILIPS TV 50" GOOGLE TV 4K</t>
  </si>
  <si>
    <t>SMART TVPHILIPS TV 55" AMBILIGHT 4K GOO</t>
  </si>
  <si>
    <t>PARLANTE HARMAN KARDON LUNA (BLACK)</t>
  </si>
  <si>
    <t>BARRA DE SONIDO LG S40T</t>
  </si>
  <si>
    <t>TV SAMSUNG QLED SMART 55 SAQN55Q60DA</t>
  </si>
  <si>
    <t>MINI PROYECTOR YABER L1 1080P WIFI HDMI/USB WHITE</t>
  </si>
  <si>
    <t>TV SAMSUNG 55" UHD SMART DU7000</t>
  </si>
  <si>
    <t>PARLANTE ENERGY SISTEM SUNRISE BT GRAPHITE</t>
  </si>
  <si>
    <t>PARLANTE BLOOM BT NAVY ENERGY SISTEM</t>
  </si>
  <si>
    <t>TV LG NANOCELL 4K 50" 50NANO80</t>
  </si>
  <si>
    <t>PARLANTE XION PORTABLE XI-XT40</t>
  </si>
  <si>
    <t>SAMSUNG WATCH 6 BT44 SILVER</t>
  </si>
  <si>
    <t>PARLANTE JBL AUTHENTICS 300</t>
  </si>
  <si>
    <t>PARLANTE JBL AUTHENTICS 500</t>
  </si>
  <si>
    <t>PARTYBOX JBL STAGE 320</t>
  </si>
  <si>
    <t>PROYECTOR VIVIBRIGHT L03</t>
  </si>
  <si>
    <t>PARLANTE BT JBL CHARGE 6 NEGRO</t>
  </si>
  <si>
    <t>AURICULAR JBL WAVE BUDS 2 BLANCO</t>
  </si>
  <si>
    <t>TV LG 55" UHD 55UT7300</t>
  </si>
  <si>
    <t>NOTEBOOK ASUSV N4500 4GB 128GB 15 W11 SP</t>
  </si>
  <si>
    <t>"TV TCL 65"" QLED 4K 65P7K GOOGLE TV"</t>
  </si>
  <si>
    <t>AURICULAR JBL USB-C T520C NEGRO</t>
  </si>
  <si>
    <t>AURICULAR JBL USB-C T520C BLANCO</t>
  </si>
  <si>
    <t>AURICULAR JBL ENDURANCE RACE 2 BLANCO</t>
  </si>
  <si>
    <t>AURICULAR JBL ENDURANCE RACE 2 NEGRO</t>
  </si>
  <si>
    <t>BARRA DE SONIDO JBL SB180</t>
  </si>
  <si>
    <t>BARRA DE SONIDO XION 2.1 CON SUBWOOFER</t>
  </si>
  <si>
    <t>PARTY BOX JBL ENCORE  2</t>
  </si>
  <si>
    <t>"TV TCL 55"" 4K 55V6C GOOGLE TV"</t>
  </si>
  <si>
    <t>SMART TV HISENSE 55 QLED SERIE Q6N</t>
  </si>
  <si>
    <t>TORRE DE SONIDO PHILIPS TAX3305/77</t>
  </si>
  <si>
    <t>PARLANTE ONEBODY LG XBOOM RNC5</t>
  </si>
  <si>
    <t>TV SAMSUNG NEO QLED SMART 55 UHD 4K SAQN55QN85DB</t>
  </si>
  <si>
    <t>"TV TCL 65"" 4K 65V6C GOOGLE TV"</t>
  </si>
  <si>
    <t>BARRA DE SONIDO PHILIPS 2.1 BT + SUBWOOF</t>
  </si>
  <si>
    <t>SISTEMA DE AUDIO XTREME CON BATERIA XION XI-XT8800</t>
  </si>
  <si>
    <t>SMART TVPHILIPS TV 65" AMBILIGHT 4K GOO</t>
  </si>
  <si>
    <t>ANILLO SMART COLMI R02 BLACK</t>
  </si>
  <si>
    <t>ANILLO SMART COLMI R02 BLAC</t>
  </si>
  <si>
    <t>ANILLO SMART COLMI R02 BLA</t>
  </si>
  <si>
    <t>ANILLO SMART COLMI R02 GOLD</t>
  </si>
  <si>
    <t>VOLANTE PXN V10 PC, PS4 Y XBOX ONE X/S</t>
  </si>
  <si>
    <t>SMARTWATCH PROMATE IP67 BLACK</t>
  </si>
  <si>
    <t>MONITOR VIEWSONIC 24" GAMING VX2458-C-MH</t>
  </si>
  <si>
    <t>TV LG 55" OLED OLED55C2PSA</t>
  </si>
  <si>
    <t>ANILLO SMART COLMI R02 GOL</t>
  </si>
  <si>
    <t>AURICULAR SUDIO T3 TWS WHITE</t>
  </si>
  <si>
    <t>AURICULAR SUDIO T3 TWS BLACK</t>
  </si>
  <si>
    <t>AURICULAR SUDIO T3 TWS BLUE</t>
  </si>
  <si>
    <t>AURICULAR SUDIO T3 TWS PINK</t>
  </si>
  <si>
    <t>AURICULAR SUDIO R3 BT WHITE</t>
  </si>
  <si>
    <t>AURICULAR SUDIO R3 BT BLACK</t>
  </si>
  <si>
    <t>AURICULAR SUDIO R3 BT BLUE</t>
  </si>
  <si>
    <t>AURICULAR SUDIO R3 BT PINK</t>
  </si>
  <si>
    <t>PROMATE XWATCH-B19 RELOJ SMART BT 1.91"</t>
  </si>
  <si>
    <t>CONSOLA PS5 SLIM DIGITAL ASTROBOT GT7</t>
  </si>
  <si>
    <t>CONSOLA PS5 SLIM STANDARD ASTROBOT GT7</t>
  </si>
  <si>
    <t>TOALLA PLAYA VELOUR 70X130 PAW PATROL AZ</t>
  </si>
  <si>
    <t>TOALLA PLAYA VELOUR 70X130 AVENGERS</t>
  </si>
  <si>
    <t>TOALLA PLAYA VELOUR 70X130 PAW PATROL RO</t>
  </si>
  <si>
    <t>TOALLA PLAYA VELOUR 70X130 MINNIE</t>
  </si>
  <si>
    <t>TOALLA PLAYA VELOUR 76X152 TROPICAL</t>
  </si>
  <si>
    <t>TOALLA PLAYA VELOUR 70X130 STITCH</t>
  </si>
  <si>
    <t>BAÑO PLAYERA VELOUR 76X152 FR</t>
  </si>
  <si>
    <t>BAÑO PLAYERA VELOUR 76X152 F</t>
  </si>
  <si>
    <t>BAÑO PLAYERA VELOUR 76X152</t>
  </si>
  <si>
    <t>BAÑO PLAYERA VELOUR 76*15</t>
  </si>
  <si>
    <t>HELADO VAIN/CH/FRUT 2L CONAPROLE OVAL</t>
  </si>
  <si>
    <t>HELA SINF CH.HOL/M.DDL 2L CONAPROLE OVAL</t>
  </si>
  <si>
    <t>HELADO SINF. CR TRAMOT 2L CONAPROLE OVAL</t>
  </si>
  <si>
    <t>HELA SINF CR.IR/CH.HOL 2L CONAPROLE OVAL</t>
  </si>
  <si>
    <t>HELADO D/LECHE GRANZ 2L CONAPROLE OVAL</t>
  </si>
  <si>
    <t>HELADO SINF. SUPER DDL 2L CONAPROLE OVAL</t>
  </si>
  <si>
    <t>HELADO SAM/CHOC/DDL 2L CONAPROLE OVAL</t>
  </si>
  <si>
    <t>HELADO MARM DDL 2L CONAPROLE OVAL</t>
  </si>
  <si>
    <t>HELADO CREME BRULEE 2L CONAPROLE</t>
  </si>
  <si>
    <t>HELADO CH.HOLAN/DDL 2L CONAPROLE OVAL</t>
  </si>
  <si>
    <t>HELADO MARM.FRUT 2L CONAPROLE OVAL</t>
  </si>
  <si>
    <t>HEL SINF CREM Y CAFE C/DDL 2L CONAPROLE</t>
  </si>
  <si>
    <t>HELADO SINF CH.HO/MENT 2L CONAPROLE OVAL</t>
  </si>
  <si>
    <t>HELADO CR. FLAN MARMOL. DDL 2L CONAPROLE</t>
  </si>
  <si>
    <t>HEL.LIGHT VAIN GRAN Y CHOC GRAN C/CHO 2 L</t>
  </si>
  <si>
    <t>HELADO FRUT/MANGO 2L CONAPROLE OVAL</t>
  </si>
  <si>
    <t>HELADO SPLASH LIMON 2L CONAPROLE</t>
  </si>
  <si>
    <t>HELADO CHOCO CON DDL Y ALMENDRA 2L CONAPROLE</t>
  </si>
  <si>
    <t>HELA SINF SAB. QATAR 2L CONAPROLE OVAL</t>
  </si>
  <si>
    <t>HEL. BANANA SPLIT 2L OVAL CONAPROLE</t>
  </si>
  <si>
    <t>ACOND.ELVIVE  COLORVIVE 200 ML</t>
  </si>
  <si>
    <t>ACOND.ELVIVE  REPARACION TOTAL 5 200ML</t>
  </si>
  <si>
    <t>ACOND.ELVIVE HA PURE 200ML</t>
  </si>
  <si>
    <t>ACOND.ELVIVE OLEO EXTR NUT. INTEN 200ML</t>
  </si>
  <si>
    <t>ACOND. ELVIVE DREM LONG 200ML</t>
  </si>
  <si>
    <t>ACOND. ELVIVE DREAM LONG LISS 200ML</t>
  </si>
  <si>
    <t>ACOND. ELVIVE PUPLE 150ML</t>
  </si>
  <si>
    <t>ACOND.  ELVIVE HIRA HIALURONICO 370ML</t>
  </si>
  <si>
    <t>ACOND.  ELVIVE HIRA HIALURONICO 200ML</t>
  </si>
  <si>
    <t>ACOND.  ELVIVE  OLEO RIZOS 370ML</t>
  </si>
  <si>
    <t>ACOND. ELVIVE RT5 370ML</t>
  </si>
  <si>
    <t>ACOND. ELVIVE COLOR VIVE 370ML</t>
  </si>
  <si>
    <t>ACOND. ELVIVE RT5 EXTREME 370ML</t>
  </si>
  <si>
    <t>ACOND. ELVIVE OLE NUTRIT 370ML</t>
  </si>
  <si>
    <t>SH. ELVIVE RT5 370ML + ACOND 200ML</t>
  </si>
  <si>
    <t>ACOND. ELVIVE HIALURONICO PURE 370ML</t>
  </si>
  <si>
    <t>SH.ELVIVE HIALU PURE 680ML + ACOND 370ML</t>
  </si>
  <si>
    <t>ACOND.ELVIVE ANTIHAIR FALL 370ML</t>
  </si>
  <si>
    <t>ACOND.ELVIVE GLYCO GLOSS 370ML</t>
  </si>
  <si>
    <t>ACOND.ELVIVE GLYCO GLOSS 200ML</t>
  </si>
  <si>
    <t>ACOND. ELVIVE DREAM LISO 200ML</t>
  </si>
  <si>
    <t>ACOND.ELVIVE DREAM LISO 370ML</t>
  </si>
  <si>
    <t>SH.ELVIVE OLEO EXTR. NUTR UNIV. 200ML</t>
  </si>
  <si>
    <t>SH.ELVIVE  COLOR VIVE 200ML</t>
  </si>
  <si>
    <t>SH.ELVIVE REPARACION TOTAL 5 200ML</t>
  </si>
  <si>
    <t>SH.ELVIVE  OLEO EXTRA NUTRIC 200ML</t>
  </si>
  <si>
    <t>SH.ELVIVE  OLEO EXTRA NUT. INTENSA 200ML</t>
  </si>
  <si>
    <t>SH. ELVIVE HA PURE 200ML</t>
  </si>
  <si>
    <t>SH.ELVIVE RT5 680ML</t>
  </si>
  <si>
    <t>SH. ELVIVE HIDRA HIALURONICO 370ML</t>
  </si>
  <si>
    <t>SH. ELVIVE HIDRA HIALURONICO 200ML</t>
  </si>
  <si>
    <t>SH.ELVIVE HIDRA HIALU 680ML</t>
  </si>
  <si>
    <t>SH. ELVIVE COLOR VIVE 370ML</t>
  </si>
  <si>
    <t>SH. ELVIVE RT5 370ML</t>
  </si>
  <si>
    <t>SH. ELVIVE NUTRITIVO  OLEO 370ML</t>
  </si>
  <si>
    <t>SH. ELVIVE OLEO COCO 370ML</t>
  </si>
  <si>
    <t>SH. ELVIVE DREAM LONG 370ML</t>
  </si>
  <si>
    <t>PACK ELVIVE COLORV SH. 370ML+ACOND.200ML</t>
  </si>
  <si>
    <t>PACK ELVIVE HIDRA HIALU SH370ML+ACO200ML</t>
  </si>
  <si>
    <t>SH.ELVIVE OLEO EXTR. UNIVERSAL 680ML</t>
  </si>
  <si>
    <t>SH.ELVIVE COLOR V 680ML</t>
  </si>
  <si>
    <t>PACK ELVIVE CV SH 680ML+ACO 370ML</t>
  </si>
  <si>
    <t>PACK ELVIVE HIDRA HIALU SH680ML+ACO370ML</t>
  </si>
  <si>
    <t>PACK ELVIVE RT5 SH 680M+ACO 370ML</t>
  </si>
  <si>
    <t>SH. ELVIVE HIALURONICO PURE 370ML</t>
  </si>
  <si>
    <t>SH. ELVIVE HA PURE 680ML</t>
  </si>
  <si>
    <t>SH ELVIVE HA PURE MICELLAR 300ML</t>
  </si>
  <si>
    <t>SH ELVIVE ANTIHAIR FALL 370ML</t>
  </si>
  <si>
    <t>SH ELVIVE GLYCO GLOSS 680ML</t>
  </si>
  <si>
    <t>SH ELVIVE GLYCO GLOSS 370ML</t>
  </si>
  <si>
    <t>SH. ELVIVE GLYCO GLOSS ACIDIFIER 200ML</t>
  </si>
  <si>
    <t>PACK ELVIVE GLYCO SH 680ML + ACO370ML</t>
  </si>
  <si>
    <t>PACK ELVIVE GLYCO SH 370ML + 200ACOML</t>
  </si>
  <si>
    <t>SH. ELVIVE RT EXTREME 200ML</t>
  </si>
  <si>
    <t>SH. ELVIVE DREAM LISO 200ML</t>
  </si>
  <si>
    <t>SH.ELVIVE DREAM LISO 370ML</t>
  </si>
  <si>
    <t>SH. ELVIVE DREAM LISO 680ML</t>
  </si>
  <si>
    <t>PACK SH ELVIVE DREAM LISO  370ML + 200ML</t>
  </si>
  <si>
    <t>PACKSH ELVIVE DREAM LISO 680ML+ACO200ML</t>
  </si>
  <si>
    <t>SH ELVIVE GLYCOLIC CRYSTAL 370ML</t>
  </si>
  <si>
    <t>SH ELVIVE GLYCOLIC CRYSTAL 680ML</t>
  </si>
  <si>
    <t>CREMA DE TRATAMIENTO ELVIVE COLOR 300G</t>
  </si>
  <si>
    <t>CREMA TRATAMIENTO  ELVIVE REPAACION TOTAL 5</t>
  </si>
  <si>
    <t>TRATAMIENTO CAPIL5 ELVIVE OLEO EXT. 100ML</t>
  </si>
  <si>
    <t>CREMA TRATAMIENTO ELVIVE RT EXTREME 300ML</t>
  </si>
  <si>
    <t>CREMA PEINAR ELVIVE  DREAM LONG 300ML</t>
  </si>
  <si>
    <t>CREMA PARA PEINAR ELVIVE OLEO EXTR 300ML</t>
  </si>
  <si>
    <t>CREMA PEINAR ELVIVE  DREAM LONG LIS300ML</t>
  </si>
  <si>
    <t>CREMA PEINAR ELVIVE  ELVIVE RT 3X15 ML</t>
  </si>
  <si>
    <t>CREMA PEINAR ELVIVE  HIDRA.HIALURO 300ML</t>
  </si>
  <si>
    <t>MASCARILLA ELVIVE HIDRA HIALURONIC 300ML</t>
  </si>
  <si>
    <t>CREMA ELVIVE HIDRAT NOC 200ML</t>
  </si>
  <si>
    <t>TRAT. ELVIVE HA PURE CTT 300GR</t>
  </si>
  <si>
    <t>CREMA DE TRAT. ELVIVE CAIDA RES. 300ML</t>
  </si>
  <si>
    <t>CREMA ELVIVE ANTIHAIR FALL 300ML</t>
  </si>
  <si>
    <t>SERUM ELVIVE ARGIN 102ML B43</t>
  </si>
  <si>
    <t>CREMA TRATAMIENTO ELVIVE GLYCO GLOSS 300G</t>
  </si>
  <si>
    <t>CREMA PEINAR ELVIVE GLYCO GLOSS 300ML</t>
  </si>
  <si>
    <t>TRAT. ELVIVE GLYCO GLOSS ACIDIFIER 200ML</t>
  </si>
  <si>
    <t>SERUM CAPILAR ELVIVE GLYCO GLOSS 100ML</t>
  </si>
  <si>
    <t>MASC5ILLA CAPIL5 ELVIVE DREAM LISO 300GR</t>
  </si>
  <si>
    <t>CREMA DE PEIN5 ELVIVE  DREAM LISO 300ML</t>
  </si>
  <si>
    <t>SERUM CAPIL5 ELVIVE DREAM LISO 100ML</t>
  </si>
  <si>
    <t>CREMA PEINAR ELVIVE HIDRA HYALURONIC 3-1</t>
  </si>
  <si>
    <t>CREMA PEINAR ELVIVE TOTAL REPAIR5  3-1 500ML</t>
  </si>
  <si>
    <t>TRATAMIENTO ELVIVE 3-1 DREAM LISO</t>
  </si>
  <si>
    <t>CREMA P/PEINAR REPARACION TOTAL 5</t>
  </si>
  <si>
    <t>CREMA DE TRATAMI.OLEO EXTRA.NUTRI.INTEN.</t>
  </si>
  <si>
    <t>CREMA DE PEINA. OLEO EX.RIZOS DEFIN. 300</t>
  </si>
  <si>
    <t>CREMA DE TRAT. LISO BRILLANTE 300G</t>
  </si>
  <si>
    <t>CREMA FRUCTIS 10EN1 RIZ PODEROSOS 300 ML</t>
  </si>
  <si>
    <t>TINTA EXCELLENCE 5.3 CASTANO.C-DOR</t>
  </si>
  <si>
    <t>TINTA EXCELLENCE.3 CASTANO OSCURO</t>
  </si>
  <si>
    <t>TINTA EXCELLENCE.4 CASTANO</t>
  </si>
  <si>
    <t>TINTA EXCELLENCE.6 RUBIO OSCURO</t>
  </si>
  <si>
    <t>TINTA EXCELLENCE.7 RUBIO</t>
  </si>
  <si>
    <t>TINTA EXCELLENCE.8 RUBIO CLARO</t>
  </si>
  <si>
    <t>TINTA EXCELLENCE.9 RUBIO C/CLARO</t>
  </si>
  <si>
    <t>TINTA EXCELLENCE 7.1 RUBIO CENIZA</t>
  </si>
  <si>
    <t>TINTA EXCELLENCE.9.1 RUB.CLA/CLA C</t>
  </si>
  <si>
    <t>TINTA EXCELLENCE.7.11 RUB.CENI/PRO</t>
  </si>
  <si>
    <t>TINTA EXCELLENCE.8.11 RUB.CLA/CEN/</t>
  </si>
  <si>
    <t>TINTA EXCELLENCE.5 CASTAÑO CLARO</t>
  </si>
  <si>
    <t>TINTA EXCELLENCE  CHOCOLATE PROFUNDO 6.7</t>
  </si>
  <si>
    <t>TINTA EXCELLENCE 5 NEGRO NATURAL</t>
  </si>
  <si>
    <t>TINTA EXCELLENCE 5 CASTAÑO NEGRO NATURAL</t>
  </si>
  <si>
    <t>TINTA EXCELLENCE 5 CASTAÑOOSCURO NATURAL</t>
  </si>
  <si>
    <t>TINTA EXCELLENCE 5 CASTAÑO MEDIO NATURAL</t>
  </si>
  <si>
    <t>TINTA EXCELLENCE NEGRO 1</t>
  </si>
  <si>
    <t>TINTA EXCELLENCE RUBIO 7.3</t>
  </si>
  <si>
    <t>TINTA EXCELLENCE ULTRABLONDS 120</t>
  </si>
  <si>
    <t>TINTA EXCELLENCE EXTRA PROFUNDO 677</t>
  </si>
  <si>
    <t>TINTA EXCELLENCE 8.3 RUBIO CLARO DORADO</t>
  </si>
  <si>
    <t>TINTA EXCELLENCE 8.1 RUBIO CLARO CENIZO</t>
  </si>
  <si>
    <t>TINTA EXCELLENCE 9.3 RUBIO MUY CLARO DORADO</t>
  </si>
  <si>
    <t>TINTA EXCELLENCE 6.12 RUBIO OSCURO C</t>
  </si>
  <si>
    <t>TINTA EXCELLENCE 7.12 RUBIO CENIZO P</t>
  </si>
  <si>
    <t>TINTA EXCELLENCE 8.12 RUBIO CLARO CE</t>
  </si>
  <si>
    <t>TINTA EXCELLENCE 9.17 RUB MUY CLARO</t>
  </si>
  <si>
    <t>TINTA EXCELLENCE 6.111 CENIZO MAT SUPREME</t>
  </si>
  <si>
    <t>TINTA EXCELLENCE S/AMONIACO UNIV. 7U</t>
  </si>
  <si>
    <t>TINTA EXCELLENCE S/AMONIACO UNIV. 4U</t>
  </si>
  <si>
    <t>TINTA EXCELLENCE S/AMONIACO UNIV. 1U</t>
  </si>
  <si>
    <t>TINTA EXCELLENCE S/AMONIACO UNIV. 2U</t>
  </si>
  <si>
    <t>TINTA EXCELLENCE S/AMONIACO UNIV. 6U</t>
  </si>
  <si>
    <t>TINTA EXCELLENCE S/AMONIACO UNIV. 3U</t>
  </si>
  <si>
    <t>TINTA EXCELLENCE S/AMONIACO UNIV. 5U</t>
  </si>
  <si>
    <t>TINTA EXCELLENCE S/AMONIACO UNIV. 8U</t>
  </si>
  <si>
    <t>TINTA EXCELLENCE S/AMONIACO UNIV. 9U</t>
  </si>
  <si>
    <t>DETERG.CONCENT. AXION LIMON CREMA 450GR</t>
  </si>
  <si>
    <t>DETERG.CONCENTRADO  AXION COMPLETE 640ML</t>
  </si>
  <si>
    <t>DETERG.CONCENTRADO  AXION LIMON 640ML</t>
  </si>
  <si>
    <t>DETERG.CONCENTRADO AXION VERDE 1100ML</t>
  </si>
  <si>
    <t>DETERG.CONCENTRADO AXION LIMON 1250ML</t>
  </si>
  <si>
    <t>DETERG. AXION LIMON 640ML</t>
  </si>
  <si>
    <t>DETERG.CONCENTRADO LAV AXION 1350ML</t>
  </si>
  <si>
    <t>CREMA DENTAL COLGATE TOTAL12  WHITENI 90G</t>
  </si>
  <si>
    <t>CREMA DENTAL COLGATE TOTAL 12 SARRO 90G</t>
  </si>
  <si>
    <t>CREMA DENTAL COLGATE ENCIAS REFORZADA</t>
  </si>
  <si>
    <t>CREMA DENTAL COLGATE TOTAL 12 CHARCOAL 90G</t>
  </si>
  <si>
    <t>COLGATE CREMA DENTAL  TOTAL ORIG.MINT 90G</t>
  </si>
  <si>
    <t>TOALLITAS WETCLEAN X 100 UNID</t>
  </si>
  <si>
    <t>TOALLITAS WETCLEAN X 30 UNID</t>
  </si>
  <si>
    <t>TOALLITAS WETCLEAN X 60 UNID</t>
  </si>
  <si>
    <t>TOALLITAS BEBE PREMIUM WETCLEAN X80U</t>
  </si>
  <si>
    <t>TOALLITA DESMAQUILLANTES PIEL NORM Y MIX</t>
  </si>
  <si>
    <t>TOALLITAS INTIMAS WETCLEAN 10 UNID</t>
  </si>
  <si>
    <t>TOALLITAS P/MANOS ANTIBACTERIAL</t>
  </si>
  <si>
    <t>TOALLITAS WETCLEAN LIMPIEZA 10 UNID</t>
  </si>
  <si>
    <t>TOALLITAS  WETCLEAN ANTIMOSQUITOS X 25</t>
  </si>
  <si>
    <t>PROTECTOR SOL.SUNDOWN LOCION F.50 200ML</t>
  </si>
  <si>
    <t>PROTECTOR SOL.SUNDOWN LOCION.F.30 200ML</t>
  </si>
  <si>
    <t>PROTECTOR SOLAR SUNDOWN KIDS 120 ML</t>
  </si>
  <si>
    <t>GEL POST SOLAR SUNDOWN  130 GR</t>
  </si>
  <si>
    <t>GEL DE LIMPIEZA FACIAL NEUTROGENA 150 G</t>
  </si>
  <si>
    <t>TOALLITA DEMAQ NEUTROGENA 25U</t>
  </si>
  <si>
    <t>CREMA NEUTROGENA HYDROBOOST WATER GEL50G</t>
  </si>
  <si>
    <t>CREMA NEUTROGENA GEL OJOS HYDRO BOOST15G</t>
  </si>
  <si>
    <t>AGUA MICELAR NEUTROGENA 200ML</t>
  </si>
  <si>
    <t>AGUA MICELAR NEUTROGENA HYDROBOOST 200ML</t>
  </si>
  <si>
    <t>CREMA NEUTROGENA BODYCARE HIDRA.T 200ML</t>
  </si>
  <si>
    <t>CREMA NEUTROGENA BODYCARE HIDRA.T 400ML</t>
  </si>
  <si>
    <t>CREMA NEUTROGENA BODYCARE REVITALIZ.400ML</t>
  </si>
  <si>
    <t>CREMA NEUTROGENA BODYCARE SUAVIZA 200ML</t>
  </si>
  <si>
    <t>CREMA NEUTROGENA BODYCARE SUAVIZA 400ML</t>
  </si>
  <si>
    <t>REFIL NEUTROGENA HB WATER GEL 50GR</t>
  </si>
  <si>
    <t>SERUM NEUTROGENA HB 30ML</t>
  </si>
  <si>
    <t>PROT. SOLAR NEUTROGENA HB FPS50 40ML</t>
  </si>
  <si>
    <t>CREMA NEUTROGENA HB FPS25 40GR</t>
  </si>
  <si>
    <t>JABON LIQ.CONEJO FRESH 3L+DETER.AXION 640ML</t>
  </si>
  <si>
    <t>JABON LIQ.CONEJO RELAX 3L+DETER.AXION 640ML</t>
  </si>
  <si>
    <t>PERCHA DE MADERA TI SET X 3</t>
  </si>
  <si>
    <t>PERCHA DE PLASTICO TI SET X 5</t>
  </si>
  <si>
    <t>TOALLA ROSTRO BUD LUNA SOFT BLANCA 48X80</t>
  </si>
  <si>
    <t xml:space="preserve"> TOALLA ROSTRO BUD LUNA SOFT 48X80 GRIS</t>
  </si>
  <si>
    <t xml:space="preserve"> TOALLA ROSTRO BUD LUNA SOFT 48X80 BEIGE</t>
  </si>
  <si>
    <t>TOALLA BAÑO BUD LUNA SOFT BLANCA 70X135</t>
  </si>
  <si>
    <t>TOALLA BAÑO BUD LUNA SOFT 70X135 GRIS</t>
  </si>
  <si>
    <t>TOALLA BAÑO BUD LUNA SOFT 70X135 BEIGE</t>
  </si>
  <si>
    <t>TOALLA ROSTRO BUD LUNA SOFT PETRO/CEL 48</t>
  </si>
  <si>
    <t>TOALLA ROSTRO BUD LUNASOFT MALVA/VER 48X</t>
  </si>
  <si>
    <t>TOALLA BAÑO BUD LUNA SOFT PETRO(CEL 70X1</t>
  </si>
  <si>
    <t>TOALLA BAÑO BUD LUNA SOFT MALVA/VER 70X1</t>
  </si>
  <si>
    <t>TOALLA BAÑO BUD LUNA SOFT 70X135 VERDE</t>
  </si>
  <si>
    <t>TOALLA BAÑO BUD LUNA SOFT 70X135 AZUL</t>
  </si>
  <si>
    <t>TOALLA ROSTRO BUD LUNA SOFT 48X80 VERDE</t>
  </si>
  <si>
    <t>TOALLA ROSTRO BUD LUNA SOFT 48X80 AZUL</t>
  </si>
  <si>
    <t>TOALLA BAÑO BUD LUNA SOFT VERDE 70X135</t>
  </si>
  <si>
    <t>TOALLA BAÑO BUD LUNA SOFT BEIGE 70X135</t>
  </si>
  <si>
    <t>TOALLA ROSTRO BUD LUNA SOFT BEIGE 48X80</t>
  </si>
  <si>
    <t>TOALLA ROSTRO BUD LUNA SOFT VERDE 48X80</t>
  </si>
  <si>
    <t>Pagando con CCC el cliente accede a un 25% dto</t>
  </si>
  <si>
    <t>POLLOS S/MENUDOS G. TRES ARROYOS</t>
  </si>
  <si>
    <t>ºSUPREMA DE POLLO GRANJA TRES ARROYOS</t>
  </si>
  <si>
    <t>MUSLO CORTO IQF G.TRES ARROYOS</t>
  </si>
  <si>
    <t>MUSLO DESHUESADO IQF G.TRES ARROYOS</t>
  </si>
  <si>
    <t>PATITA IQF G. TRES ARROYOS</t>
  </si>
  <si>
    <t>SUPREMA FILETTE IQF  GRANJA TRES ARROYOS</t>
  </si>
  <si>
    <t>PAMPLONA CERDO VACIO AGRIDULCE CAMPOSUR</t>
  </si>
  <si>
    <t>PAMPLONA CERDO VACIO SALADA CAMPOSUR</t>
  </si>
  <si>
    <t>HIGADO A LA TELA AL VACIO CAMPOSUR</t>
  </si>
  <si>
    <t>RIÑON A LA TELA AL VACIO CAMPOSUR</t>
  </si>
  <si>
    <t>BROCHETTES DE CERDO</t>
  </si>
  <si>
    <t>BONDIOLA RELLENA AGRIDULCE VACIO</t>
  </si>
  <si>
    <t>BONDIOLA RELLENA SALADA VACIO</t>
  </si>
  <si>
    <t>CHORIZO EXTRA ESPETO AL VACIO X6. (BOM)</t>
  </si>
  <si>
    <t>CHORIZO EXTRA CENTENARIO</t>
  </si>
  <si>
    <t>JAMON COCIDO ET.AZUL CENTENARIO</t>
  </si>
  <si>
    <t>JAMON CRUDO CENTENARIO</t>
  </si>
  <si>
    <t>JAMON COCIDO CUADRILLE EXTRA CATTIVELLI</t>
  </si>
  <si>
    <t>CHORIZOS EXTRA X3</t>
  </si>
  <si>
    <t>QUESO MUZZARELLA CONAPROLE 5</t>
  </si>
  <si>
    <t>QUESO SANDWICH CONAPROLE</t>
  </si>
  <si>
    <t>QUESO COLONIA IL CAPITANO</t>
  </si>
  <si>
    <t>QUESO RALLADO FARMING 100 GR</t>
  </si>
  <si>
    <t>MUZZARELLA FETEADA 200G FARMING</t>
  </si>
  <si>
    <t>QUESO SANDWICH FET. FARMING PAQ. 200 G.</t>
  </si>
  <si>
    <t>QUESO PARRILLERO FARMIMG 200G FRACC.</t>
  </si>
  <si>
    <t>SALAME FINCETA SARUBBI</t>
  </si>
  <si>
    <t>CHORIZOS PARRILLERO A/V SARUBBI</t>
  </si>
  <si>
    <t>JAMON COCIDO  200GR SARUBBI</t>
  </si>
  <si>
    <t>PANCETA AHUMADA 200GRS SARUBBI</t>
  </si>
  <si>
    <t>LOMO AHUMADO T.INGLESA</t>
  </si>
  <si>
    <t>JAMON AHUMADO TIENDA INGLESA</t>
  </si>
  <si>
    <t>CASANCREM 500 GR LIGHT BALANCE</t>
  </si>
  <si>
    <t>CASANCREM 500 GR ENTERO</t>
  </si>
  <si>
    <t>QUESO PHILADELPHIA LIGHT  150 GRS</t>
  </si>
  <si>
    <t>QUESO PHILADELPHIA CLASICO 150 GRS</t>
  </si>
  <si>
    <t>QUESO BRIE PRESIDENT</t>
  </si>
  <si>
    <t>PETIT BRIE 125 GRS</t>
  </si>
  <si>
    <t>CAMEMBERT 125 GRS</t>
  </si>
  <si>
    <t>JAMON COCIDO T.INGLESA</t>
  </si>
  <si>
    <t>PANCETA AHUMADA T.INGLESA</t>
  </si>
  <si>
    <t>JAMON EXTRA TIENDA INGLESA</t>
  </si>
  <si>
    <t>CHACARERO A/V CAMPOSUR</t>
  </si>
  <si>
    <t>SALAMIN A/V CAMPOSUR</t>
  </si>
  <si>
    <t>LONGANIZA A/V CAMPOSUR</t>
  </si>
  <si>
    <t>SALAMIN CON QUESO CAMPOSUR</t>
  </si>
  <si>
    <t>JAMON CRUDO SERRANO EL POZO</t>
  </si>
  <si>
    <t>QUESO AZUL MAMMEN CHEESE 100 GRS</t>
  </si>
  <si>
    <t>FRANKFURTERS CORTOS VACIO SCHNECK X 8</t>
  </si>
  <si>
    <t>PANCETA AHUMADA FETEADA 150G</t>
  </si>
  <si>
    <t>PATE DE JAMON SCHNECK  (UNIDAD)</t>
  </si>
  <si>
    <t>PATE DE LENGUA SCHNECK  (UNIDAD)</t>
  </si>
  <si>
    <t>PATE HIGADO AL VACIO SCHNECK  (UNIDAD)</t>
  </si>
  <si>
    <t>QUESO MAGRO C/SAL CLALDY</t>
  </si>
  <si>
    <t>QUESO MAGRO SIN SAL CLALDY</t>
  </si>
  <si>
    <t>QUESO MUZZARELLA CLALDY</t>
  </si>
  <si>
    <t>FILET DE TRUCHA C/PIEL 500GRS</t>
  </si>
  <si>
    <t>MEJILLON MEDIA VALVA 400 GRS</t>
  </si>
  <si>
    <t>ATÚN ROJO RECORTES 500G</t>
  </si>
  <si>
    <t>SALMON AHUMADO ARTICO 100 GRS</t>
  </si>
  <si>
    <t>CAMARONES T.INGLESA 400GRS.</t>
  </si>
  <si>
    <t>SALMON PORCION 400G</t>
  </si>
  <si>
    <t>SALMON AHUMADO FETAS 100 G. M.A. NORUEGA</t>
  </si>
  <si>
    <t>MIX PREMIUM DE MARISCOS 500 GRS</t>
  </si>
  <si>
    <t>PULPA LANGOSTINOS 500 G VALYMAR</t>
  </si>
  <si>
    <t>QUESO PROVOLETA SANTA ROSA 290 GR</t>
  </si>
  <si>
    <t>QUESO AZUL EL EMPERADOR HORMA</t>
  </si>
  <si>
    <t>JAMON CRUDO SERRANO NOEL</t>
  </si>
  <si>
    <t>JAMON SERRANO C/HUESO NOEL</t>
  </si>
  <si>
    <t>QUESO PARMESANO HELVETICA</t>
  </si>
  <si>
    <t>JAMON CRUDO VALENT 250 GR</t>
  </si>
  <si>
    <t>QUESO COLONIA NATURALIA</t>
  </si>
  <si>
    <t>UNTABLE PARMIGIANO 125G</t>
  </si>
  <si>
    <t>UNTABLE PROVOLONE 125G</t>
  </si>
  <si>
    <t>UNTABLE GORGONZOLA 125G</t>
  </si>
  <si>
    <t>UNTABLE BRIE 125G</t>
  </si>
  <si>
    <t>JAMON CRUDO FET. TI 100GR</t>
  </si>
  <si>
    <t>JAMON CRUDO TI</t>
  </si>
  <si>
    <t>DURAZNO</t>
  </si>
  <si>
    <t>MELON ESCRITO</t>
  </si>
  <si>
    <t>PALTA HASS</t>
  </si>
  <si>
    <t>CEREZA EXTRA JUMBO 2.5 K</t>
  </si>
  <si>
    <t>PIÑA GOLD</t>
  </si>
  <si>
    <t>TOMATE CHERRY 500G ATMOSFERA CONTROLADA</t>
  </si>
  <si>
    <t>LECHUGA FUSIÓN</t>
  </si>
  <si>
    <t>CHERRY BOX 500 GRS</t>
  </si>
  <si>
    <t>PREPARADO PARA SOFRITO/TUCO 600 GR.</t>
  </si>
  <si>
    <t>ZANAHORIA ENVASADA 1 K</t>
  </si>
  <si>
    <t>PAN PORTEÑO 6 UNS. TIENDA INGLESA</t>
  </si>
  <si>
    <t>BUDIN INGLES 400 GRS. T.I A.S (C.B.)</t>
  </si>
  <si>
    <t>PAN DE CAMPO 600 GRS.</t>
  </si>
  <si>
    <t>PAN DE CAMPO INTEGRAL 600 GRS.</t>
  </si>
  <si>
    <t>TORTA MOUSSE DOS ESTACIONES C.B.</t>
  </si>
  <si>
    <t>MASAS DE MANTECA CAJA 590 GRS. C.L.</t>
  </si>
  <si>
    <t>BUDIN INGLES PREMIUM 450 G.(C.B.)</t>
  </si>
  <si>
    <t>TORTA MANJAR DE CHOCOLATE T.INGLESA(C.B.</t>
  </si>
  <si>
    <t>BUDIN C/NUEZ PECAN 380 GRS. (C.B.)</t>
  </si>
  <si>
    <t>PIONONO FANTASIA KG.</t>
  </si>
  <si>
    <t>LENGUA A LA VINAGRETA KG.</t>
  </si>
  <si>
    <t>VITEL TONE KG.</t>
  </si>
  <si>
    <t>SANDW. LOMITO Y QUESO CHEDDAR UN.</t>
  </si>
  <si>
    <t>TORTA DE QUESO Y CEBOLLA KG.</t>
  </si>
  <si>
    <t>TORTA JAMON Y QUESO KG.</t>
  </si>
  <si>
    <t>PATE FOIE AL COGNAC 200 GRS.</t>
  </si>
  <si>
    <t>TORTA DE ZAPALLITOS KG.</t>
  </si>
  <si>
    <t>CARRE RELLENO SALADO KG.</t>
  </si>
  <si>
    <t>CARRE RELLENO AGRIDULCE KG.</t>
  </si>
  <si>
    <t>POLLO ARROLLADO SALADO KG.</t>
  </si>
  <si>
    <t>POLLO ARROLLADO AGRIDULCE KG.(20)</t>
  </si>
  <si>
    <t>MATAMBRE DE CARNE RELLENO KG.</t>
  </si>
  <si>
    <t>ARROLLADO PRIMAVERA POLLO CHICO FRITO UN</t>
  </si>
  <si>
    <t>ARROLLADO PRIMAVERA VEGETAL CH. FRITO UN</t>
  </si>
  <si>
    <t>Mailing Dia del Padre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</si>
</sst>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dd\-mm\-yy;@"/>
    <numFmt numFmtId="165" formatCode="0.0%"/>
    <numFmt numFmtId="166" formatCode="0.0"/>
  </numFmts>
  <fonts count="1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</cellStyleXfs>
  <cellXfs count="125">
    <xf numFmtId="0" fontId="0" fillId="0" borderId="0" xfId="0"/>
    <xf numFmtId="0" fontId="0" fillId="0" borderId="0" xfId="0" applyAlignment="1">
      <alignment vertical="center" wrapText="1"/>
    </xf>
    <xf numFmtId="14" fontId="4" fillId="4" borderId="2" xfId="0" applyNumberFormat="1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wrapText="1"/>
    </xf>
    <xf numFmtId="0" fontId="1" fillId="7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2" fillId="0" borderId="4" xfId="0" applyNumberFormat="1" applyFont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2" fillId="0" borderId="0" xfId="0" applyFont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0" fillId="2" borderId="4" xfId="0" applyFont="1" applyFill="1" applyBorder="1" applyAlignment="1">
      <alignment vertical="center"/>
    </xf>
    <xf numFmtId="0" fontId="8" fillId="0" borderId="0" xfId="0" applyFont="1" applyAlignment="1">
      <alignment horizontal="left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12" fillId="6" borderId="0" xfId="0" applyFont="1" applyFill="1" applyAlignment="1">
      <alignment horizontal="left"/>
    </xf>
    <xf numFmtId="0" fontId="12" fillId="6" borderId="0" xfId="0" applyFont="1" applyFill="1"/>
    <xf numFmtId="9" fontId="2" fillId="0" borderId="0" xfId="1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9" fontId="2" fillId="0" borderId="0" xfId="1" applyFont="1" applyBorder="1" applyAlignment="1">
      <alignment vertical="center"/>
    </xf>
    <xf numFmtId="1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left"/>
    </xf>
    <xf numFmtId="1" fontId="0" fillId="0" borderId="2" xfId="0" applyNumberFormat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 wrapText="1"/>
    </xf>
    <xf numFmtId="0" fontId="2" fillId="0" borderId="2" xfId="0" applyFont="1" applyBorder="1" applyAlignment="1">
      <alignment horizontal="left" vertical="center"/>
    </xf>
    <xf numFmtId="0" fontId="14" fillId="0" borderId="0" xfId="0" applyFont="1"/>
    <xf numFmtId="0" fontId="15" fillId="0" borderId="1" xfId="0" applyFont="1" applyBorder="1" applyAlignment="1">
      <alignment horizontal="center"/>
    </xf>
    <xf numFmtId="0" fontId="15" fillId="0" borderId="1" xfId="0" applyFont="1" applyBorder="1"/>
    <xf numFmtId="0" fontId="14" fillId="0" borderId="1" xfId="0" applyFont="1" applyBorder="1"/>
    <xf numFmtId="0" fontId="15" fillId="12" borderId="8" xfId="0" applyFont="1" applyFill="1" applyBorder="1" applyAlignment="1">
      <alignment horizontal="center"/>
    </xf>
    <xf numFmtId="0" fontId="15" fillId="12" borderId="9" xfId="0" applyFont="1" applyFill="1" applyBorder="1" applyAlignment="1">
      <alignment horizontal="center"/>
    </xf>
    <xf numFmtId="9" fontId="14" fillId="0" borderId="0" xfId="1" applyFont="1" applyAlignment="1">
      <alignment horizontal="right"/>
    </xf>
    <xf numFmtId="2" fontId="14" fillId="0" borderId="0" xfId="1" applyNumberFormat="1" applyFont="1"/>
    <xf numFmtId="0" fontId="14" fillId="0" borderId="0" xfId="0" applyFont="1" applyAlignment="1">
      <alignment horizontal="center"/>
    </xf>
    <xf numFmtId="0" fontId="15" fillId="0" borderId="4" xfId="0" applyFont="1" applyBorder="1" applyAlignment="1">
      <alignment horizontal="center"/>
    </xf>
    <xf numFmtId="166" fontId="14" fillId="0" borderId="0" xfId="0" applyNumberFormat="1" applyFont="1" applyAlignment="1">
      <alignment horizontal="center"/>
    </xf>
    <xf numFmtId="10" fontId="15" fillId="12" borderId="10" xfId="1" applyNumberFormat="1" applyFont="1" applyFill="1" applyBorder="1" applyAlignment="1">
      <alignment horizontal="center"/>
    </xf>
    <xf numFmtId="10" fontId="15" fillId="12" borderId="11" xfId="1" applyNumberFormat="1" applyFont="1" applyFill="1" applyBorder="1" applyAlignment="1">
      <alignment horizontal="center"/>
    </xf>
    <xf numFmtId="10" fontId="14" fillId="0" borderId="0" xfId="1" applyNumberFormat="1" applyFont="1"/>
    <xf numFmtId="43" fontId="14" fillId="0" borderId="0" xfId="2" applyFont="1"/>
    <xf numFmtId="2" fontId="14" fillId="0" borderId="0" xfId="0" applyNumberFormat="1" applyFont="1"/>
    <xf numFmtId="0" fontId="14" fillId="0" borderId="5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9" fontId="14" fillId="13" borderId="6" xfId="0" applyNumberFormat="1" applyFont="1" applyFill="1" applyBorder="1" applyAlignment="1">
      <alignment horizontal="center"/>
    </xf>
    <xf numFmtId="0" fontId="14" fillId="0" borderId="7" xfId="0" applyFont="1" applyBorder="1" applyAlignment="1">
      <alignment horizontal="center"/>
    </xf>
    <xf numFmtId="166" fontId="14" fillId="0" borderId="0" xfId="0" applyNumberFormat="1" applyFont="1"/>
    <xf numFmtId="165" fontId="15" fillId="12" borderId="8" xfId="1" applyNumberFormat="1" applyFont="1" applyFill="1" applyBorder="1"/>
    <xf numFmtId="0" fontId="15" fillId="12" borderId="9" xfId="0" applyFont="1" applyFill="1" applyBorder="1"/>
    <xf numFmtId="43" fontId="14" fillId="0" borderId="0" xfId="2" applyFont="1" applyBorder="1"/>
    <xf numFmtId="165" fontId="15" fillId="12" borderId="10" xfId="0" applyNumberFormat="1" applyFont="1" applyFill="1" applyBorder="1"/>
    <xf numFmtId="0" fontId="15" fillId="12" borderId="11" xfId="0" applyFont="1" applyFill="1" applyBorder="1"/>
    <xf numFmtId="10" fontId="14" fillId="0" borderId="0" xfId="0" applyNumberFormat="1" applyFont="1"/>
    <xf numFmtId="43" fontId="14" fillId="0" borderId="0" xfId="0" applyNumberFormat="1" applyFont="1"/>
    <xf numFmtId="165" fontId="14" fillId="0" borderId="0" xfId="1" applyNumberFormat="1" applyFont="1"/>
    <xf numFmtId="0" fontId="14" fillId="0" borderId="8" xfId="0" applyFont="1" applyBorder="1"/>
    <xf numFmtId="0" fontId="14" fillId="0" borderId="12" xfId="0" applyFont="1" applyBorder="1"/>
    <xf numFmtId="0" fontId="15" fillId="12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0" xfId="0" applyFont="1"/>
    <xf numFmtId="0" fontId="15" fillId="0" borderId="0" xfId="0" applyFont="1" applyAlignment="1">
      <alignment horizontal="center"/>
    </xf>
    <xf numFmtId="10" fontId="14" fillId="0" borderId="12" xfId="0" applyNumberFormat="1" applyFont="1" applyBorder="1"/>
    <xf numFmtId="10" fontId="14" fillId="0" borderId="12" xfId="1" applyNumberFormat="1" applyFont="1" applyBorder="1"/>
    <xf numFmtId="10" fontId="14" fillId="0" borderId="9" xfId="1" applyNumberFormat="1" applyFont="1" applyBorder="1"/>
    <xf numFmtId="0" fontId="14" fillId="0" borderId="13" xfId="0" applyFont="1" applyBorder="1"/>
    <xf numFmtId="10" fontId="14" fillId="0" borderId="14" xfId="1" applyNumberFormat="1" applyFont="1" applyBorder="1"/>
    <xf numFmtId="10" fontId="14" fillId="0" borderId="0" xfId="1" applyNumberFormat="1" applyFont="1" applyBorder="1"/>
    <xf numFmtId="9" fontId="14" fillId="0" borderId="0" xfId="1" applyFont="1"/>
    <xf numFmtId="0" fontId="14" fillId="0" borderId="0" xfId="0" applyFont="1" applyAlignment="1">
      <alignment horizontal="right"/>
    </xf>
    <xf numFmtId="0" fontId="15" fillId="0" borderId="15" xfId="0" applyFont="1" applyBorder="1" applyAlignment="1">
      <alignment horizontal="center"/>
    </xf>
    <xf numFmtId="0" fontId="15" fillId="0" borderId="16" xfId="0" applyFont="1" applyBorder="1" applyAlignment="1">
      <alignment horizontal="center"/>
    </xf>
    <xf numFmtId="0" fontId="15" fillId="0" borderId="17" xfId="0" applyFont="1" applyBorder="1" applyAlignment="1">
      <alignment horizontal="center"/>
    </xf>
    <xf numFmtId="9" fontId="15" fillId="0" borderId="16" xfId="0" applyNumberFormat="1" applyFont="1" applyBorder="1" applyAlignment="1">
      <alignment horizontal="center"/>
    </xf>
    <xf numFmtId="0" fontId="14" fillId="0" borderId="10" xfId="0" applyFont="1" applyBorder="1"/>
    <xf numFmtId="10" fontId="14" fillId="0" borderId="11" xfId="1" applyNumberFormat="1" applyFont="1" applyBorder="1"/>
    <xf numFmtId="0" fontId="14" fillId="0" borderId="19" xfId="0" applyFont="1" applyBorder="1"/>
    <xf numFmtId="0" fontId="15" fillId="12" borderId="4" xfId="0" applyFont="1" applyFill="1" applyBorder="1"/>
    <xf numFmtId="0" fontId="15" fillId="12" borderId="16" xfId="0" applyFont="1" applyFill="1" applyBorder="1"/>
    <xf numFmtId="2" fontId="15" fillId="12" borderId="16" xfId="0" applyNumberFormat="1" applyFont="1" applyFill="1" applyBorder="1"/>
    <xf numFmtId="10" fontId="14" fillId="0" borderId="18" xfId="1" applyNumberFormat="1" applyFont="1" applyBorder="1"/>
    <xf numFmtId="2" fontId="0" fillId="0" borderId="0" xfId="0" applyNumberForma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 wrapText="1"/>
    </xf>
    <xf numFmtId="165" fontId="0" fillId="0" borderId="2" xfId="1" applyNumberFormat="1" applyFont="1" applyBorder="1" applyAlignment="1">
      <alignment horizontal="center"/>
    </xf>
    <xf numFmtId="1" fontId="14" fillId="0" borderId="0" xfId="0" applyNumberFormat="1" applyFont="1"/>
    <xf numFmtId="10" fontId="14" fillId="0" borderId="18" xfId="0" applyNumberFormat="1" applyFont="1" applyBorder="1"/>
    <xf numFmtId="10" fontId="14" fillId="0" borderId="11" xfId="1" applyNumberFormat="1" applyFont="1" applyFill="1" applyBorder="1"/>
    <xf numFmtId="0" fontId="14" fillId="14" borderId="13" xfId="0" applyFont="1" applyFill="1" applyBorder="1"/>
    <xf numFmtId="10" fontId="14" fillId="14" borderId="0" xfId="0" applyNumberFormat="1" applyFont="1" applyFill="1"/>
    <xf numFmtId="10" fontId="14" fillId="14" borderId="0" xfId="1" applyNumberFormat="1" applyFont="1" applyFill="1" applyBorder="1"/>
    <xf numFmtId="10" fontId="14" fillId="14" borderId="14" xfId="1" applyNumberFormat="1" applyFont="1" applyFill="1" applyBorder="1"/>
    <xf numFmtId="0" fontId="14" fillId="14" borderId="14" xfId="0" applyFont="1" applyFill="1" applyBorder="1"/>
    <xf numFmtId="165" fontId="0" fillId="0" borderId="2" xfId="1" applyNumberFormat="1" applyFont="1" applyBorder="1" applyAlignment="1">
      <alignment horizontal="center" wrapText="1"/>
    </xf>
    <xf numFmtId="165" fontId="0" fillId="0" borderId="2" xfId="1" applyNumberFormat="1" applyFont="1" applyBorder="1" applyAlignment="1">
      <alignment horizontal="center" vertical="center" wrapText="1"/>
    </xf>
    <xf numFmtId="165" fontId="0" fillId="0" borderId="2" xfId="1" applyNumberFormat="1" applyFont="1" applyBorder="1" applyAlignment="1">
      <alignment horizontal="left"/>
    </xf>
    <xf numFmtId="9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0" fontId="14" fillId="15" borderId="6" xfId="1" applyNumberFormat="1" applyFont="1" applyFill="1" applyBorder="1" applyAlignment="1">
      <alignment horizontal="center"/>
    </xf>
    <xf numFmtId="0" fontId="2" fillId="16" borderId="2" xfId="0" applyFont="1" applyFill="1" applyBorder="1" applyAlignment="1">
      <alignment vertical="center"/>
    </xf>
    <xf numFmtId="0" fontId="2" fillId="16" borderId="0" xfId="0" applyFont="1" applyFill="1" applyAlignment="1">
      <alignment vertical="center"/>
    </xf>
    <xf numFmtId="2" fontId="0" fillId="0" borderId="2" xfId="1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C9056-4A13-46C3-83CD-9F87262E6A4B}">
  <dimension ref="B1:U1048513"/>
  <sheetViews>
    <sheetView showGridLines="0" tabSelected="1" zoomScale="80" zoomScaleNormal="80" workbookViewId="0">
      <selection activeCell="F17" sqref="F17"/>
    </sheetView>
  </sheetViews>
  <sheetFormatPr baseColWidth="10" defaultColWidth="11.42578125" defaultRowHeight="15" x14ac:dyDescent="0.25"/>
  <cols>
    <col min="1" max="1" width="4" customWidth="1"/>
    <col min="2" max="2" width="24.140625" bestFit="1" customWidth="1"/>
    <col min="3" max="3" width="31.28515625" customWidth="1"/>
    <col min="4" max="4" width="47.85546875" bestFit="1" customWidth="1"/>
    <col min="5" max="5" width="25.42578125" style="12" bestFit="1" customWidth="1"/>
    <col min="6" max="6" width="26.42578125" bestFit="1" customWidth="1"/>
    <col min="7" max="7" width="42.140625" bestFit="1" customWidth="1"/>
    <col min="8" max="8" width="16.42578125" customWidth="1"/>
    <col min="9" max="9" width="35.5703125" style="95" customWidth="1"/>
    <col min="10" max="10" width="41.85546875" customWidth="1"/>
    <col min="11" max="11" width="45.140625" customWidth="1"/>
    <col min="12" max="12" width="18.7109375" customWidth="1"/>
    <col min="13" max="13" width="20.28515625" customWidth="1"/>
    <col min="14" max="14" width="22.42578125" customWidth="1"/>
    <col min="15" max="21" width="20" hidden="1" customWidth="1"/>
    <col min="22" max="22" width="19.85546875" bestFit="1" customWidth="1"/>
  </cols>
  <sheetData>
    <row r="1" spans="2:21" ht="6.95" customHeight="1" x14ac:dyDescent="0.25"/>
    <row r="2" spans="2:21" ht="15.75" x14ac:dyDescent="0.25">
      <c r="B2" s="117" t="s">
        <v>0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</row>
    <row r="3" spans="2:21" ht="6.4" customHeight="1" x14ac:dyDescent="0.25">
      <c r="B3" s="118"/>
      <c r="C3" s="119"/>
      <c r="D3" s="119"/>
      <c r="E3" s="119"/>
      <c r="F3" s="119"/>
      <c r="G3" s="119"/>
      <c r="H3" s="119"/>
      <c r="I3" s="119"/>
      <c r="J3" s="119"/>
      <c r="K3" s="119"/>
    </row>
    <row r="4" spans="2:21" x14ac:dyDescent="0.25">
      <c r="B4" s="20" t="s">
        <v>1</v>
      </c>
      <c r="C4" s="6" t="s">
        <v>2</v>
      </c>
      <c r="D4" s="7"/>
      <c r="E4" s="18"/>
      <c r="F4" s="7"/>
      <c r="G4" s="7"/>
      <c r="H4" s="7"/>
      <c r="I4" s="96"/>
      <c r="J4" s="7"/>
      <c r="K4" s="7"/>
      <c r="L4" s="7"/>
      <c r="M4" s="7"/>
      <c r="N4" s="7"/>
      <c r="O4" s="7"/>
    </row>
    <row r="5" spans="2:21" x14ac:dyDescent="0.25">
      <c r="B5" s="20" t="s">
        <v>3</v>
      </c>
      <c r="C5" s="6" t="s">
        <v>123</v>
      </c>
      <c r="D5" s="7"/>
      <c r="E5" s="33"/>
      <c r="F5" s="34"/>
      <c r="G5" s="33"/>
      <c r="H5" s="7"/>
      <c r="I5" s="96"/>
      <c r="J5" s="7"/>
      <c r="K5" s="7"/>
      <c r="L5" s="7"/>
      <c r="M5" s="7"/>
      <c r="N5" s="7"/>
      <c r="O5" s="7"/>
    </row>
    <row r="6" spans="2:21" x14ac:dyDescent="0.25">
      <c r="B6" s="21" t="s">
        <v>5</v>
      </c>
      <c r="C6" s="6" t="s">
        <v>6</v>
      </c>
      <c r="D6" s="7"/>
      <c r="E6" s="18"/>
      <c r="F6" s="7"/>
      <c r="G6" s="18"/>
      <c r="H6" s="7"/>
      <c r="I6" s="96"/>
      <c r="J6" s="7"/>
      <c r="K6" s="7"/>
      <c r="L6" s="7"/>
      <c r="M6" s="7"/>
      <c r="N6" s="7"/>
      <c r="O6" s="7"/>
    </row>
    <row r="7" spans="2:21" x14ac:dyDescent="0.25">
      <c r="B7" s="20" t="s">
        <v>7</v>
      </c>
      <c r="C7" s="6" t="s">
        <v>8</v>
      </c>
      <c r="D7" s="7"/>
      <c r="E7" s="18"/>
      <c r="F7" s="7"/>
      <c r="G7" s="18"/>
      <c r="H7" s="7"/>
      <c r="I7" s="96"/>
      <c r="J7" s="7"/>
      <c r="K7" s="7"/>
      <c r="L7" s="7"/>
      <c r="M7" s="7"/>
      <c r="N7" s="7"/>
      <c r="O7" s="7"/>
    </row>
    <row r="8" spans="2:21" x14ac:dyDescent="0.25">
      <c r="B8" s="20" t="s">
        <v>9</v>
      </c>
      <c r="C8" s="6" t="s">
        <v>2144</v>
      </c>
      <c r="D8" s="7"/>
      <c r="E8" s="18"/>
      <c r="F8" s="7"/>
      <c r="G8" s="7"/>
      <c r="H8" s="7"/>
      <c r="I8" s="96"/>
      <c r="J8" s="32"/>
      <c r="K8" s="7"/>
      <c r="L8" s="7"/>
      <c r="M8" s="7"/>
      <c r="N8" s="7"/>
      <c r="O8" s="7"/>
    </row>
    <row r="9" spans="2:21" x14ac:dyDescent="0.25">
      <c r="B9" s="22" t="s">
        <v>10</v>
      </c>
      <c r="C9" s="113" t="s">
        <v>1096</v>
      </c>
      <c r="D9" s="114"/>
      <c r="E9" s="18"/>
      <c r="F9" s="7"/>
      <c r="G9" s="7"/>
      <c r="H9" s="7"/>
      <c r="I9" s="96"/>
      <c r="J9" s="7"/>
      <c r="K9" s="7"/>
      <c r="L9" s="7"/>
      <c r="M9" s="7"/>
      <c r="N9" s="7"/>
      <c r="O9" s="7"/>
    </row>
    <row r="10" spans="2:21" x14ac:dyDescent="0.25">
      <c r="B10" s="23" t="s">
        <v>125</v>
      </c>
      <c r="C10" s="13">
        <v>46017</v>
      </c>
      <c r="D10" s="7"/>
      <c r="E10" s="18"/>
      <c r="F10" s="7">
        <f>890*0.8</f>
        <v>712</v>
      </c>
      <c r="G10" s="7"/>
      <c r="H10" s="35"/>
      <c r="I10" s="96"/>
      <c r="J10" s="7"/>
      <c r="K10" s="40"/>
      <c r="L10" s="7"/>
      <c r="M10" s="7"/>
      <c r="N10" s="7"/>
      <c r="O10" s="7"/>
    </row>
    <row r="11" spans="2:21" ht="15.75" x14ac:dyDescent="0.25">
      <c r="B11" s="23" t="s">
        <v>12</v>
      </c>
      <c r="C11" s="13">
        <v>46028</v>
      </c>
      <c r="D11" s="7"/>
      <c r="E11" s="18"/>
      <c r="F11" s="7"/>
      <c r="G11" s="7"/>
      <c r="H11" s="7"/>
      <c r="I11" s="96"/>
      <c r="J11" s="7"/>
      <c r="K11" s="7"/>
      <c r="L11" s="7"/>
      <c r="M11" s="7"/>
      <c r="N11" s="7"/>
      <c r="O11" s="7"/>
      <c r="P11" s="2" t="s">
        <v>13</v>
      </c>
      <c r="Q11" s="120" t="s">
        <v>14</v>
      </c>
      <c r="R11" s="121"/>
      <c r="S11" s="122"/>
      <c r="T11" s="123" t="s">
        <v>15</v>
      </c>
      <c r="U11" s="124"/>
    </row>
    <row r="12" spans="2:21" ht="75" x14ac:dyDescent="0.25">
      <c r="B12" s="14" t="s">
        <v>16</v>
      </c>
      <c r="C12" s="14" t="s">
        <v>17</v>
      </c>
      <c r="D12" s="14" t="s">
        <v>18</v>
      </c>
      <c r="E12" s="19" t="s">
        <v>19</v>
      </c>
      <c r="F12" s="19" t="s">
        <v>20</v>
      </c>
      <c r="G12" s="19" t="s">
        <v>21</v>
      </c>
      <c r="H12" s="19" t="s">
        <v>128</v>
      </c>
      <c r="I12" s="97" t="s">
        <v>22</v>
      </c>
      <c r="J12" s="14" t="s">
        <v>23</v>
      </c>
      <c r="K12" s="14" t="s">
        <v>24</v>
      </c>
      <c r="L12" s="19" t="s">
        <v>25</v>
      </c>
      <c r="M12" s="19" t="s">
        <v>26</v>
      </c>
      <c r="N12" s="19" t="s">
        <v>27</v>
      </c>
      <c r="O12" s="3" t="s">
        <v>28</v>
      </c>
      <c r="P12" s="4" t="s">
        <v>29</v>
      </c>
      <c r="Q12" s="4" t="s">
        <v>30</v>
      </c>
      <c r="R12" s="4" t="s">
        <v>31</v>
      </c>
      <c r="S12" s="5" t="s">
        <v>30</v>
      </c>
      <c r="T12" s="5" t="s">
        <v>31</v>
      </c>
    </row>
    <row r="13" spans="2:21" x14ac:dyDescent="0.25">
      <c r="B13" s="27" t="s">
        <v>123</v>
      </c>
      <c r="C13" s="28">
        <v>466557</v>
      </c>
      <c r="D13" s="28" t="s">
        <v>1097</v>
      </c>
      <c r="E13" s="27" t="s">
        <v>32</v>
      </c>
      <c r="F13" s="6" t="s">
        <v>1095</v>
      </c>
      <c r="G13" s="28" t="s">
        <v>48</v>
      </c>
      <c r="H13" s="28" t="s">
        <v>129</v>
      </c>
      <c r="I13" s="115">
        <v>249</v>
      </c>
      <c r="J13" s="27"/>
      <c r="K13" s="40"/>
      <c r="L13" s="29" t="s">
        <v>126</v>
      </c>
      <c r="M13" s="29" t="s">
        <v>126</v>
      </c>
      <c r="N13" s="29" t="s">
        <v>126</v>
      </c>
    </row>
    <row r="14" spans="2:21" x14ac:dyDescent="0.25">
      <c r="B14" s="27" t="s">
        <v>123</v>
      </c>
      <c r="C14" s="28">
        <v>573571</v>
      </c>
      <c r="D14" s="28" t="s">
        <v>1098</v>
      </c>
      <c r="E14" s="27" t="s">
        <v>32</v>
      </c>
      <c r="F14" s="6" t="s">
        <v>1095</v>
      </c>
      <c r="G14" s="28" t="s">
        <v>48</v>
      </c>
      <c r="H14" s="28" t="s">
        <v>129</v>
      </c>
      <c r="I14" s="115">
        <v>99</v>
      </c>
      <c r="J14" s="27"/>
      <c r="K14" s="40"/>
      <c r="L14" s="29" t="s">
        <v>126</v>
      </c>
      <c r="M14" s="29" t="s">
        <v>126</v>
      </c>
      <c r="N14" s="29" t="s">
        <v>126</v>
      </c>
    </row>
    <row r="15" spans="2:21" x14ac:dyDescent="0.25">
      <c r="B15" s="27" t="s">
        <v>123</v>
      </c>
      <c r="C15" s="28">
        <v>64146</v>
      </c>
      <c r="D15" s="28" t="s">
        <v>1099</v>
      </c>
      <c r="E15" s="27" t="s">
        <v>32</v>
      </c>
      <c r="F15" s="6" t="s">
        <v>1095</v>
      </c>
      <c r="G15" s="28" t="s">
        <v>48</v>
      </c>
      <c r="H15" s="28" t="s">
        <v>129</v>
      </c>
      <c r="I15" s="115">
        <v>69</v>
      </c>
      <c r="J15" s="27"/>
      <c r="K15" s="40"/>
      <c r="L15" s="29" t="s">
        <v>126</v>
      </c>
      <c r="M15" s="29" t="s">
        <v>126</v>
      </c>
      <c r="N15" s="29" t="s">
        <v>126</v>
      </c>
    </row>
    <row r="16" spans="2:21" x14ac:dyDescent="0.25">
      <c r="B16" s="27" t="s">
        <v>123</v>
      </c>
      <c r="C16" s="28">
        <v>599485</v>
      </c>
      <c r="D16" s="28" t="s">
        <v>1100</v>
      </c>
      <c r="E16" s="27" t="s">
        <v>32</v>
      </c>
      <c r="F16" s="6" t="s">
        <v>1095</v>
      </c>
      <c r="G16" s="28" t="s">
        <v>48</v>
      </c>
      <c r="H16" s="28" t="s">
        <v>129</v>
      </c>
      <c r="I16" s="115">
        <v>159</v>
      </c>
      <c r="J16" s="27"/>
      <c r="K16" s="40"/>
      <c r="L16" s="29" t="s">
        <v>126</v>
      </c>
      <c r="M16" s="29" t="s">
        <v>126</v>
      </c>
      <c r="N16" s="29" t="s">
        <v>126</v>
      </c>
    </row>
    <row r="17" spans="2:14" x14ac:dyDescent="0.25">
      <c r="B17" s="27" t="s">
        <v>123</v>
      </c>
      <c r="C17" s="28">
        <v>601097</v>
      </c>
      <c r="D17" s="28" t="s">
        <v>1101</v>
      </c>
      <c r="E17" s="27" t="s">
        <v>32</v>
      </c>
      <c r="F17" s="6" t="s">
        <v>1095</v>
      </c>
      <c r="G17" s="28" t="s">
        <v>48</v>
      </c>
      <c r="H17" s="28" t="s">
        <v>129</v>
      </c>
      <c r="I17" s="115">
        <v>89</v>
      </c>
      <c r="J17" s="27"/>
      <c r="K17" s="40"/>
      <c r="L17" s="29" t="s">
        <v>126</v>
      </c>
      <c r="M17" s="29" t="s">
        <v>126</v>
      </c>
      <c r="N17" s="29" t="s">
        <v>126</v>
      </c>
    </row>
    <row r="18" spans="2:14" x14ac:dyDescent="0.25">
      <c r="B18" s="27" t="s">
        <v>123</v>
      </c>
      <c r="C18" s="28">
        <v>557379</v>
      </c>
      <c r="D18" s="28" t="s">
        <v>1102</v>
      </c>
      <c r="E18" s="27" t="s">
        <v>32</v>
      </c>
      <c r="F18" s="6" t="s">
        <v>1095</v>
      </c>
      <c r="G18" s="28" t="s">
        <v>48</v>
      </c>
      <c r="H18" s="28" t="s">
        <v>129</v>
      </c>
      <c r="I18" s="115">
        <v>239</v>
      </c>
      <c r="J18" s="27"/>
      <c r="K18" s="40"/>
      <c r="L18" s="29" t="s">
        <v>126</v>
      </c>
      <c r="M18" s="29" t="s">
        <v>126</v>
      </c>
      <c r="N18" s="29" t="s">
        <v>126</v>
      </c>
    </row>
    <row r="19" spans="2:14" x14ac:dyDescent="0.25">
      <c r="B19" s="27" t="s">
        <v>123</v>
      </c>
      <c r="C19" s="28">
        <v>545581</v>
      </c>
      <c r="D19" s="28" t="s">
        <v>1103</v>
      </c>
      <c r="E19" s="27" t="s">
        <v>32</v>
      </c>
      <c r="F19" s="6" t="s">
        <v>1095</v>
      </c>
      <c r="G19" s="28" t="s">
        <v>48</v>
      </c>
      <c r="H19" s="28" t="s">
        <v>129</v>
      </c>
      <c r="I19" s="115">
        <v>389</v>
      </c>
      <c r="J19" s="27"/>
      <c r="K19" s="40"/>
      <c r="L19" s="29" t="s">
        <v>126</v>
      </c>
      <c r="M19" s="29" t="s">
        <v>126</v>
      </c>
      <c r="N19" s="29" t="s">
        <v>126</v>
      </c>
    </row>
    <row r="20" spans="2:14" x14ac:dyDescent="0.25">
      <c r="B20" s="27" t="s">
        <v>123</v>
      </c>
      <c r="C20" s="28">
        <v>585363</v>
      </c>
      <c r="D20" s="28" t="s">
        <v>1104</v>
      </c>
      <c r="E20" s="27" t="s">
        <v>32</v>
      </c>
      <c r="F20" s="6" t="s">
        <v>1095</v>
      </c>
      <c r="G20" s="28" t="s">
        <v>48</v>
      </c>
      <c r="H20" s="28" t="s">
        <v>129</v>
      </c>
      <c r="I20" s="115">
        <v>219</v>
      </c>
      <c r="J20" s="27"/>
      <c r="K20" s="40"/>
      <c r="L20" s="29" t="s">
        <v>126</v>
      </c>
      <c r="M20" s="29" t="s">
        <v>126</v>
      </c>
      <c r="N20" s="29" t="s">
        <v>126</v>
      </c>
    </row>
    <row r="21" spans="2:14" x14ac:dyDescent="0.25">
      <c r="B21" s="27" t="s">
        <v>123</v>
      </c>
      <c r="C21" s="28">
        <v>570712</v>
      </c>
      <c r="D21" s="28" t="s">
        <v>1105</v>
      </c>
      <c r="E21" s="27" t="s">
        <v>32</v>
      </c>
      <c r="F21" s="6" t="s">
        <v>1095</v>
      </c>
      <c r="G21" s="28" t="s">
        <v>48</v>
      </c>
      <c r="H21" s="28" t="s">
        <v>129</v>
      </c>
      <c r="I21" s="115">
        <v>199</v>
      </c>
      <c r="J21" s="27"/>
      <c r="K21" s="40"/>
      <c r="L21" s="29" t="s">
        <v>126</v>
      </c>
      <c r="M21" s="29" t="s">
        <v>126</v>
      </c>
      <c r="N21" s="29" t="s">
        <v>126</v>
      </c>
    </row>
    <row r="22" spans="2:14" x14ac:dyDescent="0.25">
      <c r="B22" s="27" t="s">
        <v>123</v>
      </c>
      <c r="C22" s="28">
        <v>590663</v>
      </c>
      <c r="D22" s="28" t="s">
        <v>1106</v>
      </c>
      <c r="E22" s="27" t="s">
        <v>32</v>
      </c>
      <c r="F22" s="6" t="s">
        <v>1095</v>
      </c>
      <c r="G22" s="28" t="s">
        <v>48</v>
      </c>
      <c r="H22" s="28" t="s">
        <v>129</v>
      </c>
      <c r="I22" s="115">
        <v>229</v>
      </c>
      <c r="J22" s="27"/>
      <c r="K22" s="40"/>
      <c r="L22" s="29" t="s">
        <v>126</v>
      </c>
      <c r="M22" s="29" t="s">
        <v>126</v>
      </c>
      <c r="N22" s="29" t="s">
        <v>126</v>
      </c>
    </row>
    <row r="23" spans="2:14" x14ac:dyDescent="0.25">
      <c r="B23" s="27" t="s">
        <v>123</v>
      </c>
      <c r="C23" s="28">
        <v>570716</v>
      </c>
      <c r="D23" s="28" t="s">
        <v>1107</v>
      </c>
      <c r="E23" s="27" t="s">
        <v>32</v>
      </c>
      <c r="F23" s="6" t="s">
        <v>1095</v>
      </c>
      <c r="G23" s="28" t="s">
        <v>48</v>
      </c>
      <c r="H23" s="28" t="s">
        <v>129</v>
      </c>
      <c r="I23" s="115">
        <v>479</v>
      </c>
      <c r="J23" s="27"/>
      <c r="K23" s="40"/>
      <c r="L23" s="29" t="s">
        <v>126</v>
      </c>
      <c r="M23" s="29" t="s">
        <v>126</v>
      </c>
      <c r="N23" s="29" t="s">
        <v>126</v>
      </c>
    </row>
    <row r="24" spans="2:14" x14ac:dyDescent="0.25">
      <c r="B24" s="27" t="s">
        <v>123</v>
      </c>
      <c r="C24" s="28">
        <v>580972</v>
      </c>
      <c r="D24" s="28" t="s">
        <v>1108</v>
      </c>
      <c r="E24" s="27" t="s">
        <v>32</v>
      </c>
      <c r="F24" s="6" t="s">
        <v>1095</v>
      </c>
      <c r="G24" s="28" t="s">
        <v>48</v>
      </c>
      <c r="H24" s="28" t="s">
        <v>129</v>
      </c>
      <c r="I24" s="115">
        <v>699</v>
      </c>
      <c r="J24" s="27"/>
      <c r="K24" s="40"/>
      <c r="L24" s="29" t="s">
        <v>126</v>
      </c>
      <c r="M24" s="29" t="s">
        <v>126</v>
      </c>
      <c r="N24" s="29" t="s">
        <v>126</v>
      </c>
    </row>
    <row r="25" spans="2:14" x14ac:dyDescent="0.25">
      <c r="B25" s="27" t="s">
        <v>123</v>
      </c>
      <c r="C25" s="28">
        <v>580973</v>
      </c>
      <c r="D25" s="28" t="s">
        <v>1109</v>
      </c>
      <c r="E25" s="27" t="s">
        <v>32</v>
      </c>
      <c r="F25" s="6" t="s">
        <v>1095</v>
      </c>
      <c r="G25" s="28" t="s">
        <v>48</v>
      </c>
      <c r="H25" s="28" t="s">
        <v>129</v>
      </c>
      <c r="I25" s="115">
        <v>699</v>
      </c>
      <c r="J25" s="27"/>
      <c r="K25" s="40"/>
      <c r="L25" s="29" t="s">
        <v>126</v>
      </c>
      <c r="M25" s="29" t="s">
        <v>126</v>
      </c>
      <c r="N25" s="29" t="s">
        <v>126</v>
      </c>
    </row>
    <row r="26" spans="2:14" x14ac:dyDescent="0.25">
      <c r="B26" s="27" t="s">
        <v>123</v>
      </c>
      <c r="C26" s="28">
        <v>580974</v>
      </c>
      <c r="D26" s="28" t="s">
        <v>1110</v>
      </c>
      <c r="E26" s="27" t="s">
        <v>32</v>
      </c>
      <c r="F26" s="6" t="s">
        <v>1095</v>
      </c>
      <c r="G26" s="28" t="s">
        <v>48</v>
      </c>
      <c r="H26" s="28" t="s">
        <v>129</v>
      </c>
      <c r="I26" s="115">
        <v>699</v>
      </c>
      <c r="J26" s="27"/>
      <c r="K26" s="40"/>
      <c r="L26" s="29" t="s">
        <v>126</v>
      </c>
      <c r="M26" s="29" t="s">
        <v>126</v>
      </c>
      <c r="N26" s="29" t="s">
        <v>126</v>
      </c>
    </row>
    <row r="27" spans="2:14" x14ac:dyDescent="0.25">
      <c r="B27" s="27" t="s">
        <v>123</v>
      </c>
      <c r="C27" s="28">
        <v>580975</v>
      </c>
      <c r="D27" s="28" t="s">
        <v>1111</v>
      </c>
      <c r="E27" s="27" t="s">
        <v>32</v>
      </c>
      <c r="F27" s="6" t="s">
        <v>1095</v>
      </c>
      <c r="G27" s="28" t="s">
        <v>48</v>
      </c>
      <c r="H27" s="28" t="s">
        <v>129</v>
      </c>
      <c r="I27" s="115">
        <v>699</v>
      </c>
      <c r="J27" s="27"/>
      <c r="K27" s="40"/>
      <c r="L27" s="29" t="s">
        <v>126</v>
      </c>
      <c r="M27" s="29" t="s">
        <v>126</v>
      </c>
      <c r="N27" s="29" t="s">
        <v>126</v>
      </c>
    </row>
    <row r="28" spans="2:14" x14ac:dyDescent="0.25">
      <c r="B28" s="27" t="s">
        <v>123</v>
      </c>
      <c r="C28" s="28">
        <v>3573</v>
      </c>
      <c r="D28" s="28" t="s">
        <v>1112</v>
      </c>
      <c r="E28" s="27" t="s">
        <v>32</v>
      </c>
      <c r="F28" s="6" t="s">
        <v>1095</v>
      </c>
      <c r="G28" s="28" t="s">
        <v>48</v>
      </c>
      <c r="H28" s="28" t="s">
        <v>129</v>
      </c>
      <c r="I28" s="115">
        <v>199</v>
      </c>
      <c r="J28" s="27"/>
      <c r="K28" s="40"/>
      <c r="L28" s="29" t="s">
        <v>126</v>
      </c>
      <c r="M28" s="29" t="s">
        <v>126</v>
      </c>
      <c r="N28" s="29" t="s">
        <v>126</v>
      </c>
    </row>
    <row r="29" spans="2:14" x14ac:dyDescent="0.25">
      <c r="B29" s="27" t="s">
        <v>123</v>
      </c>
      <c r="C29" s="28">
        <v>554508</v>
      </c>
      <c r="D29" s="28" t="s">
        <v>1113</v>
      </c>
      <c r="E29" s="27" t="s">
        <v>32</v>
      </c>
      <c r="F29" s="6" t="s">
        <v>1095</v>
      </c>
      <c r="G29" s="28" t="s">
        <v>48</v>
      </c>
      <c r="H29" s="28" t="s">
        <v>129</v>
      </c>
      <c r="I29" s="115">
        <v>279</v>
      </c>
      <c r="J29" s="27"/>
      <c r="K29" s="40"/>
      <c r="L29" s="29" t="s">
        <v>126</v>
      </c>
      <c r="M29" s="29" t="s">
        <v>126</v>
      </c>
      <c r="N29" s="29" t="s">
        <v>126</v>
      </c>
    </row>
    <row r="30" spans="2:14" x14ac:dyDescent="0.25">
      <c r="B30" s="27" t="s">
        <v>123</v>
      </c>
      <c r="C30" s="28">
        <v>603583</v>
      </c>
      <c r="D30" s="28" t="s">
        <v>1114</v>
      </c>
      <c r="E30" s="27" t="s">
        <v>32</v>
      </c>
      <c r="F30" s="6" t="s">
        <v>1095</v>
      </c>
      <c r="G30" s="28" t="s">
        <v>48</v>
      </c>
      <c r="H30" s="28" t="s">
        <v>129</v>
      </c>
      <c r="I30" s="115">
        <v>259</v>
      </c>
      <c r="J30" s="27"/>
      <c r="K30" s="40"/>
      <c r="L30" s="29" t="s">
        <v>126</v>
      </c>
      <c r="M30" s="29" t="s">
        <v>126</v>
      </c>
      <c r="N30" s="29" t="s">
        <v>126</v>
      </c>
    </row>
    <row r="31" spans="2:14" x14ac:dyDescent="0.25">
      <c r="B31" s="27" t="s">
        <v>123</v>
      </c>
      <c r="C31" s="28">
        <v>599058</v>
      </c>
      <c r="D31" s="28" t="s">
        <v>1115</v>
      </c>
      <c r="E31" s="27" t="s">
        <v>32</v>
      </c>
      <c r="F31" s="6" t="s">
        <v>1095</v>
      </c>
      <c r="G31" s="28" t="s">
        <v>48</v>
      </c>
      <c r="H31" s="28" t="s">
        <v>129</v>
      </c>
      <c r="I31" s="115">
        <v>69</v>
      </c>
      <c r="J31" s="27"/>
      <c r="K31" s="40"/>
      <c r="L31" s="29" t="s">
        <v>126</v>
      </c>
      <c r="M31" s="29" t="s">
        <v>126</v>
      </c>
      <c r="N31" s="29" t="s">
        <v>126</v>
      </c>
    </row>
    <row r="32" spans="2:14" x14ac:dyDescent="0.25">
      <c r="B32" s="27" t="s">
        <v>123</v>
      </c>
      <c r="C32" s="28">
        <v>599059</v>
      </c>
      <c r="D32" s="28" t="s">
        <v>1116</v>
      </c>
      <c r="E32" s="27" t="s">
        <v>32</v>
      </c>
      <c r="F32" s="6" t="s">
        <v>1095</v>
      </c>
      <c r="G32" s="28" t="s">
        <v>48</v>
      </c>
      <c r="H32" s="28" t="s">
        <v>129</v>
      </c>
      <c r="I32" s="115">
        <v>99</v>
      </c>
      <c r="J32" s="27"/>
      <c r="K32" s="40"/>
      <c r="L32" s="29" t="s">
        <v>126</v>
      </c>
      <c r="M32" s="29" t="s">
        <v>126</v>
      </c>
      <c r="N32" s="29" t="s">
        <v>126</v>
      </c>
    </row>
    <row r="33" spans="2:14" x14ac:dyDescent="0.25">
      <c r="B33" s="27" t="s">
        <v>123</v>
      </c>
      <c r="C33" s="28">
        <v>587763</v>
      </c>
      <c r="D33" s="28" t="s">
        <v>1117</v>
      </c>
      <c r="E33" s="27" t="s">
        <v>32</v>
      </c>
      <c r="F33" s="6" t="s">
        <v>1095</v>
      </c>
      <c r="G33" s="28" t="s">
        <v>48</v>
      </c>
      <c r="H33" s="28" t="s">
        <v>129</v>
      </c>
      <c r="I33" s="115">
        <v>1249</v>
      </c>
      <c r="J33" s="27"/>
      <c r="K33" s="40"/>
      <c r="L33" s="29" t="s">
        <v>126</v>
      </c>
      <c r="M33" s="29" t="s">
        <v>126</v>
      </c>
      <c r="N33" s="29" t="s">
        <v>126</v>
      </c>
    </row>
    <row r="34" spans="2:14" x14ac:dyDescent="0.25">
      <c r="B34" s="27" t="s">
        <v>123</v>
      </c>
      <c r="C34" s="28">
        <v>596585</v>
      </c>
      <c r="D34" s="28" t="s">
        <v>1118</v>
      </c>
      <c r="E34" s="27" t="s">
        <v>32</v>
      </c>
      <c r="F34" s="6" t="s">
        <v>1095</v>
      </c>
      <c r="G34" s="28" t="s">
        <v>48</v>
      </c>
      <c r="H34" s="28" t="s">
        <v>129</v>
      </c>
      <c r="I34" s="115">
        <v>2099</v>
      </c>
      <c r="J34" s="27"/>
      <c r="K34" s="40"/>
      <c r="L34" s="29" t="s">
        <v>126</v>
      </c>
      <c r="M34" s="29" t="s">
        <v>126</v>
      </c>
      <c r="N34" s="29" t="s">
        <v>126</v>
      </c>
    </row>
    <row r="35" spans="2:14" x14ac:dyDescent="0.25">
      <c r="B35" s="27" t="s">
        <v>123</v>
      </c>
      <c r="C35" s="28">
        <v>587761</v>
      </c>
      <c r="D35" s="28" t="s">
        <v>1119</v>
      </c>
      <c r="E35" s="27" t="s">
        <v>32</v>
      </c>
      <c r="F35" s="6" t="s">
        <v>1095</v>
      </c>
      <c r="G35" s="28" t="s">
        <v>48</v>
      </c>
      <c r="H35" s="28" t="s">
        <v>129</v>
      </c>
      <c r="I35" s="115">
        <v>899</v>
      </c>
      <c r="J35" s="27"/>
      <c r="K35" s="40"/>
      <c r="L35" s="29" t="s">
        <v>126</v>
      </c>
      <c r="M35" s="29" t="s">
        <v>126</v>
      </c>
      <c r="N35" s="29" t="s">
        <v>126</v>
      </c>
    </row>
    <row r="36" spans="2:14" x14ac:dyDescent="0.25">
      <c r="B36" s="27" t="s">
        <v>123</v>
      </c>
      <c r="C36" s="28">
        <v>94931</v>
      </c>
      <c r="D36" s="28" t="s">
        <v>1120</v>
      </c>
      <c r="E36" s="27" t="s">
        <v>32</v>
      </c>
      <c r="F36" s="6" t="s">
        <v>1095</v>
      </c>
      <c r="G36" s="28" t="s">
        <v>48</v>
      </c>
      <c r="H36" s="28" t="s">
        <v>129</v>
      </c>
      <c r="I36" s="115">
        <v>990</v>
      </c>
      <c r="J36" s="27"/>
      <c r="K36" s="40"/>
      <c r="L36" s="29" t="s">
        <v>126</v>
      </c>
      <c r="M36" s="29" t="s">
        <v>126</v>
      </c>
      <c r="N36" s="29" t="s">
        <v>126</v>
      </c>
    </row>
    <row r="37" spans="2:14" x14ac:dyDescent="0.25">
      <c r="B37" s="27" t="s">
        <v>123</v>
      </c>
      <c r="C37" s="28">
        <v>73022</v>
      </c>
      <c r="D37" s="28" t="s">
        <v>1121</v>
      </c>
      <c r="E37" s="27" t="s">
        <v>32</v>
      </c>
      <c r="F37" s="6" t="s">
        <v>1095</v>
      </c>
      <c r="G37" s="28" t="s">
        <v>48</v>
      </c>
      <c r="H37" s="28" t="s">
        <v>129</v>
      </c>
      <c r="I37" s="115">
        <v>990</v>
      </c>
      <c r="J37" s="27"/>
      <c r="K37" s="40"/>
      <c r="L37" s="29" t="s">
        <v>126</v>
      </c>
      <c r="M37" s="29" t="s">
        <v>126</v>
      </c>
      <c r="N37" s="29" t="s">
        <v>126</v>
      </c>
    </row>
    <row r="38" spans="2:14" x14ac:dyDescent="0.25">
      <c r="B38" s="27" t="s">
        <v>123</v>
      </c>
      <c r="C38" s="28">
        <v>46691</v>
      </c>
      <c r="D38" s="28" t="s">
        <v>1122</v>
      </c>
      <c r="E38" s="27" t="s">
        <v>32</v>
      </c>
      <c r="F38" s="6" t="s">
        <v>1095</v>
      </c>
      <c r="G38" s="28" t="s">
        <v>48</v>
      </c>
      <c r="H38" s="28" t="s">
        <v>129</v>
      </c>
      <c r="I38" s="115">
        <v>1150</v>
      </c>
      <c r="J38" s="27"/>
      <c r="K38" s="40"/>
      <c r="L38" s="29" t="s">
        <v>126</v>
      </c>
      <c r="M38" s="29" t="s">
        <v>126</v>
      </c>
      <c r="N38" s="29" t="s">
        <v>126</v>
      </c>
    </row>
    <row r="39" spans="2:14" x14ac:dyDescent="0.25">
      <c r="B39" s="27" t="s">
        <v>123</v>
      </c>
      <c r="C39" s="28">
        <v>587767</v>
      </c>
      <c r="D39" s="28" t="s">
        <v>1123</v>
      </c>
      <c r="E39" s="27" t="s">
        <v>32</v>
      </c>
      <c r="F39" s="6" t="s">
        <v>1095</v>
      </c>
      <c r="G39" s="28" t="s">
        <v>48</v>
      </c>
      <c r="H39" s="28" t="s">
        <v>129</v>
      </c>
      <c r="I39" s="115">
        <v>899</v>
      </c>
      <c r="J39" s="27"/>
      <c r="K39" s="40"/>
      <c r="L39" s="29" t="s">
        <v>126</v>
      </c>
      <c r="M39" s="29" t="s">
        <v>126</v>
      </c>
      <c r="N39" s="29" t="s">
        <v>126</v>
      </c>
    </row>
    <row r="40" spans="2:14" x14ac:dyDescent="0.25">
      <c r="B40" s="27" t="s">
        <v>123</v>
      </c>
      <c r="C40" s="28">
        <v>515630</v>
      </c>
      <c r="D40" s="28" t="s">
        <v>1124</v>
      </c>
      <c r="E40" s="27" t="s">
        <v>32</v>
      </c>
      <c r="F40" s="6" t="s">
        <v>1095</v>
      </c>
      <c r="G40" s="28" t="s">
        <v>48</v>
      </c>
      <c r="H40" s="28" t="s">
        <v>129</v>
      </c>
      <c r="I40" s="115">
        <v>899</v>
      </c>
      <c r="J40" s="27"/>
      <c r="K40" s="40"/>
      <c r="L40" s="29" t="s">
        <v>126</v>
      </c>
      <c r="M40" s="29" t="s">
        <v>126</v>
      </c>
      <c r="N40" s="29" t="s">
        <v>126</v>
      </c>
    </row>
    <row r="41" spans="2:14" x14ac:dyDescent="0.25">
      <c r="B41" s="27" t="s">
        <v>123</v>
      </c>
      <c r="C41" s="28">
        <v>542455</v>
      </c>
      <c r="D41" s="28" t="s">
        <v>1125</v>
      </c>
      <c r="E41" s="27" t="s">
        <v>32</v>
      </c>
      <c r="F41" s="6" t="s">
        <v>1095</v>
      </c>
      <c r="G41" s="28" t="s">
        <v>48</v>
      </c>
      <c r="H41" s="28" t="s">
        <v>129</v>
      </c>
      <c r="I41" s="115">
        <v>899</v>
      </c>
      <c r="J41" s="27"/>
      <c r="K41" s="40"/>
      <c r="L41" s="29" t="s">
        <v>126</v>
      </c>
      <c r="M41" s="29" t="s">
        <v>126</v>
      </c>
      <c r="N41" s="29" t="s">
        <v>126</v>
      </c>
    </row>
    <row r="42" spans="2:14" x14ac:dyDescent="0.25">
      <c r="B42" s="27" t="s">
        <v>123</v>
      </c>
      <c r="C42" s="28">
        <v>501237</v>
      </c>
      <c r="D42" s="28" t="s">
        <v>1126</v>
      </c>
      <c r="E42" s="27" t="s">
        <v>32</v>
      </c>
      <c r="F42" s="6" t="s">
        <v>1095</v>
      </c>
      <c r="G42" s="28" t="s">
        <v>48</v>
      </c>
      <c r="H42" s="28" t="s">
        <v>129</v>
      </c>
      <c r="I42" s="115">
        <v>139</v>
      </c>
      <c r="J42" s="27"/>
      <c r="K42" s="40"/>
      <c r="L42" s="29" t="s">
        <v>126</v>
      </c>
      <c r="M42" s="29" t="s">
        <v>126</v>
      </c>
      <c r="N42" s="29" t="s">
        <v>126</v>
      </c>
    </row>
    <row r="43" spans="2:14" x14ac:dyDescent="0.25">
      <c r="B43" s="27" t="s">
        <v>123</v>
      </c>
      <c r="C43" s="28">
        <v>553592</v>
      </c>
      <c r="D43" s="28" t="s">
        <v>1127</v>
      </c>
      <c r="E43" s="27" t="s">
        <v>32</v>
      </c>
      <c r="F43" s="6" t="s">
        <v>1095</v>
      </c>
      <c r="G43" s="28" t="s">
        <v>48</v>
      </c>
      <c r="H43" s="28" t="s">
        <v>129</v>
      </c>
      <c r="I43" s="115">
        <v>119</v>
      </c>
      <c r="J43" s="27"/>
      <c r="K43" s="40"/>
      <c r="L43" s="29" t="s">
        <v>126</v>
      </c>
      <c r="M43" s="29" t="s">
        <v>126</v>
      </c>
      <c r="N43" s="29" t="s">
        <v>126</v>
      </c>
    </row>
    <row r="44" spans="2:14" x14ac:dyDescent="0.25">
      <c r="B44" s="27" t="s">
        <v>123</v>
      </c>
      <c r="C44" s="28">
        <v>103690</v>
      </c>
      <c r="D44" s="28" t="s">
        <v>1128</v>
      </c>
      <c r="E44" s="27" t="s">
        <v>32</v>
      </c>
      <c r="F44" s="6" t="s">
        <v>1095</v>
      </c>
      <c r="G44" s="28" t="s">
        <v>48</v>
      </c>
      <c r="H44" s="28" t="s">
        <v>129</v>
      </c>
      <c r="I44" s="115">
        <v>189</v>
      </c>
      <c r="J44" s="27"/>
      <c r="K44" s="40"/>
      <c r="L44" s="29" t="s">
        <v>126</v>
      </c>
      <c r="M44" s="29" t="s">
        <v>126</v>
      </c>
      <c r="N44" s="29" t="s">
        <v>126</v>
      </c>
    </row>
    <row r="45" spans="2:14" x14ac:dyDescent="0.25">
      <c r="B45" s="27" t="s">
        <v>123</v>
      </c>
      <c r="C45" s="28">
        <v>515640</v>
      </c>
      <c r="D45" s="28" t="s">
        <v>1129</v>
      </c>
      <c r="E45" s="27" t="s">
        <v>32</v>
      </c>
      <c r="F45" s="6" t="s">
        <v>1095</v>
      </c>
      <c r="G45" s="28" t="s">
        <v>48</v>
      </c>
      <c r="H45" s="28" t="s">
        <v>129</v>
      </c>
      <c r="I45" s="115">
        <v>189</v>
      </c>
      <c r="J45" s="27"/>
      <c r="K45" s="40"/>
      <c r="L45" s="29" t="s">
        <v>126</v>
      </c>
      <c r="M45" s="29" t="s">
        <v>126</v>
      </c>
      <c r="N45" s="29" t="s">
        <v>126</v>
      </c>
    </row>
    <row r="46" spans="2:14" x14ac:dyDescent="0.25">
      <c r="B46" s="27" t="s">
        <v>123</v>
      </c>
      <c r="C46" s="28">
        <v>1392</v>
      </c>
      <c r="D46" s="28" t="s">
        <v>1130</v>
      </c>
      <c r="E46" s="27" t="s">
        <v>32</v>
      </c>
      <c r="F46" s="6" t="s">
        <v>1095</v>
      </c>
      <c r="G46" s="28" t="s">
        <v>48</v>
      </c>
      <c r="H46" s="28" t="s">
        <v>129</v>
      </c>
      <c r="I46" s="115">
        <v>199</v>
      </c>
      <c r="J46" s="27"/>
      <c r="K46" s="40"/>
      <c r="L46" s="29" t="s">
        <v>126</v>
      </c>
      <c r="M46" s="29" t="s">
        <v>126</v>
      </c>
      <c r="N46" s="29" t="s">
        <v>126</v>
      </c>
    </row>
    <row r="47" spans="2:14" x14ac:dyDescent="0.25">
      <c r="B47" s="27" t="s">
        <v>123</v>
      </c>
      <c r="C47" s="28">
        <v>1393</v>
      </c>
      <c r="D47" s="28" t="s">
        <v>1131</v>
      </c>
      <c r="E47" s="27" t="s">
        <v>32</v>
      </c>
      <c r="F47" s="6" t="s">
        <v>1095</v>
      </c>
      <c r="G47" s="28" t="s">
        <v>48</v>
      </c>
      <c r="H47" s="28" t="s">
        <v>129</v>
      </c>
      <c r="I47" s="115">
        <v>199</v>
      </c>
      <c r="J47" s="27"/>
      <c r="K47" s="40"/>
      <c r="L47" s="29" t="s">
        <v>126</v>
      </c>
      <c r="M47" s="29" t="s">
        <v>126</v>
      </c>
      <c r="N47" s="29" t="s">
        <v>126</v>
      </c>
    </row>
    <row r="48" spans="2:14" x14ac:dyDescent="0.25">
      <c r="B48" s="27" t="s">
        <v>123</v>
      </c>
      <c r="C48" s="28">
        <v>1656</v>
      </c>
      <c r="D48" s="28" t="s">
        <v>1132</v>
      </c>
      <c r="E48" s="27" t="s">
        <v>32</v>
      </c>
      <c r="F48" s="6" t="s">
        <v>1095</v>
      </c>
      <c r="G48" s="28" t="s">
        <v>48</v>
      </c>
      <c r="H48" s="28" t="s">
        <v>129</v>
      </c>
      <c r="I48" s="115">
        <v>740</v>
      </c>
      <c r="J48" s="27"/>
      <c r="K48" s="40"/>
      <c r="L48" s="29" t="s">
        <v>126</v>
      </c>
      <c r="M48" s="29" t="s">
        <v>126</v>
      </c>
      <c r="N48" s="29" t="s">
        <v>126</v>
      </c>
    </row>
    <row r="49" spans="2:14" x14ac:dyDescent="0.25">
      <c r="B49" s="27" t="s">
        <v>123</v>
      </c>
      <c r="C49" s="28">
        <v>79223</v>
      </c>
      <c r="D49" s="28" t="s">
        <v>1133</v>
      </c>
      <c r="E49" s="27" t="s">
        <v>32</v>
      </c>
      <c r="F49" s="6" t="s">
        <v>1095</v>
      </c>
      <c r="G49" s="28" t="s">
        <v>48</v>
      </c>
      <c r="H49" s="28" t="s">
        <v>129</v>
      </c>
      <c r="I49" s="115">
        <v>740</v>
      </c>
      <c r="J49" s="27"/>
      <c r="K49" s="40"/>
      <c r="L49" s="29" t="s">
        <v>126</v>
      </c>
      <c r="M49" s="29" t="s">
        <v>126</v>
      </c>
      <c r="N49" s="29" t="s">
        <v>126</v>
      </c>
    </row>
    <row r="50" spans="2:14" x14ac:dyDescent="0.25">
      <c r="B50" s="27" t="s">
        <v>123</v>
      </c>
      <c r="C50" s="28">
        <v>441151</v>
      </c>
      <c r="D50" s="28" t="s">
        <v>1134</v>
      </c>
      <c r="E50" s="27" t="s">
        <v>32</v>
      </c>
      <c r="F50" s="6" t="s">
        <v>1095</v>
      </c>
      <c r="G50" s="28" t="s">
        <v>48</v>
      </c>
      <c r="H50" s="28" t="s">
        <v>129</v>
      </c>
      <c r="I50" s="115">
        <v>695</v>
      </c>
      <c r="J50" s="27"/>
      <c r="K50" s="40"/>
      <c r="L50" s="29" t="s">
        <v>126</v>
      </c>
      <c r="M50" s="29" t="s">
        <v>126</v>
      </c>
      <c r="N50" s="29" t="s">
        <v>126</v>
      </c>
    </row>
    <row r="51" spans="2:14" x14ac:dyDescent="0.25">
      <c r="B51" s="27" t="s">
        <v>123</v>
      </c>
      <c r="C51" s="28">
        <v>3742</v>
      </c>
      <c r="D51" s="28" t="s">
        <v>1135</v>
      </c>
      <c r="E51" s="27" t="s">
        <v>32</v>
      </c>
      <c r="F51" s="6" t="s">
        <v>1095</v>
      </c>
      <c r="G51" s="28" t="s">
        <v>48</v>
      </c>
      <c r="H51" s="28" t="s">
        <v>129</v>
      </c>
      <c r="I51" s="115">
        <v>1899</v>
      </c>
      <c r="J51" s="27"/>
      <c r="K51" s="40"/>
      <c r="L51" s="29" t="s">
        <v>126</v>
      </c>
      <c r="M51" s="29" t="s">
        <v>126</v>
      </c>
      <c r="N51" s="29" t="s">
        <v>126</v>
      </c>
    </row>
    <row r="52" spans="2:14" x14ac:dyDescent="0.25">
      <c r="B52" s="27" t="s">
        <v>123</v>
      </c>
      <c r="C52" s="28">
        <v>85436</v>
      </c>
      <c r="D52" s="28" t="s">
        <v>1136</v>
      </c>
      <c r="E52" s="27" t="s">
        <v>32</v>
      </c>
      <c r="F52" s="6" t="s">
        <v>1095</v>
      </c>
      <c r="G52" s="28" t="s">
        <v>48</v>
      </c>
      <c r="H52" s="28" t="s">
        <v>129</v>
      </c>
      <c r="I52" s="115">
        <v>965</v>
      </c>
      <c r="J52" s="27"/>
      <c r="K52" s="40"/>
      <c r="L52" s="29" t="s">
        <v>126</v>
      </c>
      <c r="M52" s="29" t="s">
        <v>126</v>
      </c>
      <c r="N52" s="29" t="s">
        <v>126</v>
      </c>
    </row>
    <row r="53" spans="2:14" x14ac:dyDescent="0.25">
      <c r="B53" s="27" t="s">
        <v>123</v>
      </c>
      <c r="C53" s="28">
        <v>109602</v>
      </c>
      <c r="D53" s="28" t="s">
        <v>1137</v>
      </c>
      <c r="E53" s="27" t="s">
        <v>32</v>
      </c>
      <c r="F53" s="6" t="s">
        <v>1095</v>
      </c>
      <c r="G53" s="28" t="s">
        <v>48</v>
      </c>
      <c r="H53" s="28" t="s">
        <v>129</v>
      </c>
      <c r="I53" s="115">
        <v>1149</v>
      </c>
      <c r="J53" s="27"/>
      <c r="K53" s="40"/>
      <c r="L53" s="29" t="s">
        <v>126</v>
      </c>
      <c r="M53" s="29" t="s">
        <v>126</v>
      </c>
      <c r="N53" s="29" t="s">
        <v>126</v>
      </c>
    </row>
    <row r="54" spans="2:14" x14ac:dyDescent="0.25">
      <c r="B54" s="27" t="s">
        <v>123</v>
      </c>
      <c r="C54" s="28">
        <v>402994</v>
      </c>
      <c r="D54" s="28" t="s">
        <v>1138</v>
      </c>
      <c r="E54" s="27" t="s">
        <v>32</v>
      </c>
      <c r="F54" s="6" t="s">
        <v>1095</v>
      </c>
      <c r="G54" s="28" t="s">
        <v>48</v>
      </c>
      <c r="H54" s="28" t="s">
        <v>129</v>
      </c>
      <c r="I54" s="115">
        <v>1435</v>
      </c>
      <c r="J54" s="27"/>
      <c r="K54" s="40"/>
      <c r="L54" s="29" t="s">
        <v>126</v>
      </c>
      <c r="M54" s="29" t="s">
        <v>126</v>
      </c>
      <c r="N54" s="29" t="s">
        <v>126</v>
      </c>
    </row>
    <row r="55" spans="2:14" x14ac:dyDescent="0.25">
      <c r="B55" s="27" t="s">
        <v>123</v>
      </c>
      <c r="C55" s="28">
        <v>482395</v>
      </c>
      <c r="D55" s="28" t="s">
        <v>1139</v>
      </c>
      <c r="E55" s="27" t="s">
        <v>32</v>
      </c>
      <c r="F55" s="6" t="s">
        <v>1095</v>
      </c>
      <c r="G55" s="28" t="s">
        <v>48</v>
      </c>
      <c r="H55" s="28" t="s">
        <v>129</v>
      </c>
      <c r="I55" s="115">
        <v>845</v>
      </c>
      <c r="J55" s="27"/>
      <c r="K55" s="40"/>
      <c r="L55" s="29" t="s">
        <v>126</v>
      </c>
      <c r="M55" s="29" t="s">
        <v>126</v>
      </c>
      <c r="N55" s="29" t="s">
        <v>126</v>
      </c>
    </row>
    <row r="56" spans="2:14" x14ac:dyDescent="0.25">
      <c r="B56" s="27" t="s">
        <v>123</v>
      </c>
      <c r="C56" s="28">
        <v>119985</v>
      </c>
      <c r="D56" s="28" t="s">
        <v>1140</v>
      </c>
      <c r="E56" s="27" t="s">
        <v>32</v>
      </c>
      <c r="F56" s="6" t="s">
        <v>1095</v>
      </c>
      <c r="G56" s="28" t="s">
        <v>48</v>
      </c>
      <c r="H56" s="28" t="s">
        <v>129</v>
      </c>
      <c r="I56" s="115">
        <v>1554</v>
      </c>
      <c r="J56" s="27"/>
      <c r="K56" s="40"/>
      <c r="L56" s="29" t="s">
        <v>126</v>
      </c>
      <c r="M56" s="29" t="s">
        <v>126</v>
      </c>
      <c r="N56" s="29" t="s">
        <v>126</v>
      </c>
    </row>
    <row r="57" spans="2:14" x14ac:dyDescent="0.25">
      <c r="B57" s="27" t="s">
        <v>123</v>
      </c>
      <c r="C57" s="28">
        <v>555677</v>
      </c>
      <c r="D57" s="28" t="s">
        <v>1141</v>
      </c>
      <c r="E57" s="27" t="s">
        <v>32</v>
      </c>
      <c r="F57" s="6" t="s">
        <v>1095</v>
      </c>
      <c r="G57" s="28" t="s">
        <v>48</v>
      </c>
      <c r="H57" s="28" t="s">
        <v>129</v>
      </c>
      <c r="I57" s="115">
        <v>589</v>
      </c>
      <c r="J57" s="27"/>
      <c r="K57" s="40"/>
      <c r="L57" s="29" t="s">
        <v>126</v>
      </c>
      <c r="M57" s="29" t="s">
        <v>126</v>
      </c>
      <c r="N57" s="29" t="s">
        <v>126</v>
      </c>
    </row>
    <row r="58" spans="2:14" x14ac:dyDescent="0.25">
      <c r="B58" s="27" t="s">
        <v>123</v>
      </c>
      <c r="C58" s="28">
        <v>585347</v>
      </c>
      <c r="D58" s="28" t="s">
        <v>1142</v>
      </c>
      <c r="E58" s="27" t="s">
        <v>32</v>
      </c>
      <c r="F58" s="6" t="s">
        <v>1095</v>
      </c>
      <c r="G58" s="28" t="s">
        <v>48</v>
      </c>
      <c r="H58" s="28" t="s">
        <v>129</v>
      </c>
      <c r="I58" s="115">
        <v>839</v>
      </c>
      <c r="J58" s="27"/>
      <c r="K58" s="40"/>
      <c r="L58" s="29" t="s">
        <v>126</v>
      </c>
      <c r="M58" s="29" t="s">
        <v>126</v>
      </c>
      <c r="N58" s="29" t="s">
        <v>126</v>
      </c>
    </row>
    <row r="59" spans="2:14" x14ac:dyDescent="0.25">
      <c r="B59" s="27" t="s">
        <v>123</v>
      </c>
      <c r="C59" s="28">
        <v>424739</v>
      </c>
      <c r="D59" s="28" t="s">
        <v>1143</v>
      </c>
      <c r="E59" s="27" t="s">
        <v>32</v>
      </c>
      <c r="F59" s="6" t="s">
        <v>1095</v>
      </c>
      <c r="G59" s="28" t="s">
        <v>48</v>
      </c>
      <c r="H59" s="28" t="s">
        <v>129</v>
      </c>
      <c r="I59" s="115">
        <v>98</v>
      </c>
      <c r="J59" s="27"/>
      <c r="K59" s="40"/>
      <c r="L59" s="29" t="s">
        <v>126</v>
      </c>
      <c r="M59" s="29" t="s">
        <v>126</v>
      </c>
      <c r="N59" s="29" t="s">
        <v>126</v>
      </c>
    </row>
    <row r="60" spans="2:14" x14ac:dyDescent="0.25">
      <c r="B60" s="27" t="s">
        <v>123</v>
      </c>
      <c r="C60" s="28">
        <v>82411</v>
      </c>
      <c r="D60" s="28" t="s">
        <v>1144</v>
      </c>
      <c r="E60" s="27" t="s">
        <v>32</v>
      </c>
      <c r="F60" s="6" t="s">
        <v>1095</v>
      </c>
      <c r="G60" s="28" t="s">
        <v>48</v>
      </c>
      <c r="H60" s="28" t="s">
        <v>129</v>
      </c>
      <c r="I60" s="115">
        <v>185</v>
      </c>
      <c r="J60" s="27"/>
      <c r="K60" s="40"/>
      <c r="L60" s="29" t="s">
        <v>126</v>
      </c>
      <c r="M60" s="29" t="s">
        <v>126</v>
      </c>
      <c r="N60" s="29" t="s">
        <v>126</v>
      </c>
    </row>
    <row r="61" spans="2:14" x14ac:dyDescent="0.25">
      <c r="B61" s="27" t="s">
        <v>123</v>
      </c>
      <c r="C61" s="28">
        <v>581143</v>
      </c>
      <c r="D61" s="28" t="s">
        <v>1145</v>
      </c>
      <c r="E61" s="27" t="s">
        <v>32</v>
      </c>
      <c r="F61" s="6" t="s">
        <v>1095</v>
      </c>
      <c r="G61" s="28" t="s">
        <v>48</v>
      </c>
      <c r="H61" s="28" t="s">
        <v>129</v>
      </c>
      <c r="I61" s="115">
        <v>149</v>
      </c>
      <c r="J61" s="27"/>
      <c r="K61" s="40"/>
      <c r="L61" s="29" t="s">
        <v>126</v>
      </c>
      <c r="M61" s="29" t="s">
        <v>126</v>
      </c>
      <c r="N61" s="29" t="s">
        <v>126</v>
      </c>
    </row>
    <row r="62" spans="2:14" x14ac:dyDescent="0.25">
      <c r="B62" s="27" t="s">
        <v>123</v>
      </c>
      <c r="C62" s="28">
        <v>41287</v>
      </c>
      <c r="D62" s="28" t="s">
        <v>1146</v>
      </c>
      <c r="E62" s="27" t="s">
        <v>32</v>
      </c>
      <c r="F62" s="6" t="s">
        <v>1095</v>
      </c>
      <c r="G62" s="28" t="s">
        <v>48</v>
      </c>
      <c r="H62" s="28" t="s">
        <v>129</v>
      </c>
      <c r="I62" s="115">
        <v>645</v>
      </c>
      <c r="J62" s="27"/>
      <c r="K62" s="40"/>
      <c r="L62" s="29" t="s">
        <v>126</v>
      </c>
      <c r="M62" s="29" t="s">
        <v>126</v>
      </c>
      <c r="N62" s="29" t="s">
        <v>126</v>
      </c>
    </row>
    <row r="63" spans="2:14" x14ac:dyDescent="0.25">
      <c r="B63" s="27" t="s">
        <v>123</v>
      </c>
      <c r="C63" s="28">
        <v>285381</v>
      </c>
      <c r="D63" s="28" t="s">
        <v>1147</v>
      </c>
      <c r="E63" s="27" t="s">
        <v>32</v>
      </c>
      <c r="F63" s="6" t="s">
        <v>1095</v>
      </c>
      <c r="G63" s="28" t="s">
        <v>48</v>
      </c>
      <c r="H63" s="28" t="s">
        <v>129</v>
      </c>
      <c r="I63" s="115">
        <v>105</v>
      </c>
      <c r="J63" s="27"/>
      <c r="K63" s="40"/>
      <c r="L63" s="29" t="s">
        <v>126</v>
      </c>
      <c r="M63" s="29" t="s">
        <v>126</v>
      </c>
      <c r="N63" s="29" t="s">
        <v>126</v>
      </c>
    </row>
    <row r="64" spans="2:14" x14ac:dyDescent="0.25">
      <c r="B64" s="27" t="s">
        <v>123</v>
      </c>
      <c r="C64" s="28">
        <v>198138</v>
      </c>
      <c r="D64" s="28" t="s">
        <v>1148</v>
      </c>
      <c r="E64" s="27" t="s">
        <v>32</v>
      </c>
      <c r="F64" s="6" t="s">
        <v>1095</v>
      </c>
      <c r="G64" s="28" t="s">
        <v>48</v>
      </c>
      <c r="H64" s="28" t="s">
        <v>129</v>
      </c>
      <c r="I64" s="115">
        <v>89</v>
      </c>
      <c r="J64" s="27"/>
      <c r="K64" s="40"/>
      <c r="L64" s="29" t="s">
        <v>126</v>
      </c>
      <c r="M64" s="29" t="s">
        <v>126</v>
      </c>
      <c r="N64" s="29" t="s">
        <v>126</v>
      </c>
    </row>
    <row r="65" spans="2:14" x14ac:dyDescent="0.25">
      <c r="B65" s="27" t="s">
        <v>123</v>
      </c>
      <c r="C65" s="28">
        <v>447595</v>
      </c>
      <c r="D65" s="28" t="s">
        <v>1149</v>
      </c>
      <c r="E65" s="27" t="s">
        <v>32</v>
      </c>
      <c r="F65" s="6" t="s">
        <v>1095</v>
      </c>
      <c r="G65" s="28" t="s">
        <v>48</v>
      </c>
      <c r="H65" s="28" t="s">
        <v>129</v>
      </c>
      <c r="I65" s="115">
        <v>159</v>
      </c>
      <c r="J65" s="27"/>
      <c r="K65" s="40"/>
      <c r="L65" s="29" t="s">
        <v>126</v>
      </c>
      <c r="M65" s="29" t="s">
        <v>126</v>
      </c>
      <c r="N65" s="29" t="s">
        <v>126</v>
      </c>
    </row>
    <row r="66" spans="2:14" x14ac:dyDescent="0.25">
      <c r="B66" s="27" t="s">
        <v>123</v>
      </c>
      <c r="C66" s="28">
        <v>216538</v>
      </c>
      <c r="D66" s="28" t="s">
        <v>1150</v>
      </c>
      <c r="E66" s="27" t="s">
        <v>32</v>
      </c>
      <c r="F66" s="6" t="s">
        <v>1095</v>
      </c>
      <c r="G66" s="28" t="s">
        <v>48</v>
      </c>
      <c r="H66" s="28" t="s">
        <v>129</v>
      </c>
      <c r="I66" s="115">
        <v>119</v>
      </c>
      <c r="J66" s="27"/>
      <c r="K66" s="40"/>
      <c r="L66" s="29" t="s">
        <v>126</v>
      </c>
      <c r="M66" s="29" t="s">
        <v>126</v>
      </c>
      <c r="N66" s="29" t="s">
        <v>126</v>
      </c>
    </row>
    <row r="67" spans="2:14" x14ac:dyDescent="0.25">
      <c r="B67" s="27" t="s">
        <v>123</v>
      </c>
      <c r="C67" s="28">
        <v>203983</v>
      </c>
      <c r="D67" s="28" t="s">
        <v>1151</v>
      </c>
      <c r="E67" s="27" t="s">
        <v>32</v>
      </c>
      <c r="F67" s="6" t="s">
        <v>1095</v>
      </c>
      <c r="G67" s="28" t="s">
        <v>48</v>
      </c>
      <c r="H67" s="28" t="s">
        <v>129</v>
      </c>
      <c r="I67" s="115">
        <v>95</v>
      </c>
      <c r="J67" s="27"/>
      <c r="K67" s="40"/>
      <c r="L67" s="29" t="s">
        <v>126</v>
      </c>
      <c r="M67" s="29" t="s">
        <v>126</v>
      </c>
      <c r="N67" s="29" t="s">
        <v>126</v>
      </c>
    </row>
    <row r="68" spans="2:14" x14ac:dyDescent="0.25">
      <c r="B68" s="27" t="s">
        <v>123</v>
      </c>
      <c r="C68" s="28">
        <v>309000</v>
      </c>
      <c r="D68" s="28" t="s">
        <v>1152</v>
      </c>
      <c r="E68" s="27" t="s">
        <v>32</v>
      </c>
      <c r="F68" s="6" t="s">
        <v>1095</v>
      </c>
      <c r="G68" s="28" t="s">
        <v>48</v>
      </c>
      <c r="H68" s="28" t="s">
        <v>129</v>
      </c>
      <c r="I68" s="115">
        <v>95</v>
      </c>
      <c r="J68" s="27"/>
      <c r="K68" s="40"/>
      <c r="L68" s="29" t="s">
        <v>126</v>
      </c>
      <c r="M68" s="29" t="s">
        <v>126</v>
      </c>
      <c r="N68" s="29" t="s">
        <v>126</v>
      </c>
    </row>
    <row r="69" spans="2:14" x14ac:dyDescent="0.25">
      <c r="B69" s="27" t="s">
        <v>123</v>
      </c>
      <c r="C69" s="28">
        <v>507101</v>
      </c>
      <c r="D69" s="28" t="s">
        <v>1153</v>
      </c>
      <c r="E69" s="27" t="s">
        <v>32</v>
      </c>
      <c r="F69" s="6" t="s">
        <v>1095</v>
      </c>
      <c r="G69" s="28" t="s">
        <v>48</v>
      </c>
      <c r="H69" s="28" t="s">
        <v>129</v>
      </c>
      <c r="I69" s="115">
        <v>95</v>
      </c>
      <c r="J69" s="27"/>
      <c r="K69" s="40"/>
      <c r="L69" s="29" t="s">
        <v>126</v>
      </c>
      <c r="M69" s="29" t="s">
        <v>126</v>
      </c>
      <c r="N69" s="29" t="s">
        <v>126</v>
      </c>
    </row>
    <row r="70" spans="2:14" x14ac:dyDescent="0.25">
      <c r="B70" s="27" t="s">
        <v>123</v>
      </c>
      <c r="C70" s="28">
        <v>415410</v>
      </c>
      <c r="D70" s="28" t="s">
        <v>1154</v>
      </c>
      <c r="E70" s="27" t="s">
        <v>32</v>
      </c>
      <c r="F70" s="6" t="s">
        <v>1095</v>
      </c>
      <c r="G70" s="28" t="s">
        <v>48</v>
      </c>
      <c r="H70" s="28" t="s">
        <v>129</v>
      </c>
      <c r="I70" s="115">
        <v>95</v>
      </c>
      <c r="J70" s="27"/>
      <c r="K70" s="40"/>
      <c r="L70" s="29" t="s">
        <v>126</v>
      </c>
      <c r="M70" s="29" t="s">
        <v>126</v>
      </c>
      <c r="N70" s="29" t="s">
        <v>126</v>
      </c>
    </row>
    <row r="71" spans="2:14" x14ac:dyDescent="0.25">
      <c r="B71" s="27" t="s">
        <v>123</v>
      </c>
      <c r="C71" s="28">
        <v>349159</v>
      </c>
      <c r="D71" s="28" t="s">
        <v>1155</v>
      </c>
      <c r="E71" s="27" t="s">
        <v>32</v>
      </c>
      <c r="F71" s="6" t="s">
        <v>1095</v>
      </c>
      <c r="G71" s="28" t="s">
        <v>48</v>
      </c>
      <c r="H71" s="28" t="s">
        <v>129</v>
      </c>
      <c r="I71" s="115">
        <v>167</v>
      </c>
      <c r="J71" s="27"/>
      <c r="K71" s="40"/>
      <c r="L71" s="29" t="s">
        <v>126</v>
      </c>
      <c r="M71" s="29" t="s">
        <v>126</v>
      </c>
      <c r="N71" s="29" t="s">
        <v>126</v>
      </c>
    </row>
    <row r="72" spans="2:14" x14ac:dyDescent="0.25">
      <c r="B72" s="27" t="s">
        <v>123</v>
      </c>
      <c r="C72" s="28">
        <v>505728</v>
      </c>
      <c r="D72" s="28" t="s">
        <v>1156</v>
      </c>
      <c r="E72" s="27" t="s">
        <v>32</v>
      </c>
      <c r="F72" s="6" t="s">
        <v>1095</v>
      </c>
      <c r="G72" s="28" t="s">
        <v>48</v>
      </c>
      <c r="H72" s="28" t="s">
        <v>129</v>
      </c>
      <c r="I72" s="115">
        <v>529</v>
      </c>
      <c r="J72" s="27"/>
      <c r="K72" s="40"/>
      <c r="L72" s="29" t="s">
        <v>126</v>
      </c>
      <c r="M72" s="29" t="s">
        <v>126</v>
      </c>
      <c r="N72" s="29" t="s">
        <v>126</v>
      </c>
    </row>
    <row r="73" spans="2:14" x14ac:dyDescent="0.25">
      <c r="B73" s="27" t="s">
        <v>123</v>
      </c>
      <c r="C73" s="28">
        <v>399638</v>
      </c>
      <c r="D73" s="28" t="s">
        <v>1157</v>
      </c>
      <c r="E73" s="27" t="s">
        <v>32</v>
      </c>
      <c r="F73" s="6" t="s">
        <v>1095</v>
      </c>
      <c r="G73" s="28" t="s">
        <v>48</v>
      </c>
      <c r="H73" s="28" t="s">
        <v>129</v>
      </c>
      <c r="I73" s="115">
        <v>477</v>
      </c>
      <c r="J73" s="27"/>
      <c r="K73" s="40"/>
      <c r="L73" s="29" t="s">
        <v>126</v>
      </c>
      <c r="M73" s="29" t="s">
        <v>126</v>
      </c>
      <c r="N73" s="29" t="s">
        <v>126</v>
      </c>
    </row>
    <row r="74" spans="2:14" x14ac:dyDescent="0.25">
      <c r="B74" s="27" t="s">
        <v>123</v>
      </c>
      <c r="C74" s="28">
        <v>399637</v>
      </c>
      <c r="D74" s="28" t="s">
        <v>1158</v>
      </c>
      <c r="E74" s="27" t="s">
        <v>32</v>
      </c>
      <c r="F74" s="6" t="s">
        <v>1095</v>
      </c>
      <c r="G74" s="28" t="s">
        <v>48</v>
      </c>
      <c r="H74" s="28" t="s">
        <v>129</v>
      </c>
      <c r="I74" s="115">
        <v>530.1</v>
      </c>
      <c r="J74" s="27"/>
      <c r="K74" s="40"/>
      <c r="L74" s="29" t="s">
        <v>126</v>
      </c>
      <c r="M74" s="29" t="s">
        <v>126</v>
      </c>
      <c r="N74" s="29" t="s">
        <v>126</v>
      </c>
    </row>
    <row r="75" spans="2:14" x14ac:dyDescent="0.25">
      <c r="B75" s="27" t="s">
        <v>123</v>
      </c>
      <c r="C75" s="28">
        <v>491845</v>
      </c>
      <c r="D75" s="28" t="s">
        <v>1159</v>
      </c>
      <c r="E75" s="27" t="s">
        <v>32</v>
      </c>
      <c r="F75" s="6" t="s">
        <v>1095</v>
      </c>
      <c r="G75" s="28" t="s">
        <v>48</v>
      </c>
      <c r="H75" s="28" t="s">
        <v>129</v>
      </c>
      <c r="I75" s="115">
        <v>810</v>
      </c>
      <c r="J75" s="27"/>
      <c r="K75" s="40"/>
      <c r="L75" s="29" t="s">
        <v>126</v>
      </c>
      <c r="M75" s="29" t="s">
        <v>126</v>
      </c>
      <c r="N75" s="29" t="s">
        <v>126</v>
      </c>
    </row>
    <row r="76" spans="2:14" x14ac:dyDescent="0.25">
      <c r="B76" s="27" t="s">
        <v>123</v>
      </c>
      <c r="C76" s="28">
        <v>491844</v>
      </c>
      <c r="D76" s="28" t="s">
        <v>1160</v>
      </c>
      <c r="E76" s="27" t="s">
        <v>32</v>
      </c>
      <c r="F76" s="6" t="s">
        <v>1095</v>
      </c>
      <c r="G76" s="28" t="s">
        <v>48</v>
      </c>
      <c r="H76" s="28" t="s">
        <v>129</v>
      </c>
      <c r="I76" s="115">
        <v>810</v>
      </c>
      <c r="J76" s="27"/>
      <c r="K76" s="40"/>
      <c r="L76" s="29" t="s">
        <v>126</v>
      </c>
      <c r="M76" s="29" t="s">
        <v>126</v>
      </c>
      <c r="N76" s="29" t="s">
        <v>126</v>
      </c>
    </row>
    <row r="77" spans="2:14" x14ac:dyDescent="0.25">
      <c r="B77" s="27" t="s">
        <v>123</v>
      </c>
      <c r="C77" s="28">
        <v>424716</v>
      </c>
      <c r="D77" s="28" t="s">
        <v>1161</v>
      </c>
      <c r="E77" s="27" t="s">
        <v>32</v>
      </c>
      <c r="F77" s="6" t="s">
        <v>1095</v>
      </c>
      <c r="G77" s="28" t="s">
        <v>48</v>
      </c>
      <c r="H77" s="28" t="s">
        <v>129</v>
      </c>
      <c r="I77" s="115">
        <v>1354</v>
      </c>
      <c r="J77" s="27"/>
      <c r="K77" s="40"/>
      <c r="L77" s="29" t="s">
        <v>126</v>
      </c>
      <c r="M77" s="29" t="s">
        <v>126</v>
      </c>
      <c r="N77" s="29" t="s">
        <v>126</v>
      </c>
    </row>
    <row r="78" spans="2:14" x14ac:dyDescent="0.25">
      <c r="B78" s="27" t="s">
        <v>123</v>
      </c>
      <c r="C78" s="28">
        <v>424719</v>
      </c>
      <c r="D78" s="28" t="s">
        <v>1162</v>
      </c>
      <c r="E78" s="27" t="s">
        <v>32</v>
      </c>
      <c r="F78" s="6" t="s">
        <v>1095</v>
      </c>
      <c r="G78" s="28" t="s">
        <v>48</v>
      </c>
      <c r="H78" s="28" t="s">
        <v>129</v>
      </c>
      <c r="I78" s="115">
        <v>1354</v>
      </c>
      <c r="J78" s="27"/>
      <c r="K78" s="40"/>
      <c r="L78" s="29" t="s">
        <v>126</v>
      </c>
      <c r="M78" s="29" t="s">
        <v>126</v>
      </c>
      <c r="N78" s="29" t="s">
        <v>126</v>
      </c>
    </row>
    <row r="79" spans="2:14" x14ac:dyDescent="0.25">
      <c r="B79" s="27" t="s">
        <v>123</v>
      </c>
      <c r="C79" s="28">
        <v>594996</v>
      </c>
      <c r="D79" s="28" t="s">
        <v>1163</v>
      </c>
      <c r="E79" s="27" t="s">
        <v>32</v>
      </c>
      <c r="F79" s="6" t="s">
        <v>1095</v>
      </c>
      <c r="G79" s="28" t="s">
        <v>48</v>
      </c>
      <c r="H79" s="28" t="s">
        <v>129</v>
      </c>
      <c r="I79" s="115">
        <v>1339</v>
      </c>
      <c r="J79" s="27"/>
      <c r="K79" s="40"/>
      <c r="L79" s="29" t="s">
        <v>126</v>
      </c>
      <c r="M79" s="29" t="s">
        <v>126</v>
      </c>
      <c r="N79" s="29" t="s">
        <v>126</v>
      </c>
    </row>
    <row r="80" spans="2:14" x14ac:dyDescent="0.25">
      <c r="B80" s="27" t="s">
        <v>123</v>
      </c>
      <c r="C80" s="28">
        <v>594997</v>
      </c>
      <c r="D80" s="28" t="s">
        <v>1164</v>
      </c>
      <c r="E80" s="27" t="s">
        <v>32</v>
      </c>
      <c r="F80" s="6" t="s">
        <v>1095</v>
      </c>
      <c r="G80" s="28" t="s">
        <v>48</v>
      </c>
      <c r="H80" s="28" t="s">
        <v>129</v>
      </c>
      <c r="I80" s="115">
        <v>1339</v>
      </c>
      <c r="J80" s="27"/>
      <c r="K80" s="40"/>
      <c r="L80" s="29" t="s">
        <v>126</v>
      </c>
      <c r="M80" s="29" t="s">
        <v>126</v>
      </c>
      <c r="N80" s="29" t="s">
        <v>126</v>
      </c>
    </row>
    <row r="81" spans="2:14" x14ac:dyDescent="0.25">
      <c r="B81" s="27" t="s">
        <v>123</v>
      </c>
      <c r="C81" s="28">
        <v>594998</v>
      </c>
      <c r="D81" s="28" t="s">
        <v>1165</v>
      </c>
      <c r="E81" s="27" t="s">
        <v>32</v>
      </c>
      <c r="F81" s="6" t="s">
        <v>1095</v>
      </c>
      <c r="G81" s="28" t="s">
        <v>48</v>
      </c>
      <c r="H81" s="28" t="s">
        <v>129</v>
      </c>
      <c r="I81" s="115">
        <v>1339</v>
      </c>
      <c r="J81" s="27"/>
      <c r="K81" s="40"/>
      <c r="L81" s="29" t="s">
        <v>126</v>
      </c>
      <c r="M81" s="29" t="s">
        <v>126</v>
      </c>
      <c r="N81" s="29" t="s">
        <v>126</v>
      </c>
    </row>
    <row r="82" spans="2:14" x14ac:dyDescent="0.25">
      <c r="B82" s="27" t="s">
        <v>123</v>
      </c>
      <c r="C82" s="28">
        <v>369250</v>
      </c>
      <c r="D82" s="28" t="s">
        <v>1166</v>
      </c>
      <c r="E82" s="27" t="s">
        <v>32</v>
      </c>
      <c r="F82" s="6" t="s">
        <v>1095</v>
      </c>
      <c r="G82" s="28" t="s">
        <v>48</v>
      </c>
      <c r="H82" s="28" t="s">
        <v>129</v>
      </c>
      <c r="I82" s="115">
        <v>307</v>
      </c>
      <c r="J82" s="27"/>
      <c r="K82" s="40"/>
      <c r="L82" s="29" t="s">
        <v>126</v>
      </c>
      <c r="M82" s="29" t="s">
        <v>126</v>
      </c>
      <c r="N82" s="29" t="s">
        <v>126</v>
      </c>
    </row>
    <row r="83" spans="2:14" x14ac:dyDescent="0.25">
      <c r="B83" s="27" t="s">
        <v>123</v>
      </c>
      <c r="C83" s="28">
        <v>369251</v>
      </c>
      <c r="D83" s="28" t="s">
        <v>1167</v>
      </c>
      <c r="E83" s="27" t="s">
        <v>32</v>
      </c>
      <c r="F83" s="6" t="s">
        <v>1095</v>
      </c>
      <c r="G83" s="28" t="s">
        <v>48</v>
      </c>
      <c r="H83" s="28" t="s">
        <v>129</v>
      </c>
      <c r="I83" s="115">
        <v>307</v>
      </c>
      <c r="J83" s="27"/>
      <c r="K83" s="40"/>
      <c r="L83" s="29" t="s">
        <v>126</v>
      </c>
      <c r="M83" s="29" t="s">
        <v>126</v>
      </c>
      <c r="N83" s="29" t="s">
        <v>126</v>
      </c>
    </row>
    <row r="84" spans="2:14" x14ac:dyDescent="0.25">
      <c r="B84" s="27" t="s">
        <v>123</v>
      </c>
      <c r="C84" s="28">
        <v>469902</v>
      </c>
      <c r="D84" s="28" t="s">
        <v>1168</v>
      </c>
      <c r="E84" s="27" t="s">
        <v>32</v>
      </c>
      <c r="F84" s="6" t="s">
        <v>1095</v>
      </c>
      <c r="G84" s="28" t="s">
        <v>48</v>
      </c>
      <c r="H84" s="28" t="s">
        <v>129</v>
      </c>
      <c r="I84" s="115">
        <v>307</v>
      </c>
      <c r="J84" s="27"/>
      <c r="K84" s="40"/>
      <c r="L84" s="29" t="s">
        <v>126</v>
      </c>
      <c r="M84" s="29" t="s">
        <v>126</v>
      </c>
      <c r="N84" s="29" t="s">
        <v>126</v>
      </c>
    </row>
    <row r="85" spans="2:14" x14ac:dyDescent="0.25">
      <c r="B85" s="27" t="s">
        <v>123</v>
      </c>
      <c r="C85" s="28">
        <v>493548</v>
      </c>
      <c r="D85" s="28" t="s">
        <v>1169</v>
      </c>
      <c r="E85" s="27" t="s">
        <v>32</v>
      </c>
      <c r="F85" s="6" t="s">
        <v>1095</v>
      </c>
      <c r="G85" s="28" t="s">
        <v>48</v>
      </c>
      <c r="H85" s="28" t="s">
        <v>129</v>
      </c>
      <c r="I85" s="115">
        <v>307</v>
      </c>
      <c r="J85" s="27"/>
      <c r="K85" s="40"/>
      <c r="L85" s="29" t="s">
        <v>126</v>
      </c>
      <c r="M85" s="29" t="s">
        <v>126</v>
      </c>
      <c r="N85" s="29" t="s">
        <v>126</v>
      </c>
    </row>
    <row r="86" spans="2:14" x14ac:dyDescent="0.25">
      <c r="B86" s="27" t="s">
        <v>123</v>
      </c>
      <c r="C86" s="28">
        <v>502379</v>
      </c>
      <c r="D86" s="28" t="s">
        <v>1170</v>
      </c>
      <c r="E86" s="27" t="s">
        <v>32</v>
      </c>
      <c r="F86" s="6" t="s">
        <v>1095</v>
      </c>
      <c r="G86" s="28" t="s">
        <v>48</v>
      </c>
      <c r="H86" s="28" t="s">
        <v>129</v>
      </c>
      <c r="I86" s="115">
        <v>307</v>
      </c>
      <c r="J86" s="27"/>
      <c r="K86" s="40"/>
      <c r="L86" s="29" t="s">
        <v>126</v>
      </c>
      <c r="M86" s="29" t="s">
        <v>126</v>
      </c>
      <c r="N86" s="29" t="s">
        <v>126</v>
      </c>
    </row>
    <row r="87" spans="2:14" x14ac:dyDescent="0.25">
      <c r="B87" s="27" t="s">
        <v>123</v>
      </c>
      <c r="C87" s="28">
        <v>502381</v>
      </c>
      <c r="D87" s="28" t="s">
        <v>1171</v>
      </c>
      <c r="E87" s="27" t="s">
        <v>32</v>
      </c>
      <c r="F87" s="6" t="s">
        <v>1095</v>
      </c>
      <c r="G87" s="28" t="s">
        <v>48</v>
      </c>
      <c r="H87" s="28" t="s">
        <v>129</v>
      </c>
      <c r="I87" s="115">
        <v>385</v>
      </c>
      <c r="J87" s="27"/>
      <c r="K87" s="40"/>
      <c r="L87" s="29" t="s">
        <v>126</v>
      </c>
      <c r="M87" s="29" t="s">
        <v>126</v>
      </c>
      <c r="N87" s="29" t="s">
        <v>126</v>
      </c>
    </row>
    <row r="88" spans="2:14" x14ac:dyDescent="0.25">
      <c r="B88" s="27" t="s">
        <v>123</v>
      </c>
      <c r="C88" s="28">
        <v>546675</v>
      </c>
      <c r="D88" s="28" t="s">
        <v>1172</v>
      </c>
      <c r="E88" s="27" t="s">
        <v>32</v>
      </c>
      <c r="F88" s="6" t="s">
        <v>1095</v>
      </c>
      <c r="G88" s="28" t="s">
        <v>48</v>
      </c>
      <c r="H88" s="28" t="s">
        <v>129</v>
      </c>
      <c r="I88" s="115">
        <v>307</v>
      </c>
      <c r="J88" s="27"/>
      <c r="K88" s="40"/>
      <c r="L88" s="29" t="s">
        <v>126</v>
      </c>
      <c r="M88" s="29" t="s">
        <v>126</v>
      </c>
      <c r="N88" s="29" t="s">
        <v>126</v>
      </c>
    </row>
    <row r="89" spans="2:14" x14ac:dyDescent="0.25">
      <c r="B89" s="27" t="s">
        <v>123</v>
      </c>
      <c r="C89" s="28">
        <v>568629</v>
      </c>
      <c r="D89" s="28" t="s">
        <v>1173</v>
      </c>
      <c r="E89" s="27" t="s">
        <v>32</v>
      </c>
      <c r="F89" s="6" t="s">
        <v>1095</v>
      </c>
      <c r="G89" s="28" t="s">
        <v>48</v>
      </c>
      <c r="H89" s="28" t="s">
        <v>129</v>
      </c>
      <c r="I89" s="115">
        <v>349</v>
      </c>
      <c r="J89" s="27"/>
      <c r="K89" s="40"/>
      <c r="L89" s="29" t="s">
        <v>126</v>
      </c>
      <c r="M89" s="29" t="s">
        <v>126</v>
      </c>
      <c r="N89" s="29" t="s">
        <v>126</v>
      </c>
    </row>
    <row r="90" spans="2:14" x14ac:dyDescent="0.25">
      <c r="B90" s="27" t="s">
        <v>123</v>
      </c>
      <c r="C90" s="28">
        <v>10523</v>
      </c>
      <c r="D90" s="28" t="s">
        <v>1174</v>
      </c>
      <c r="E90" s="27" t="s">
        <v>32</v>
      </c>
      <c r="F90" s="6" t="s">
        <v>1095</v>
      </c>
      <c r="G90" s="28" t="s">
        <v>48</v>
      </c>
      <c r="H90" s="28" t="s">
        <v>129</v>
      </c>
      <c r="I90" s="115">
        <v>1038</v>
      </c>
      <c r="J90" s="27"/>
      <c r="K90" s="40"/>
      <c r="L90" s="29" t="s">
        <v>126</v>
      </c>
      <c r="M90" s="29" t="s">
        <v>126</v>
      </c>
      <c r="N90" s="29" t="s">
        <v>126</v>
      </c>
    </row>
    <row r="91" spans="2:14" x14ac:dyDescent="0.25">
      <c r="B91" s="27" t="s">
        <v>123</v>
      </c>
      <c r="C91" s="28">
        <v>10524</v>
      </c>
      <c r="D91" s="28" t="s">
        <v>1175</v>
      </c>
      <c r="E91" s="27" t="s">
        <v>32</v>
      </c>
      <c r="F91" s="6" t="s">
        <v>1095</v>
      </c>
      <c r="G91" s="28" t="s">
        <v>48</v>
      </c>
      <c r="H91" s="28" t="s">
        <v>129</v>
      </c>
      <c r="I91" s="115">
        <v>944</v>
      </c>
      <c r="J91" s="27"/>
      <c r="K91" s="40"/>
      <c r="L91" s="29" t="s">
        <v>126</v>
      </c>
      <c r="M91" s="29" t="s">
        <v>126</v>
      </c>
      <c r="N91" s="29" t="s">
        <v>126</v>
      </c>
    </row>
    <row r="92" spans="2:14" x14ac:dyDescent="0.25">
      <c r="B92" s="27" t="s">
        <v>123</v>
      </c>
      <c r="C92" s="28">
        <v>57951</v>
      </c>
      <c r="D92" s="28" t="s">
        <v>1176</v>
      </c>
      <c r="E92" s="27" t="s">
        <v>32</v>
      </c>
      <c r="F92" s="6" t="s">
        <v>1095</v>
      </c>
      <c r="G92" s="28" t="s">
        <v>48</v>
      </c>
      <c r="H92" s="28" t="s">
        <v>129</v>
      </c>
      <c r="I92" s="115">
        <v>95</v>
      </c>
      <c r="J92" s="27"/>
      <c r="K92" s="40"/>
      <c r="L92" s="29" t="s">
        <v>126</v>
      </c>
      <c r="M92" s="29" t="s">
        <v>126</v>
      </c>
      <c r="N92" s="29" t="s">
        <v>126</v>
      </c>
    </row>
    <row r="93" spans="2:14" x14ac:dyDescent="0.25">
      <c r="B93" s="27" t="s">
        <v>123</v>
      </c>
      <c r="C93" s="28">
        <v>2494</v>
      </c>
      <c r="D93" s="28" t="s">
        <v>1177</v>
      </c>
      <c r="E93" s="27" t="s">
        <v>32</v>
      </c>
      <c r="F93" s="6" t="s">
        <v>1095</v>
      </c>
      <c r="G93" s="28" t="s">
        <v>48</v>
      </c>
      <c r="H93" s="28" t="s">
        <v>129</v>
      </c>
      <c r="I93" s="115">
        <v>95</v>
      </c>
      <c r="J93" s="27"/>
      <c r="K93" s="40"/>
      <c r="L93" s="29" t="s">
        <v>126</v>
      </c>
      <c r="M93" s="29" t="s">
        <v>126</v>
      </c>
      <c r="N93" s="29" t="s">
        <v>126</v>
      </c>
    </row>
    <row r="94" spans="2:14" x14ac:dyDescent="0.25">
      <c r="B94" s="27" t="s">
        <v>123</v>
      </c>
      <c r="C94" s="28">
        <v>17437</v>
      </c>
      <c r="D94" s="28" t="s">
        <v>1178</v>
      </c>
      <c r="E94" s="27" t="s">
        <v>32</v>
      </c>
      <c r="F94" s="6" t="s">
        <v>1095</v>
      </c>
      <c r="G94" s="28" t="s">
        <v>48</v>
      </c>
      <c r="H94" s="28" t="s">
        <v>129</v>
      </c>
      <c r="I94" s="115">
        <v>95</v>
      </c>
      <c r="J94" s="27"/>
      <c r="K94" s="40"/>
      <c r="L94" s="29" t="s">
        <v>126</v>
      </c>
      <c r="M94" s="29" t="s">
        <v>126</v>
      </c>
      <c r="N94" s="29" t="s">
        <v>126</v>
      </c>
    </row>
    <row r="95" spans="2:14" x14ac:dyDescent="0.25">
      <c r="B95" s="27" t="s">
        <v>123</v>
      </c>
      <c r="C95" s="28">
        <v>17426</v>
      </c>
      <c r="D95" s="28" t="s">
        <v>1179</v>
      </c>
      <c r="E95" s="27" t="s">
        <v>32</v>
      </c>
      <c r="F95" s="6" t="s">
        <v>1095</v>
      </c>
      <c r="G95" s="28" t="s">
        <v>48</v>
      </c>
      <c r="H95" s="28" t="s">
        <v>129</v>
      </c>
      <c r="I95" s="116">
        <v>95</v>
      </c>
      <c r="J95" s="27"/>
      <c r="K95" s="40"/>
      <c r="L95" s="29" t="s">
        <v>126</v>
      </c>
      <c r="M95" s="29" t="s">
        <v>126</v>
      </c>
      <c r="N95" s="29" t="s">
        <v>126</v>
      </c>
    </row>
    <row r="96" spans="2:14" x14ac:dyDescent="0.25">
      <c r="B96" s="27" t="s">
        <v>123</v>
      </c>
      <c r="C96" s="28">
        <v>195295</v>
      </c>
      <c r="D96" s="28" t="s">
        <v>1180</v>
      </c>
      <c r="E96" s="27" t="s">
        <v>32</v>
      </c>
      <c r="F96" s="6" t="s">
        <v>1095</v>
      </c>
      <c r="G96" s="28" t="s">
        <v>48</v>
      </c>
      <c r="H96" s="28" t="s">
        <v>129</v>
      </c>
      <c r="I96" s="116">
        <v>95</v>
      </c>
      <c r="J96" s="27"/>
      <c r="K96" s="40"/>
      <c r="L96" s="29" t="s">
        <v>126</v>
      </c>
      <c r="M96" s="29" t="s">
        <v>126</v>
      </c>
      <c r="N96" s="29" t="s">
        <v>126</v>
      </c>
    </row>
    <row r="97" spans="2:14" x14ac:dyDescent="0.25">
      <c r="B97" s="27" t="s">
        <v>123</v>
      </c>
      <c r="C97" s="28">
        <v>527164</v>
      </c>
      <c r="D97" s="28" t="s">
        <v>1181</v>
      </c>
      <c r="E97" s="27" t="s">
        <v>32</v>
      </c>
      <c r="F97" s="6" t="s">
        <v>1095</v>
      </c>
      <c r="G97" s="28" t="s">
        <v>48</v>
      </c>
      <c r="H97" s="28" t="s">
        <v>129</v>
      </c>
      <c r="I97" s="116">
        <v>69</v>
      </c>
      <c r="J97" s="27"/>
      <c r="K97" s="40"/>
      <c r="L97" s="29" t="s">
        <v>126</v>
      </c>
      <c r="M97" s="29" t="s">
        <v>126</v>
      </c>
      <c r="N97" s="29" t="s">
        <v>126</v>
      </c>
    </row>
    <row r="98" spans="2:14" x14ac:dyDescent="0.25">
      <c r="B98" s="27" t="s">
        <v>123</v>
      </c>
      <c r="C98" s="28">
        <v>527165</v>
      </c>
      <c r="D98" s="28" t="s">
        <v>1182</v>
      </c>
      <c r="E98" s="27" t="s">
        <v>32</v>
      </c>
      <c r="F98" s="6" t="s">
        <v>1095</v>
      </c>
      <c r="G98" s="28" t="s">
        <v>48</v>
      </c>
      <c r="H98" s="28" t="s">
        <v>129</v>
      </c>
      <c r="I98" s="116">
        <v>69</v>
      </c>
      <c r="J98" s="27"/>
      <c r="K98" s="40"/>
      <c r="L98" s="29" t="s">
        <v>126</v>
      </c>
      <c r="M98" s="29" t="s">
        <v>126</v>
      </c>
      <c r="N98" s="29" t="s">
        <v>126</v>
      </c>
    </row>
    <row r="99" spans="2:14" x14ac:dyDescent="0.25">
      <c r="B99" s="27" t="s">
        <v>123</v>
      </c>
      <c r="C99" s="28">
        <v>94963</v>
      </c>
      <c r="D99" s="28" t="s">
        <v>1183</v>
      </c>
      <c r="E99" s="27" t="s">
        <v>32</v>
      </c>
      <c r="F99" s="6" t="s">
        <v>1095</v>
      </c>
      <c r="G99" s="28" t="s">
        <v>48</v>
      </c>
      <c r="H99" s="28" t="s">
        <v>129</v>
      </c>
      <c r="I99" s="115">
        <v>105</v>
      </c>
      <c r="J99" s="27"/>
      <c r="K99" s="40"/>
      <c r="L99" s="29" t="s">
        <v>126</v>
      </c>
      <c r="M99" s="29" t="s">
        <v>126</v>
      </c>
      <c r="N99" s="29" t="s">
        <v>126</v>
      </c>
    </row>
    <row r="100" spans="2:14" x14ac:dyDescent="0.25">
      <c r="B100" s="27" t="s">
        <v>123</v>
      </c>
      <c r="C100" s="28">
        <v>181501</v>
      </c>
      <c r="D100" s="28" t="s">
        <v>1184</v>
      </c>
      <c r="E100" s="27" t="s">
        <v>32</v>
      </c>
      <c r="F100" s="6" t="s">
        <v>1095</v>
      </c>
      <c r="G100" s="28" t="s">
        <v>48</v>
      </c>
      <c r="H100" s="28" t="s">
        <v>129</v>
      </c>
      <c r="I100" s="115">
        <v>85</v>
      </c>
      <c r="J100" s="27"/>
      <c r="K100" s="40"/>
      <c r="L100" s="29" t="s">
        <v>126</v>
      </c>
      <c r="M100" s="29" t="s">
        <v>126</v>
      </c>
      <c r="N100" s="29" t="s">
        <v>126</v>
      </c>
    </row>
    <row r="101" spans="2:14" x14ac:dyDescent="0.25">
      <c r="B101" s="27" t="s">
        <v>123</v>
      </c>
      <c r="C101" s="28">
        <v>320256</v>
      </c>
      <c r="D101" s="28" t="s">
        <v>1185</v>
      </c>
      <c r="E101" s="27" t="s">
        <v>32</v>
      </c>
      <c r="F101" s="6" t="s">
        <v>1095</v>
      </c>
      <c r="G101" s="28" t="s">
        <v>48</v>
      </c>
      <c r="H101" s="28" t="s">
        <v>129</v>
      </c>
      <c r="I101" s="115">
        <v>85</v>
      </c>
      <c r="J101" s="27"/>
      <c r="K101" s="40"/>
      <c r="L101" s="29" t="s">
        <v>126</v>
      </c>
      <c r="M101" s="29" t="s">
        <v>126</v>
      </c>
      <c r="N101" s="29" t="s">
        <v>126</v>
      </c>
    </row>
    <row r="102" spans="2:14" x14ac:dyDescent="0.25">
      <c r="B102" s="27" t="s">
        <v>123</v>
      </c>
      <c r="C102" s="28">
        <v>368517</v>
      </c>
      <c r="D102" s="28" t="s">
        <v>1186</v>
      </c>
      <c r="E102" s="27" t="s">
        <v>32</v>
      </c>
      <c r="F102" s="6" t="s">
        <v>1095</v>
      </c>
      <c r="G102" s="28" t="s">
        <v>48</v>
      </c>
      <c r="H102" s="28" t="s">
        <v>129</v>
      </c>
      <c r="I102" s="115">
        <v>85</v>
      </c>
      <c r="J102" s="27"/>
      <c r="K102" s="40"/>
      <c r="L102" s="29" t="s">
        <v>126</v>
      </c>
      <c r="M102" s="29" t="s">
        <v>126</v>
      </c>
      <c r="N102" s="29" t="s">
        <v>126</v>
      </c>
    </row>
    <row r="103" spans="2:14" x14ac:dyDescent="0.25">
      <c r="B103" s="27" t="s">
        <v>123</v>
      </c>
      <c r="C103" s="28">
        <v>453329</v>
      </c>
      <c r="D103" s="28" t="s">
        <v>1187</v>
      </c>
      <c r="E103" s="27" t="s">
        <v>32</v>
      </c>
      <c r="F103" s="6" t="s">
        <v>1095</v>
      </c>
      <c r="G103" s="28" t="s">
        <v>48</v>
      </c>
      <c r="H103" s="28" t="s">
        <v>129</v>
      </c>
      <c r="I103" s="115">
        <v>59</v>
      </c>
      <c r="J103" s="27"/>
      <c r="K103" s="40"/>
      <c r="L103" s="29" t="s">
        <v>126</v>
      </c>
      <c r="M103" s="29" t="s">
        <v>126</v>
      </c>
      <c r="N103" s="29" t="s">
        <v>126</v>
      </c>
    </row>
    <row r="104" spans="2:14" x14ac:dyDescent="0.25">
      <c r="B104" s="27" t="s">
        <v>123</v>
      </c>
      <c r="C104" s="28">
        <v>402587</v>
      </c>
      <c r="D104" s="28" t="s">
        <v>1188</v>
      </c>
      <c r="E104" s="27" t="s">
        <v>32</v>
      </c>
      <c r="F104" s="6" t="s">
        <v>1095</v>
      </c>
      <c r="G104" s="28" t="s">
        <v>48</v>
      </c>
      <c r="H104" s="28" t="s">
        <v>129</v>
      </c>
      <c r="I104" s="115">
        <v>209</v>
      </c>
      <c r="J104" s="27"/>
      <c r="K104" s="40"/>
      <c r="L104" s="29" t="s">
        <v>126</v>
      </c>
      <c r="M104" s="29" t="s">
        <v>126</v>
      </c>
      <c r="N104" s="29" t="s">
        <v>126</v>
      </c>
    </row>
    <row r="105" spans="2:14" x14ac:dyDescent="0.25">
      <c r="B105" s="27" t="s">
        <v>123</v>
      </c>
      <c r="C105" s="28">
        <v>402588</v>
      </c>
      <c r="D105" s="28" t="s">
        <v>1189</v>
      </c>
      <c r="E105" s="27" t="s">
        <v>32</v>
      </c>
      <c r="F105" s="6" t="s">
        <v>1095</v>
      </c>
      <c r="G105" s="28" t="s">
        <v>48</v>
      </c>
      <c r="H105" s="28" t="s">
        <v>129</v>
      </c>
      <c r="I105" s="115">
        <v>209</v>
      </c>
      <c r="J105" s="27"/>
      <c r="K105" s="40"/>
      <c r="L105" s="29" t="s">
        <v>126</v>
      </c>
      <c r="M105" s="29" t="s">
        <v>126</v>
      </c>
      <c r="N105" s="29" t="s">
        <v>126</v>
      </c>
    </row>
    <row r="106" spans="2:14" x14ac:dyDescent="0.25">
      <c r="B106" s="27" t="s">
        <v>123</v>
      </c>
      <c r="C106" s="28">
        <v>402590</v>
      </c>
      <c r="D106" s="28" t="s">
        <v>1190</v>
      </c>
      <c r="E106" s="27" t="s">
        <v>32</v>
      </c>
      <c r="F106" s="6" t="s">
        <v>1095</v>
      </c>
      <c r="G106" s="28" t="s">
        <v>48</v>
      </c>
      <c r="H106" s="28" t="s">
        <v>129</v>
      </c>
      <c r="I106" s="115">
        <v>209</v>
      </c>
      <c r="J106" s="27"/>
      <c r="K106" s="40"/>
      <c r="L106" s="29" t="s">
        <v>126</v>
      </c>
      <c r="M106" s="29" t="s">
        <v>126</v>
      </c>
      <c r="N106" s="29" t="s">
        <v>126</v>
      </c>
    </row>
    <row r="107" spans="2:14" x14ac:dyDescent="0.25">
      <c r="B107" s="27" t="s">
        <v>123</v>
      </c>
      <c r="C107" s="28">
        <v>471965</v>
      </c>
      <c r="D107" s="28" t="s">
        <v>1191</v>
      </c>
      <c r="E107" s="27" t="s">
        <v>32</v>
      </c>
      <c r="F107" s="6" t="s">
        <v>1095</v>
      </c>
      <c r="G107" s="28" t="s">
        <v>48</v>
      </c>
      <c r="H107" s="28" t="s">
        <v>129</v>
      </c>
      <c r="I107" s="115">
        <v>209</v>
      </c>
      <c r="J107" s="27"/>
      <c r="K107" s="40"/>
      <c r="L107" s="29" t="s">
        <v>126</v>
      </c>
      <c r="M107" s="29" t="s">
        <v>126</v>
      </c>
      <c r="N107" s="29" t="s">
        <v>126</v>
      </c>
    </row>
    <row r="108" spans="2:14" x14ac:dyDescent="0.25">
      <c r="B108" s="27" t="s">
        <v>123</v>
      </c>
      <c r="C108" s="28">
        <v>483593</v>
      </c>
      <c r="D108" s="28" t="s">
        <v>1192</v>
      </c>
      <c r="E108" s="27" t="s">
        <v>32</v>
      </c>
      <c r="F108" s="6" t="s">
        <v>1095</v>
      </c>
      <c r="G108" s="28" t="s">
        <v>48</v>
      </c>
      <c r="H108" s="28" t="s">
        <v>129</v>
      </c>
      <c r="I108" s="115">
        <v>209</v>
      </c>
      <c r="J108" s="27"/>
      <c r="K108" s="40"/>
      <c r="L108" s="29" t="s">
        <v>126</v>
      </c>
      <c r="M108" s="29" t="s">
        <v>126</v>
      </c>
      <c r="N108" s="29" t="s">
        <v>126</v>
      </c>
    </row>
    <row r="109" spans="2:14" x14ac:dyDescent="0.25">
      <c r="B109" s="27" t="s">
        <v>123</v>
      </c>
      <c r="C109" s="28">
        <v>554219</v>
      </c>
      <c r="D109" s="28" t="s">
        <v>1193</v>
      </c>
      <c r="E109" s="27" t="s">
        <v>32</v>
      </c>
      <c r="F109" s="6" t="s">
        <v>1095</v>
      </c>
      <c r="G109" s="28" t="s">
        <v>48</v>
      </c>
      <c r="H109" s="28" t="s">
        <v>129</v>
      </c>
      <c r="I109" s="116">
        <v>179</v>
      </c>
      <c r="J109" s="27"/>
      <c r="K109" s="40"/>
      <c r="L109" s="29" t="s">
        <v>126</v>
      </c>
      <c r="M109" s="29" t="s">
        <v>126</v>
      </c>
      <c r="N109" s="29" t="s">
        <v>126</v>
      </c>
    </row>
    <row r="110" spans="2:14" x14ac:dyDescent="0.25">
      <c r="B110" s="27" t="s">
        <v>123</v>
      </c>
      <c r="C110" s="28">
        <v>402589</v>
      </c>
      <c r="D110" s="28" t="s">
        <v>1194</v>
      </c>
      <c r="E110" s="27" t="s">
        <v>32</v>
      </c>
      <c r="F110" s="6" t="s">
        <v>1095</v>
      </c>
      <c r="G110" s="28" t="s">
        <v>48</v>
      </c>
      <c r="H110" s="28" t="s">
        <v>129</v>
      </c>
      <c r="I110" s="116">
        <v>209</v>
      </c>
      <c r="J110" s="27"/>
      <c r="K110" s="40"/>
      <c r="L110" s="29" t="s">
        <v>126</v>
      </c>
      <c r="M110" s="29" t="s">
        <v>126</v>
      </c>
      <c r="N110" s="29" t="s">
        <v>126</v>
      </c>
    </row>
    <row r="111" spans="2:14" x14ac:dyDescent="0.25">
      <c r="B111" s="27" t="s">
        <v>123</v>
      </c>
      <c r="C111" s="28">
        <v>524010</v>
      </c>
      <c r="D111" s="28" t="s">
        <v>1195</v>
      </c>
      <c r="E111" s="27" t="s">
        <v>32</v>
      </c>
      <c r="F111" s="6" t="s">
        <v>1095</v>
      </c>
      <c r="G111" s="28" t="s">
        <v>48</v>
      </c>
      <c r="H111" s="28" t="s">
        <v>129</v>
      </c>
      <c r="I111" s="116">
        <v>209</v>
      </c>
      <c r="J111" s="27"/>
      <c r="K111" s="40"/>
      <c r="L111" s="29" t="s">
        <v>126</v>
      </c>
      <c r="M111" s="29" t="s">
        <v>126</v>
      </c>
      <c r="N111" s="29" t="s">
        <v>126</v>
      </c>
    </row>
    <row r="112" spans="2:14" x14ac:dyDescent="0.25">
      <c r="B112" s="27" t="s">
        <v>123</v>
      </c>
      <c r="C112" s="28">
        <v>288718</v>
      </c>
      <c r="D112" s="28" t="s">
        <v>1196</v>
      </c>
      <c r="E112" s="27" t="s">
        <v>32</v>
      </c>
      <c r="F112" s="6" t="s">
        <v>1095</v>
      </c>
      <c r="G112" s="28" t="s">
        <v>48</v>
      </c>
      <c r="H112" s="28" t="s">
        <v>129</v>
      </c>
      <c r="I112" s="116">
        <v>149</v>
      </c>
      <c r="J112" s="27"/>
      <c r="K112" s="40"/>
      <c r="L112" s="29" t="s">
        <v>126</v>
      </c>
      <c r="M112" s="29" t="s">
        <v>126</v>
      </c>
      <c r="N112" s="29" t="s">
        <v>126</v>
      </c>
    </row>
    <row r="113" spans="2:14" x14ac:dyDescent="0.25">
      <c r="B113" s="27" t="s">
        <v>123</v>
      </c>
      <c r="C113" s="28">
        <v>549230</v>
      </c>
      <c r="D113" s="28" t="s">
        <v>1197</v>
      </c>
      <c r="E113" s="27" t="s">
        <v>32</v>
      </c>
      <c r="F113" s="6" t="s">
        <v>1095</v>
      </c>
      <c r="G113" s="28" t="s">
        <v>48</v>
      </c>
      <c r="H113" s="28" t="s">
        <v>129</v>
      </c>
      <c r="I113" s="116">
        <v>149</v>
      </c>
      <c r="J113" s="27"/>
      <c r="K113" s="40"/>
      <c r="L113" s="29" t="s">
        <v>126</v>
      </c>
      <c r="M113" s="29" t="s">
        <v>126</v>
      </c>
      <c r="N113" s="29" t="s">
        <v>126</v>
      </c>
    </row>
    <row r="114" spans="2:14" x14ac:dyDescent="0.25">
      <c r="B114" s="27" t="s">
        <v>123</v>
      </c>
      <c r="C114" s="28">
        <v>451397</v>
      </c>
      <c r="D114" s="28" t="s">
        <v>1198</v>
      </c>
      <c r="E114" s="27" t="s">
        <v>32</v>
      </c>
      <c r="F114" s="6" t="s">
        <v>1095</v>
      </c>
      <c r="G114" s="28" t="s">
        <v>48</v>
      </c>
      <c r="H114" s="28" t="s">
        <v>129</v>
      </c>
      <c r="I114" s="115">
        <v>389</v>
      </c>
      <c r="J114" s="27"/>
      <c r="K114" s="40"/>
      <c r="L114" s="29" t="s">
        <v>126</v>
      </c>
      <c r="M114" s="29" t="s">
        <v>126</v>
      </c>
      <c r="N114" s="29" t="s">
        <v>126</v>
      </c>
    </row>
    <row r="115" spans="2:14" x14ac:dyDescent="0.25">
      <c r="B115" s="27" t="s">
        <v>123</v>
      </c>
      <c r="C115" s="28">
        <v>86913</v>
      </c>
      <c r="D115" s="28" t="s">
        <v>1199</v>
      </c>
      <c r="E115" s="27" t="s">
        <v>32</v>
      </c>
      <c r="F115" s="6" t="s">
        <v>1095</v>
      </c>
      <c r="G115" s="28" t="s">
        <v>48</v>
      </c>
      <c r="H115" s="28" t="s">
        <v>129</v>
      </c>
      <c r="I115" s="115">
        <v>106</v>
      </c>
      <c r="J115" s="27"/>
      <c r="K115" s="40"/>
      <c r="L115" s="29" t="s">
        <v>126</v>
      </c>
      <c r="M115" s="29" t="s">
        <v>126</v>
      </c>
      <c r="N115" s="29" t="s">
        <v>126</v>
      </c>
    </row>
    <row r="116" spans="2:14" x14ac:dyDescent="0.25">
      <c r="B116" s="27" t="s">
        <v>123</v>
      </c>
      <c r="C116" s="28">
        <v>86884</v>
      </c>
      <c r="D116" s="28" t="s">
        <v>1200</v>
      </c>
      <c r="E116" s="27" t="s">
        <v>32</v>
      </c>
      <c r="F116" s="6" t="s">
        <v>1095</v>
      </c>
      <c r="G116" s="28" t="s">
        <v>48</v>
      </c>
      <c r="H116" s="28" t="s">
        <v>129</v>
      </c>
      <c r="I116" s="115">
        <v>106</v>
      </c>
      <c r="J116" s="27"/>
      <c r="K116" s="40"/>
      <c r="L116" s="29" t="s">
        <v>126</v>
      </c>
      <c r="M116" s="29" t="s">
        <v>126</v>
      </c>
      <c r="N116" s="29" t="s">
        <v>126</v>
      </c>
    </row>
    <row r="117" spans="2:14" x14ac:dyDescent="0.25">
      <c r="B117" s="27" t="s">
        <v>123</v>
      </c>
      <c r="C117" s="28">
        <v>182940</v>
      </c>
      <c r="D117" s="28" t="s">
        <v>1201</v>
      </c>
      <c r="E117" s="27" t="s">
        <v>32</v>
      </c>
      <c r="F117" s="6" t="s">
        <v>1095</v>
      </c>
      <c r="G117" s="28" t="s">
        <v>48</v>
      </c>
      <c r="H117" s="28" t="s">
        <v>129</v>
      </c>
      <c r="I117" s="115">
        <v>32</v>
      </c>
      <c r="J117" s="27"/>
      <c r="K117" s="40"/>
      <c r="L117" s="29" t="s">
        <v>126</v>
      </c>
      <c r="M117" s="29" t="s">
        <v>126</v>
      </c>
      <c r="N117" s="29" t="s">
        <v>126</v>
      </c>
    </row>
    <row r="118" spans="2:14" x14ac:dyDescent="0.25">
      <c r="B118" s="27" t="s">
        <v>123</v>
      </c>
      <c r="C118" s="28">
        <v>186096</v>
      </c>
      <c r="D118" s="28" t="s">
        <v>1202</v>
      </c>
      <c r="E118" s="27" t="s">
        <v>32</v>
      </c>
      <c r="F118" s="6" t="s">
        <v>1095</v>
      </c>
      <c r="G118" s="28" t="s">
        <v>48</v>
      </c>
      <c r="H118" s="28" t="s">
        <v>129</v>
      </c>
      <c r="I118" s="115">
        <v>32</v>
      </c>
      <c r="J118" s="27"/>
      <c r="K118" s="40"/>
      <c r="L118" s="29" t="s">
        <v>126</v>
      </c>
      <c r="M118" s="29" t="s">
        <v>126</v>
      </c>
      <c r="N118" s="29" t="s">
        <v>126</v>
      </c>
    </row>
    <row r="119" spans="2:14" x14ac:dyDescent="0.25">
      <c r="B119" s="27" t="s">
        <v>123</v>
      </c>
      <c r="C119" s="28">
        <v>86914</v>
      </c>
      <c r="D119" s="28" t="s">
        <v>1203</v>
      </c>
      <c r="E119" s="27" t="s">
        <v>32</v>
      </c>
      <c r="F119" s="6" t="s">
        <v>1095</v>
      </c>
      <c r="G119" s="28" t="s">
        <v>48</v>
      </c>
      <c r="H119" s="28" t="s">
        <v>129</v>
      </c>
      <c r="I119" s="115">
        <v>106</v>
      </c>
      <c r="J119" s="27"/>
      <c r="K119" s="40"/>
      <c r="L119" s="29" t="s">
        <v>126</v>
      </c>
      <c r="M119" s="29" t="s">
        <v>126</v>
      </c>
      <c r="N119" s="29" t="s">
        <v>126</v>
      </c>
    </row>
    <row r="120" spans="2:14" x14ac:dyDescent="0.25">
      <c r="B120" s="27" t="s">
        <v>123</v>
      </c>
      <c r="C120" s="28">
        <v>86911</v>
      </c>
      <c r="D120" s="28" t="s">
        <v>1204</v>
      </c>
      <c r="E120" s="27" t="s">
        <v>32</v>
      </c>
      <c r="F120" s="6" t="s">
        <v>1095</v>
      </c>
      <c r="G120" s="28" t="s">
        <v>48</v>
      </c>
      <c r="H120" s="28" t="s">
        <v>129</v>
      </c>
      <c r="I120" s="115">
        <v>106</v>
      </c>
      <c r="J120" s="27"/>
      <c r="K120" s="40"/>
      <c r="L120" s="29" t="s">
        <v>126</v>
      </c>
      <c r="M120" s="29" t="s">
        <v>126</v>
      </c>
      <c r="N120" s="29" t="s">
        <v>126</v>
      </c>
    </row>
    <row r="121" spans="2:14" x14ac:dyDescent="0.25">
      <c r="B121" s="27" t="s">
        <v>123</v>
      </c>
      <c r="C121" s="28">
        <v>182943</v>
      </c>
      <c r="D121" s="28" t="s">
        <v>1205</v>
      </c>
      <c r="E121" s="27" t="s">
        <v>32</v>
      </c>
      <c r="F121" s="6" t="s">
        <v>1095</v>
      </c>
      <c r="G121" s="28" t="s">
        <v>48</v>
      </c>
      <c r="H121" s="28" t="s">
        <v>129</v>
      </c>
      <c r="I121" s="115">
        <v>32</v>
      </c>
      <c r="J121" s="27"/>
      <c r="K121" s="40"/>
      <c r="L121" s="29" t="s">
        <v>126</v>
      </c>
      <c r="M121" s="29" t="s">
        <v>126</v>
      </c>
      <c r="N121" s="29" t="s">
        <v>126</v>
      </c>
    </row>
    <row r="122" spans="2:14" x14ac:dyDescent="0.25">
      <c r="B122" s="27" t="s">
        <v>123</v>
      </c>
      <c r="C122" s="28">
        <v>86886</v>
      </c>
      <c r="D122" s="28" t="s">
        <v>1206</v>
      </c>
      <c r="E122" s="27" t="s">
        <v>32</v>
      </c>
      <c r="F122" s="6" t="s">
        <v>1095</v>
      </c>
      <c r="G122" s="28" t="s">
        <v>48</v>
      </c>
      <c r="H122" s="28" t="s">
        <v>129</v>
      </c>
      <c r="I122" s="115">
        <v>104</v>
      </c>
      <c r="J122" s="27"/>
      <c r="K122" s="40"/>
      <c r="L122" s="29" t="s">
        <v>126</v>
      </c>
      <c r="M122" s="29" t="s">
        <v>126</v>
      </c>
      <c r="N122" s="29" t="s">
        <v>126</v>
      </c>
    </row>
    <row r="123" spans="2:14" x14ac:dyDescent="0.25">
      <c r="B123" s="27" t="s">
        <v>123</v>
      </c>
      <c r="C123" s="28">
        <v>182941</v>
      </c>
      <c r="D123" s="28" t="s">
        <v>1207</v>
      </c>
      <c r="E123" s="27" t="s">
        <v>32</v>
      </c>
      <c r="F123" s="6" t="s">
        <v>1095</v>
      </c>
      <c r="G123" s="28" t="s">
        <v>48</v>
      </c>
      <c r="H123" s="28" t="s">
        <v>129</v>
      </c>
      <c r="I123" s="115">
        <v>32</v>
      </c>
      <c r="J123" s="27"/>
      <c r="K123" s="40"/>
      <c r="L123" s="29" t="s">
        <v>126</v>
      </c>
      <c r="M123" s="29" t="s">
        <v>126</v>
      </c>
      <c r="N123" s="29" t="s">
        <v>126</v>
      </c>
    </row>
    <row r="124" spans="2:14" x14ac:dyDescent="0.25">
      <c r="B124" s="27" t="s">
        <v>123</v>
      </c>
      <c r="C124" s="28">
        <v>186097</v>
      </c>
      <c r="D124" s="28" t="s">
        <v>1208</v>
      </c>
      <c r="E124" s="27" t="s">
        <v>32</v>
      </c>
      <c r="F124" s="6" t="s">
        <v>1095</v>
      </c>
      <c r="G124" s="28" t="s">
        <v>48</v>
      </c>
      <c r="H124" s="28" t="s">
        <v>129</v>
      </c>
      <c r="I124" s="115">
        <v>32</v>
      </c>
      <c r="J124" s="27"/>
      <c r="K124" s="40"/>
      <c r="L124" s="29" t="s">
        <v>126</v>
      </c>
      <c r="M124" s="29" t="s">
        <v>126</v>
      </c>
      <c r="N124" s="29" t="s">
        <v>126</v>
      </c>
    </row>
    <row r="125" spans="2:14" x14ac:dyDescent="0.25">
      <c r="B125" s="27" t="s">
        <v>123</v>
      </c>
      <c r="C125" s="28">
        <v>89179</v>
      </c>
      <c r="D125" s="28" t="s">
        <v>1209</v>
      </c>
      <c r="E125" s="27" t="s">
        <v>32</v>
      </c>
      <c r="F125" s="6" t="s">
        <v>1095</v>
      </c>
      <c r="G125" s="28" t="s">
        <v>48</v>
      </c>
      <c r="H125" s="28" t="s">
        <v>129</v>
      </c>
      <c r="I125" s="115">
        <v>379</v>
      </c>
      <c r="J125" s="27"/>
      <c r="K125" s="40"/>
      <c r="L125" s="29" t="s">
        <v>126</v>
      </c>
      <c r="M125" s="29" t="s">
        <v>126</v>
      </c>
      <c r="N125" s="29" t="s">
        <v>126</v>
      </c>
    </row>
    <row r="126" spans="2:14" x14ac:dyDescent="0.25">
      <c r="B126" s="27" t="s">
        <v>123</v>
      </c>
      <c r="C126" s="28">
        <v>207528</v>
      </c>
      <c r="D126" s="28" t="s">
        <v>1210</v>
      </c>
      <c r="E126" s="27" t="s">
        <v>32</v>
      </c>
      <c r="F126" s="6" t="s">
        <v>1095</v>
      </c>
      <c r="G126" s="28" t="s">
        <v>48</v>
      </c>
      <c r="H126" s="28" t="s">
        <v>129</v>
      </c>
      <c r="I126" s="115">
        <v>379</v>
      </c>
      <c r="J126" s="27"/>
      <c r="K126" s="40"/>
      <c r="L126" s="29" t="s">
        <v>126</v>
      </c>
      <c r="M126" s="29" t="s">
        <v>126</v>
      </c>
      <c r="N126" s="29" t="s">
        <v>126</v>
      </c>
    </row>
    <row r="127" spans="2:14" x14ac:dyDescent="0.25">
      <c r="B127" s="27" t="s">
        <v>123</v>
      </c>
      <c r="C127" s="28">
        <v>64104</v>
      </c>
      <c r="D127" s="28" t="s">
        <v>1211</v>
      </c>
      <c r="E127" s="27" t="s">
        <v>32</v>
      </c>
      <c r="F127" s="6" t="s">
        <v>1095</v>
      </c>
      <c r="G127" s="28" t="s">
        <v>48</v>
      </c>
      <c r="H127" s="28" t="s">
        <v>129</v>
      </c>
      <c r="I127" s="115">
        <v>379</v>
      </c>
      <c r="J127" s="27"/>
      <c r="K127" s="40"/>
      <c r="L127" s="29" t="s">
        <v>126</v>
      </c>
      <c r="M127" s="29" t="s">
        <v>126</v>
      </c>
      <c r="N127" s="29" t="s">
        <v>126</v>
      </c>
    </row>
    <row r="128" spans="2:14" x14ac:dyDescent="0.25">
      <c r="B128" s="27" t="s">
        <v>123</v>
      </c>
      <c r="C128" s="28">
        <v>264904</v>
      </c>
      <c r="D128" s="28" t="s">
        <v>1212</v>
      </c>
      <c r="E128" s="27" t="s">
        <v>32</v>
      </c>
      <c r="F128" s="6" t="s">
        <v>1095</v>
      </c>
      <c r="G128" s="28" t="s">
        <v>48</v>
      </c>
      <c r="H128" s="28" t="s">
        <v>129</v>
      </c>
      <c r="I128" s="115">
        <v>379</v>
      </c>
      <c r="J128" s="27"/>
      <c r="K128" s="40"/>
      <c r="L128" s="29" t="s">
        <v>126</v>
      </c>
      <c r="M128" s="29" t="s">
        <v>126</v>
      </c>
      <c r="N128" s="29" t="s">
        <v>126</v>
      </c>
    </row>
    <row r="129" spans="2:14" x14ac:dyDescent="0.25">
      <c r="B129" s="27" t="s">
        <v>123</v>
      </c>
      <c r="C129" s="28">
        <v>391603</v>
      </c>
      <c r="D129" s="28" t="s">
        <v>1213</v>
      </c>
      <c r="E129" s="27" t="s">
        <v>32</v>
      </c>
      <c r="F129" s="6" t="s">
        <v>1095</v>
      </c>
      <c r="G129" s="28" t="s">
        <v>48</v>
      </c>
      <c r="H129" s="28" t="s">
        <v>129</v>
      </c>
      <c r="I129" s="115">
        <v>379</v>
      </c>
      <c r="J129" s="27"/>
      <c r="K129" s="40"/>
      <c r="L129" s="29" t="s">
        <v>126</v>
      </c>
      <c r="M129" s="29" t="s">
        <v>126</v>
      </c>
      <c r="N129" s="29" t="s">
        <v>126</v>
      </c>
    </row>
    <row r="130" spans="2:14" x14ac:dyDescent="0.25">
      <c r="B130" s="27" t="s">
        <v>123</v>
      </c>
      <c r="C130" s="28">
        <v>286550</v>
      </c>
      <c r="D130" s="28" t="s">
        <v>1214</v>
      </c>
      <c r="E130" s="27" t="s">
        <v>32</v>
      </c>
      <c r="F130" s="6" t="s">
        <v>1095</v>
      </c>
      <c r="G130" s="28" t="s">
        <v>48</v>
      </c>
      <c r="H130" s="28" t="s">
        <v>129</v>
      </c>
      <c r="I130" s="115">
        <v>379</v>
      </c>
      <c r="J130" s="27"/>
      <c r="K130" s="40"/>
      <c r="L130" s="29" t="s">
        <v>126</v>
      </c>
      <c r="M130" s="29" t="s">
        <v>126</v>
      </c>
      <c r="N130" s="29" t="s">
        <v>126</v>
      </c>
    </row>
    <row r="131" spans="2:14" x14ac:dyDescent="0.25">
      <c r="B131" s="27" t="s">
        <v>123</v>
      </c>
      <c r="C131" s="28">
        <v>514455</v>
      </c>
      <c r="D131" s="28" t="s">
        <v>1215</v>
      </c>
      <c r="E131" s="27" t="s">
        <v>32</v>
      </c>
      <c r="F131" s="6" t="s">
        <v>1095</v>
      </c>
      <c r="G131" s="28" t="s">
        <v>48</v>
      </c>
      <c r="H131" s="28" t="s">
        <v>129</v>
      </c>
      <c r="I131" s="115">
        <v>149</v>
      </c>
      <c r="J131" s="27"/>
      <c r="K131" s="40"/>
      <c r="L131" s="29" t="s">
        <v>126</v>
      </c>
      <c r="M131" s="29" t="s">
        <v>126</v>
      </c>
      <c r="N131" s="29" t="s">
        <v>126</v>
      </c>
    </row>
    <row r="132" spans="2:14" x14ac:dyDescent="0.25">
      <c r="B132" s="27" t="s">
        <v>123</v>
      </c>
      <c r="C132" s="28">
        <v>588769</v>
      </c>
      <c r="D132" s="28" t="s">
        <v>1216</v>
      </c>
      <c r="E132" s="27" t="s">
        <v>32</v>
      </c>
      <c r="F132" s="6" t="s">
        <v>1095</v>
      </c>
      <c r="G132" s="28" t="s">
        <v>48</v>
      </c>
      <c r="H132" s="28" t="s">
        <v>129</v>
      </c>
      <c r="I132" s="115">
        <v>149</v>
      </c>
      <c r="J132" s="27"/>
      <c r="K132" s="40"/>
      <c r="L132" s="29" t="s">
        <v>126</v>
      </c>
      <c r="M132" s="29" t="s">
        <v>126</v>
      </c>
      <c r="N132" s="29" t="s">
        <v>126</v>
      </c>
    </row>
    <row r="133" spans="2:14" x14ac:dyDescent="0.25">
      <c r="B133" s="27" t="s">
        <v>123</v>
      </c>
      <c r="C133" s="28">
        <v>514454</v>
      </c>
      <c r="D133" s="28" t="s">
        <v>1217</v>
      </c>
      <c r="E133" s="27" t="s">
        <v>32</v>
      </c>
      <c r="F133" s="6" t="s">
        <v>1095</v>
      </c>
      <c r="G133" s="28" t="s">
        <v>48</v>
      </c>
      <c r="H133" s="28" t="s">
        <v>129</v>
      </c>
      <c r="I133" s="115">
        <v>149</v>
      </c>
      <c r="J133" s="27"/>
      <c r="K133" s="40"/>
      <c r="L133" s="29" t="s">
        <v>126</v>
      </c>
      <c r="M133" s="29" t="s">
        <v>126</v>
      </c>
      <c r="N133" s="29" t="s">
        <v>126</v>
      </c>
    </row>
    <row r="134" spans="2:14" x14ac:dyDescent="0.25">
      <c r="B134" s="27" t="s">
        <v>123</v>
      </c>
      <c r="C134" s="28">
        <v>136718</v>
      </c>
      <c r="D134" s="28" t="s">
        <v>1218</v>
      </c>
      <c r="E134" s="27" t="s">
        <v>32</v>
      </c>
      <c r="F134" s="6" t="s">
        <v>1095</v>
      </c>
      <c r="G134" s="28" t="s">
        <v>48</v>
      </c>
      <c r="H134" s="28" t="s">
        <v>129</v>
      </c>
      <c r="I134" s="115">
        <v>124</v>
      </c>
      <c r="J134" s="27"/>
      <c r="K134" s="40"/>
      <c r="L134" s="29" t="s">
        <v>126</v>
      </c>
      <c r="M134" s="29" t="s">
        <v>126</v>
      </c>
      <c r="N134" s="29" t="s">
        <v>126</v>
      </c>
    </row>
    <row r="135" spans="2:14" x14ac:dyDescent="0.25">
      <c r="B135" s="27" t="s">
        <v>123</v>
      </c>
      <c r="C135" s="28">
        <v>408671</v>
      </c>
      <c r="D135" s="28" t="s">
        <v>1219</v>
      </c>
      <c r="E135" s="27" t="s">
        <v>32</v>
      </c>
      <c r="F135" s="6" t="s">
        <v>1095</v>
      </c>
      <c r="G135" s="28" t="s">
        <v>48</v>
      </c>
      <c r="H135" s="28" t="s">
        <v>129</v>
      </c>
      <c r="I135" s="115">
        <v>59</v>
      </c>
      <c r="J135" s="27"/>
      <c r="K135" s="40"/>
      <c r="L135" s="29" t="s">
        <v>126</v>
      </c>
      <c r="M135" s="29" t="s">
        <v>126</v>
      </c>
      <c r="N135" s="29" t="s">
        <v>126</v>
      </c>
    </row>
    <row r="136" spans="2:14" x14ac:dyDescent="0.25">
      <c r="B136" s="27" t="s">
        <v>123</v>
      </c>
      <c r="C136" s="28">
        <v>408672</v>
      </c>
      <c r="D136" s="28" t="s">
        <v>1220</v>
      </c>
      <c r="E136" s="27" t="s">
        <v>32</v>
      </c>
      <c r="F136" s="6" t="s">
        <v>1095</v>
      </c>
      <c r="G136" s="28" t="s">
        <v>48</v>
      </c>
      <c r="H136" s="28" t="s">
        <v>129</v>
      </c>
      <c r="I136" s="115">
        <v>59</v>
      </c>
      <c r="J136" s="27"/>
      <c r="K136" s="40"/>
      <c r="L136" s="29" t="s">
        <v>126</v>
      </c>
      <c r="M136" s="29" t="s">
        <v>126</v>
      </c>
      <c r="N136" s="29" t="s">
        <v>126</v>
      </c>
    </row>
    <row r="137" spans="2:14" x14ac:dyDescent="0.25">
      <c r="B137" s="27" t="s">
        <v>123</v>
      </c>
      <c r="C137" s="28">
        <v>392613</v>
      </c>
      <c r="D137" s="28" t="s">
        <v>1221</v>
      </c>
      <c r="E137" s="27" t="s">
        <v>32</v>
      </c>
      <c r="F137" s="6" t="s">
        <v>1095</v>
      </c>
      <c r="G137" s="28" t="s">
        <v>48</v>
      </c>
      <c r="H137" s="28" t="s">
        <v>129</v>
      </c>
      <c r="I137" s="115">
        <v>149</v>
      </c>
      <c r="J137" s="27"/>
      <c r="K137" s="40"/>
      <c r="L137" s="29" t="s">
        <v>126</v>
      </c>
      <c r="M137" s="29" t="s">
        <v>126</v>
      </c>
      <c r="N137" s="29" t="s">
        <v>126</v>
      </c>
    </row>
    <row r="138" spans="2:14" x14ac:dyDescent="0.25">
      <c r="B138" s="27" t="s">
        <v>123</v>
      </c>
      <c r="C138" s="28">
        <v>448634</v>
      </c>
      <c r="D138" s="28" t="s">
        <v>1222</v>
      </c>
      <c r="E138" s="27" t="s">
        <v>32</v>
      </c>
      <c r="F138" s="6" t="s">
        <v>1095</v>
      </c>
      <c r="G138" s="28" t="s">
        <v>48</v>
      </c>
      <c r="H138" s="28" t="s">
        <v>129</v>
      </c>
      <c r="I138" s="115">
        <v>149</v>
      </c>
      <c r="J138" s="27"/>
      <c r="K138" s="40"/>
      <c r="L138" s="29" t="s">
        <v>126</v>
      </c>
      <c r="M138" s="29" t="s">
        <v>126</v>
      </c>
      <c r="N138" s="29" t="s">
        <v>126</v>
      </c>
    </row>
    <row r="139" spans="2:14" x14ac:dyDescent="0.25">
      <c r="B139" s="27" t="s">
        <v>123</v>
      </c>
      <c r="C139" s="28">
        <v>400125</v>
      </c>
      <c r="D139" s="28" t="s">
        <v>1223</v>
      </c>
      <c r="E139" s="27" t="s">
        <v>32</v>
      </c>
      <c r="F139" s="6" t="s">
        <v>1095</v>
      </c>
      <c r="G139" s="28" t="s">
        <v>48</v>
      </c>
      <c r="H139" s="28" t="s">
        <v>129</v>
      </c>
      <c r="I139" s="115">
        <v>149</v>
      </c>
      <c r="J139" s="27"/>
      <c r="K139" s="40"/>
      <c r="L139" s="29" t="s">
        <v>126</v>
      </c>
      <c r="M139" s="29" t="s">
        <v>126</v>
      </c>
      <c r="N139" s="29" t="s">
        <v>126</v>
      </c>
    </row>
    <row r="140" spans="2:14" x14ac:dyDescent="0.25">
      <c r="B140" s="27" t="s">
        <v>123</v>
      </c>
      <c r="C140" s="28">
        <v>475037</v>
      </c>
      <c r="D140" s="28" t="s">
        <v>1224</v>
      </c>
      <c r="E140" s="27" t="s">
        <v>32</v>
      </c>
      <c r="F140" s="6" t="s">
        <v>1095</v>
      </c>
      <c r="G140" s="28" t="s">
        <v>48</v>
      </c>
      <c r="H140" s="28" t="s">
        <v>129</v>
      </c>
      <c r="I140" s="115">
        <v>149</v>
      </c>
      <c r="J140" s="27"/>
      <c r="K140" s="40"/>
      <c r="L140" s="29" t="s">
        <v>126</v>
      </c>
      <c r="M140" s="29" t="s">
        <v>126</v>
      </c>
      <c r="N140" s="29" t="s">
        <v>126</v>
      </c>
    </row>
    <row r="141" spans="2:14" x14ac:dyDescent="0.25">
      <c r="B141" s="27" t="s">
        <v>123</v>
      </c>
      <c r="C141" s="28">
        <v>594384</v>
      </c>
      <c r="D141" s="28" t="s">
        <v>1225</v>
      </c>
      <c r="E141" s="27" t="s">
        <v>32</v>
      </c>
      <c r="F141" s="6" t="s">
        <v>1095</v>
      </c>
      <c r="G141" s="28" t="s">
        <v>48</v>
      </c>
      <c r="H141" s="28" t="s">
        <v>129</v>
      </c>
      <c r="I141" s="115">
        <v>239</v>
      </c>
      <c r="J141" s="27"/>
      <c r="K141" s="40"/>
      <c r="L141" s="29" t="s">
        <v>126</v>
      </c>
      <c r="M141" s="29" t="s">
        <v>126</v>
      </c>
      <c r="N141" s="29" t="s">
        <v>126</v>
      </c>
    </row>
    <row r="142" spans="2:14" x14ac:dyDescent="0.25">
      <c r="B142" s="27" t="s">
        <v>123</v>
      </c>
      <c r="C142" s="28">
        <v>410470</v>
      </c>
      <c r="D142" s="28" t="s">
        <v>1226</v>
      </c>
      <c r="E142" s="27" t="s">
        <v>32</v>
      </c>
      <c r="F142" s="6" t="s">
        <v>1095</v>
      </c>
      <c r="G142" s="28" t="s">
        <v>48</v>
      </c>
      <c r="H142" s="28" t="s">
        <v>129</v>
      </c>
      <c r="I142" s="115">
        <v>1466</v>
      </c>
      <c r="J142" s="27"/>
      <c r="K142" s="40"/>
      <c r="L142" s="29" t="s">
        <v>126</v>
      </c>
      <c r="M142" s="29" t="s">
        <v>126</v>
      </c>
      <c r="N142" s="29" t="s">
        <v>126</v>
      </c>
    </row>
    <row r="143" spans="2:14" x14ac:dyDescent="0.25">
      <c r="B143" s="27" t="s">
        <v>123</v>
      </c>
      <c r="C143" s="28">
        <v>510469</v>
      </c>
      <c r="D143" s="28" t="s">
        <v>1227</v>
      </c>
      <c r="E143" s="27" t="s">
        <v>32</v>
      </c>
      <c r="F143" s="6" t="s">
        <v>1095</v>
      </c>
      <c r="G143" s="28" t="s">
        <v>48</v>
      </c>
      <c r="H143" s="28" t="s">
        <v>129</v>
      </c>
      <c r="I143" s="115">
        <v>1779</v>
      </c>
      <c r="J143" s="27"/>
      <c r="K143" s="40"/>
      <c r="L143" s="29" t="s">
        <v>126</v>
      </c>
      <c r="M143" s="29" t="s">
        <v>126</v>
      </c>
      <c r="N143" s="29" t="s">
        <v>126</v>
      </c>
    </row>
    <row r="144" spans="2:14" x14ac:dyDescent="0.25">
      <c r="B144" s="27" t="s">
        <v>123</v>
      </c>
      <c r="C144" s="28">
        <v>562562</v>
      </c>
      <c r="D144" s="28" t="s">
        <v>1228</v>
      </c>
      <c r="E144" s="27" t="s">
        <v>32</v>
      </c>
      <c r="F144" s="6" t="s">
        <v>1095</v>
      </c>
      <c r="G144" s="28" t="s">
        <v>48</v>
      </c>
      <c r="H144" s="28" t="s">
        <v>129</v>
      </c>
      <c r="I144" s="115">
        <v>149</v>
      </c>
      <c r="J144" s="27"/>
      <c r="K144" s="40"/>
      <c r="L144" s="29" t="s">
        <v>126</v>
      </c>
      <c r="M144" s="29" t="s">
        <v>126</v>
      </c>
      <c r="N144" s="29" t="s">
        <v>126</v>
      </c>
    </row>
    <row r="145" spans="2:14" x14ac:dyDescent="0.25">
      <c r="B145" s="27" t="s">
        <v>123</v>
      </c>
      <c r="C145" s="28">
        <v>595500</v>
      </c>
      <c r="D145" s="28" t="s">
        <v>1229</v>
      </c>
      <c r="E145" s="27" t="s">
        <v>32</v>
      </c>
      <c r="F145" s="6" t="s">
        <v>1095</v>
      </c>
      <c r="G145" s="28" t="s">
        <v>48</v>
      </c>
      <c r="H145" s="28" t="s">
        <v>129</v>
      </c>
      <c r="I145" s="115">
        <v>129</v>
      </c>
      <c r="J145" s="27"/>
      <c r="K145" s="40"/>
      <c r="L145" s="29" t="s">
        <v>126</v>
      </c>
      <c r="M145" s="29" t="s">
        <v>126</v>
      </c>
      <c r="N145" s="29" t="s">
        <v>126</v>
      </c>
    </row>
    <row r="146" spans="2:14" x14ac:dyDescent="0.25">
      <c r="B146" s="27" t="s">
        <v>123</v>
      </c>
      <c r="C146" s="28">
        <v>519388</v>
      </c>
      <c r="D146" s="28" t="s">
        <v>1230</v>
      </c>
      <c r="E146" s="27" t="s">
        <v>32</v>
      </c>
      <c r="F146" s="6" t="s">
        <v>1095</v>
      </c>
      <c r="G146" s="28" t="s">
        <v>48</v>
      </c>
      <c r="H146" s="28" t="s">
        <v>129</v>
      </c>
      <c r="I146" s="115">
        <v>499</v>
      </c>
      <c r="J146" s="27"/>
      <c r="K146" s="40"/>
      <c r="L146" s="29" t="s">
        <v>126</v>
      </c>
      <c r="M146" s="29" t="s">
        <v>126</v>
      </c>
      <c r="N146" s="29" t="s">
        <v>126</v>
      </c>
    </row>
    <row r="147" spans="2:14" x14ac:dyDescent="0.25">
      <c r="B147" s="27" t="s">
        <v>123</v>
      </c>
      <c r="C147" s="28">
        <v>38827</v>
      </c>
      <c r="D147" s="28" t="s">
        <v>1231</v>
      </c>
      <c r="E147" s="27" t="s">
        <v>32</v>
      </c>
      <c r="F147" s="6" t="s">
        <v>1095</v>
      </c>
      <c r="G147" s="28" t="s">
        <v>48</v>
      </c>
      <c r="H147" s="28" t="s">
        <v>129</v>
      </c>
      <c r="I147" s="115">
        <v>299</v>
      </c>
      <c r="J147" s="27"/>
      <c r="K147" s="40"/>
      <c r="L147" s="29" t="s">
        <v>126</v>
      </c>
      <c r="M147" s="29" t="s">
        <v>126</v>
      </c>
      <c r="N147" s="29" t="s">
        <v>126</v>
      </c>
    </row>
    <row r="148" spans="2:14" x14ac:dyDescent="0.25">
      <c r="B148" s="27" t="s">
        <v>123</v>
      </c>
      <c r="C148" s="28">
        <v>54359</v>
      </c>
      <c r="D148" s="28" t="s">
        <v>1232</v>
      </c>
      <c r="E148" s="27" t="s">
        <v>32</v>
      </c>
      <c r="F148" s="6" t="s">
        <v>1095</v>
      </c>
      <c r="G148" s="28" t="s">
        <v>48</v>
      </c>
      <c r="H148" s="28" t="s">
        <v>129</v>
      </c>
      <c r="I148" s="115">
        <v>299</v>
      </c>
      <c r="J148" s="27"/>
      <c r="K148" s="40"/>
      <c r="L148" s="29" t="s">
        <v>126</v>
      </c>
      <c r="M148" s="29" t="s">
        <v>126</v>
      </c>
      <c r="N148" s="29" t="s">
        <v>126</v>
      </c>
    </row>
    <row r="149" spans="2:14" x14ac:dyDescent="0.25">
      <c r="B149" s="27" t="s">
        <v>123</v>
      </c>
      <c r="C149" s="28">
        <v>63861</v>
      </c>
      <c r="D149" s="28" t="s">
        <v>1233</v>
      </c>
      <c r="E149" s="27" t="s">
        <v>32</v>
      </c>
      <c r="F149" s="6" t="s">
        <v>1095</v>
      </c>
      <c r="G149" s="28" t="s">
        <v>48</v>
      </c>
      <c r="H149" s="28" t="s">
        <v>129</v>
      </c>
      <c r="I149" s="115">
        <v>299</v>
      </c>
      <c r="J149" s="27"/>
      <c r="K149" s="40"/>
      <c r="L149" s="29" t="s">
        <v>126</v>
      </c>
      <c r="M149" s="29" t="s">
        <v>126</v>
      </c>
      <c r="N149" s="29" t="s">
        <v>126</v>
      </c>
    </row>
    <row r="150" spans="2:14" x14ac:dyDescent="0.25">
      <c r="B150" s="27" t="s">
        <v>123</v>
      </c>
      <c r="C150" s="28">
        <v>96741</v>
      </c>
      <c r="D150" s="28" t="s">
        <v>1234</v>
      </c>
      <c r="E150" s="27" t="s">
        <v>32</v>
      </c>
      <c r="F150" s="6" t="s">
        <v>1095</v>
      </c>
      <c r="G150" s="28" t="s">
        <v>48</v>
      </c>
      <c r="H150" s="28" t="s">
        <v>129</v>
      </c>
      <c r="I150" s="115">
        <v>299</v>
      </c>
      <c r="J150" s="27"/>
      <c r="K150" s="40"/>
      <c r="L150" s="29" t="s">
        <v>126</v>
      </c>
      <c r="M150" s="29" t="s">
        <v>126</v>
      </c>
      <c r="N150" s="29" t="s">
        <v>126</v>
      </c>
    </row>
    <row r="151" spans="2:14" x14ac:dyDescent="0.25">
      <c r="B151" s="27" t="s">
        <v>123</v>
      </c>
      <c r="C151" s="28">
        <v>579972</v>
      </c>
      <c r="D151" s="28" t="s">
        <v>1235</v>
      </c>
      <c r="E151" s="27" t="s">
        <v>32</v>
      </c>
      <c r="F151" s="6" t="s">
        <v>1095</v>
      </c>
      <c r="G151" s="28" t="s">
        <v>48</v>
      </c>
      <c r="H151" s="28" t="s">
        <v>129</v>
      </c>
      <c r="I151" s="115">
        <v>299</v>
      </c>
      <c r="J151" s="27"/>
      <c r="K151" s="40"/>
      <c r="L151" s="29" t="s">
        <v>126</v>
      </c>
      <c r="M151" s="29" t="s">
        <v>126</v>
      </c>
      <c r="N151" s="29" t="s">
        <v>126</v>
      </c>
    </row>
    <row r="152" spans="2:14" x14ac:dyDescent="0.25">
      <c r="B152" s="27" t="s">
        <v>123</v>
      </c>
      <c r="C152" s="28">
        <v>595815</v>
      </c>
      <c r="D152" s="28" t="s">
        <v>1236</v>
      </c>
      <c r="E152" s="27" t="s">
        <v>32</v>
      </c>
      <c r="F152" s="6" t="s">
        <v>1095</v>
      </c>
      <c r="G152" s="28" t="s">
        <v>48</v>
      </c>
      <c r="H152" s="28" t="s">
        <v>129</v>
      </c>
      <c r="I152" s="115">
        <v>299</v>
      </c>
      <c r="J152" s="27"/>
      <c r="K152" s="40"/>
      <c r="L152" s="29" t="s">
        <v>126</v>
      </c>
      <c r="M152" s="29" t="s">
        <v>126</v>
      </c>
      <c r="N152" s="29" t="s">
        <v>126</v>
      </c>
    </row>
    <row r="153" spans="2:14" x14ac:dyDescent="0.25">
      <c r="B153" s="27" t="s">
        <v>123</v>
      </c>
      <c r="C153" s="28">
        <v>80510</v>
      </c>
      <c r="D153" s="28" t="s">
        <v>1237</v>
      </c>
      <c r="E153" s="27" t="s">
        <v>32</v>
      </c>
      <c r="F153" s="6" t="s">
        <v>1095</v>
      </c>
      <c r="G153" s="28" t="s">
        <v>48</v>
      </c>
      <c r="H153" s="28" t="s">
        <v>129</v>
      </c>
      <c r="I153" s="115">
        <v>299</v>
      </c>
      <c r="J153" s="27"/>
      <c r="K153" s="40"/>
      <c r="L153" s="29" t="s">
        <v>126</v>
      </c>
      <c r="M153" s="29" t="s">
        <v>126</v>
      </c>
      <c r="N153" s="29" t="s">
        <v>126</v>
      </c>
    </row>
    <row r="154" spans="2:14" x14ac:dyDescent="0.25">
      <c r="B154" s="27" t="s">
        <v>123</v>
      </c>
      <c r="C154" s="28">
        <v>266336</v>
      </c>
      <c r="D154" s="28" t="s">
        <v>1238</v>
      </c>
      <c r="E154" s="27" t="s">
        <v>32</v>
      </c>
      <c r="F154" s="6" t="s">
        <v>1095</v>
      </c>
      <c r="G154" s="28" t="s">
        <v>48</v>
      </c>
      <c r="H154" s="28" t="s">
        <v>129</v>
      </c>
      <c r="I154" s="115">
        <v>539</v>
      </c>
      <c r="J154" s="27"/>
      <c r="K154" s="40"/>
      <c r="L154" s="29" t="s">
        <v>126</v>
      </c>
      <c r="M154" s="29" t="s">
        <v>126</v>
      </c>
      <c r="N154" s="29" t="s">
        <v>126</v>
      </c>
    </row>
    <row r="155" spans="2:14" x14ac:dyDescent="0.25">
      <c r="B155" s="27" t="s">
        <v>123</v>
      </c>
      <c r="C155" s="28">
        <v>266335</v>
      </c>
      <c r="D155" s="28" t="s">
        <v>1239</v>
      </c>
      <c r="E155" s="27" t="s">
        <v>32</v>
      </c>
      <c r="F155" s="6" t="s">
        <v>1095</v>
      </c>
      <c r="G155" s="28" t="s">
        <v>48</v>
      </c>
      <c r="H155" s="28" t="s">
        <v>129</v>
      </c>
      <c r="I155" s="115">
        <v>539</v>
      </c>
      <c r="J155" s="27"/>
      <c r="K155" s="40"/>
      <c r="L155" s="29" t="s">
        <v>126</v>
      </c>
      <c r="M155" s="29" t="s">
        <v>126</v>
      </c>
      <c r="N155" s="29" t="s">
        <v>126</v>
      </c>
    </row>
    <row r="156" spans="2:14" x14ac:dyDescent="0.25">
      <c r="B156" s="27" t="s">
        <v>123</v>
      </c>
      <c r="C156" s="28">
        <v>266334</v>
      </c>
      <c r="D156" s="28" t="s">
        <v>1240</v>
      </c>
      <c r="E156" s="27" t="s">
        <v>32</v>
      </c>
      <c r="F156" s="6" t="s">
        <v>1095</v>
      </c>
      <c r="G156" s="28" t="s">
        <v>48</v>
      </c>
      <c r="H156" s="28" t="s">
        <v>129</v>
      </c>
      <c r="I156" s="115">
        <v>539</v>
      </c>
      <c r="J156" s="27"/>
      <c r="K156" s="40"/>
      <c r="L156" s="29" t="s">
        <v>126</v>
      </c>
      <c r="M156" s="29" t="s">
        <v>126</v>
      </c>
      <c r="N156" s="29" t="s">
        <v>126</v>
      </c>
    </row>
    <row r="157" spans="2:14" x14ac:dyDescent="0.25">
      <c r="B157" s="27" t="s">
        <v>123</v>
      </c>
      <c r="C157" s="28">
        <v>476799</v>
      </c>
      <c r="D157" s="28" t="s">
        <v>1241</v>
      </c>
      <c r="E157" s="27" t="s">
        <v>32</v>
      </c>
      <c r="F157" s="6" t="s">
        <v>1095</v>
      </c>
      <c r="G157" s="28" t="s">
        <v>48</v>
      </c>
      <c r="H157" s="28" t="s">
        <v>129</v>
      </c>
      <c r="I157" s="115">
        <v>539</v>
      </c>
      <c r="J157" s="27"/>
      <c r="K157" s="40"/>
      <c r="L157" s="29" t="s">
        <v>126</v>
      </c>
      <c r="M157" s="29" t="s">
        <v>126</v>
      </c>
      <c r="N157" s="29" t="s">
        <v>126</v>
      </c>
    </row>
    <row r="158" spans="2:14" x14ac:dyDescent="0.25">
      <c r="B158" s="27" t="s">
        <v>123</v>
      </c>
      <c r="C158" s="28">
        <v>516026</v>
      </c>
      <c r="D158" s="28" t="s">
        <v>1242</v>
      </c>
      <c r="E158" s="27" t="s">
        <v>32</v>
      </c>
      <c r="F158" s="6" t="s">
        <v>1095</v>
      </c>
      <c r="G158" s="28" t="s">
        <v>48</v>
      </c>
      <c r="H158" s="28" t="s">
        <v>129</v>
      </c>
      <c r="I158" s="115">
        <v>539</v>
      </c>
      <c r="J158" s="27"/>
      <c r="K158" s="40"/>
      <c r="L158" s="29" t="s">
        <v>126</v>
      </c>
      <c r="M158" s="29" t="s">
        <v>126</v>
      </c>
      <c r="N158" s="29" t="s">
        <v>126</v>
      </c>
    </row>
    <row r="159" spans="2:14" x14ac:dyDescent="0.25">
      <c r="B159" s="27" t="s">
        <v>123</v>
      </c>
      <c r="C159" s="28">
        <v>593437</v>
      </c>
      <c r="D159" s="28" t="s">
        <v>1243</v>
      </c>
      <c r="E159" s="27" t="s">
        <v>32</v>
      </c>
      <c r="F159" s="6" t="s">
        <v>1095</v>
      </c>
      <c r="G159" s="28" t="s">
        <v>48</v>
      </c>
      <c r="H159" s="28" t="s">
        <v>129</v>
      </c>
      <c r="I159" s="115">
        <v>539</v>
      </c>
      <c r="J159" s="27"/>
      <c r="K159" s="40"/>
      <c r="L159" s="29" t="s">
        <v>126</v>
      </c>
      <c r="M159" s="29" t="s">
        <v>126</v>
      </c>
      <c r="N159" s="29" t="s">
        <v>126</v>
      </c>
    </row>
    <row r="160" spans="2:14" x14ac:dyDescent="0.25">
      <c r="B160" s="27" t="s">
        <v>123</v>
      </c>
      <c r="C160" s="28">
        <v>89975</v>
      </c>
      <c r="D160" s="28" t="s">
        <v>1244</v>
      </c>
      <c r="E160" s="27" t="s">
        <v>32</v>
      </c>
      <c r="F160" s="6" t="s">
        <v>1095</v>
      </c>
      <c r="G160" s="28" t="s">
        <v>48</v>
      </c>
      <c r="H160" s="28" t="s">
        <v>129</v>
      </c>
      <c r="I160" s="115">
        <v>449</v>
      </c>
      <c r="J160" s="27"/>
      <c r="K160" s="40"/>
      <c r="L160" s="29" t="s">
        <v>126</v>
      </c>
      <c r="M160" s="29" t="s">
        <v>126</v>
      </c>
      <c r="N160" s="29" t="s">
        <v>126</v>
      </c>
    </row>
    <row r="161" spans="2:14" x14ac:dyDescent="0.25">
      <c r="B161" s="27" t="s">
        <v>123</v>
      </c>
      <c r="C161" s="28">
        <v>241342</v>
      </c>
      <c r="D161" s="28" t="s">
        <v>1245</v>
      </c>
      <c r="E161" s="27" t="s">
        <v>32</v>
      </c>
      <c r="F161" s="6" t="s">
        <v>1095</v>
      </c>
      <c r="G161" s="28" t="s">
        <v>48</v>
      </c>
      <c r="H161" s="28" t="s">
        <v>129</v>
      </c>
      <c r="I161" s="115">
        <v>449</v>
      </c>
      <c r="J161" s="27"/>
      <c r="K161" s="40"/>
      <c r="L161" s="29" t="s">
        <v>126</v>
      </c>
      <c r="M161" s="29" t="s">
        <v>126</v>
      </c>
      <c r="N161" s="29" t="s">
        <v>126</v>
      </c>
    </row>
    <row r="162" spans="2:14" x14ac:dyDescent="0.25">
      <c r="B162" s="27" t="s">
        <v>123</v>
      </c>
      <c r="C162" s="28">
        <v>453808</v>
      </c>
      <c r="D162" s="28" t="s">
        <v>1246</v>
      </c>
      <c r="E162" s="27" t="s">
        <v>32</v>
      </c>
      <c r="F162" s="6" t="s">
        <v>1095</v>
      </c>
      <c r="G162" s="28" t="s">
        <v>48</v>
      </c>
      <c r="H162" s="28" t="s">
        <v>129</v>
      </c>
      <c r="I162" s="115">
        <v>449</v>
      </c>
      <c r="J162" s="27"/>
      <c r="K162" s="40"/>
      <c r="L162" s="29" t="s">
        <v>126</v>
      </c>
      <c r="M162" s="29" t="s">
        <v>126</v>
      </c>
      <c r="N162" s="29" t="s">
        <v>126</v>
      </c>
    </row>
    <row r="163" spans="2:14" x14ac:dyDescent="0.25">
      <c r="B163" s="27" t="s">
        <v>123</v>
      </c>
      <c r="C163" s="28">
        <v>140643</v>
      </c>
      <c r="D163" s="28" t="s">
        <v>1247</v>
      </c>
      <c r="E163" s="27" t="s">
        <v>32</v>
      </c>
      <c r="F163" s="6" t="s">
        <v>1095</v>
      </c>
      <c r="G163" s="28" t="s">
        <v>48</v>
      </c>
      <c r="H163" s="28" t="s">
        <v>129</v>
      </c>
      <c r="I163" s="115">
        <v>449</v>
      </c>
      <c r="J163" s="27"/>
      <c r="K163" s="40"/>
      <c r="L163" s="29" t="s">
        <v>126</v>
      </c>
      <c r="M163" s="29" t="s">
        <v>126</v>
      </c>
      <c r="N163" s="29" t="s">
        <v>126</v>
      </c>
    </row>
    <row r="164" spans="2:14" x14ac:dyDescent="0.25">
      <c r="B164" s="27" t="s">
        <v>123</v>
      </c>
      <c r="C164" s="28">
        <v>225650</v>
      </c>
      <c r="D164" s="28" t="s">
        <v>1248</v>
      </c>
      <c r="E164" s="27" t="s">
        <v>32</v>
      </c>
      <c r="F164" s="6" t="s">
        <v>1095</v>
      </c>
      <c r="G164" s="28" t="s">
        <v>48</v>
      </c>
      <c r="H164" s="28" t="s">
        <v>129</v>
      </c>
      <c r="I164" s="115">
        <v>449</v>
      </c>
      <c r="J164" s="27"/>
      <c r="K164" s="40"/>
      <c r="L164" s="29" t="s">
        <v>126</v>
      </c>
      <c r="M164" s="29" t="s">
        <v>126</v>
      </c>
      <c r="N164" s="29" t="s">
        <v>126</v>
      </c>
    </row>
    <row r="165" spans="2:14" x14ac:dyDescent="0.25">
      <c r="B165" s="27" t="s">
        <v>123</v>
      </c>
      <c r="C165" s="28">
        <v>225649</v>
      </c>
      <c r="D165" s="28" t="s">
        <v>1249</v>
      </c>
      <c r="E165" s="27" t="s">
        <v>32</v>
      </c>
      <c r="F165" s="6" t="s">
        <v>1095</v>
      </c>
      <c r="G165" s="28" t="s">
        <v>48</v>
      </c>
      <c r="H165" s="28" t="s">
        <v>129</v>
      </c>
      <c r="I165" s="115">
        <v>449</v>
      </c>
      <c r="J165" s="27"/>
      <c r="K165" s="40"/>
      <c r="L165" s="29" t="s">
        <v>126</v>
      </c>
      <c r="M165" s="29" t="s">
        <v>126</v>
      </c>
      <c r="N165" s="29" t="s">
        <v>126</v>
      </c>
    </row>
    <row r="166" spans="2:14" x14ac:dyDescent="0.25">
      <c r="B166" s="27" t="s">
        <v>123</v>
      </c>
      <c r="C166" s="28">
        <v>225651</v>
      </c>
      <c r="D166" s="28" t="s">
        <v>1250</v>
      </c>
      <c r="E166" s="27" t="s">
        <v>32</v>
      </c>
      <c r="F166" s="6" t="s">
        <v>1095</v>
      </c>
      <c r="G166" s="28" t="s">
        <v>48</v>
      </c>
      <c r="H166" s="28" t="s">
        <v>129</v>
      </c>
      <c r="I166" s="115">
        <v>449</v>
      </c>
      <c r="J166" s="27"/>
      <c r="K166" s="40"/>
      <c r="L166" s="29" t="s">
        <v>126</v>
      </c>
      <c r="M166" s="29" t="s">
        <v>126</v>
      </c>
      <c r="N166" s="29" t="s">
        <v>126</v>
      </c>
    </row>
    <row r="167" spans="2:14" x14ac:dyDescent="0.25">
      <c r="B167" s="27" t="s">
        <v>123</v>
      </c>
      <c r="C167" s="28">
        <v>89536</v>
      </c>
      <c r="D167" s="28" t="s">
        <v>1251</v>
      </c>
      <c r="E167" s="27" t="s">
        <v>32</v>
      </c>
      <c r="F167" s="6" t="s">
        <v>1095</v>
      </c>
      <c r="G167" s="28" t="s">
        <v>48</v>
      </c>
      <c r="H167" s="28" t="s">
        <v>129</v>
      </c>
      <c r="I167" s="115">
        <v>449</v>
      </c>
      <c r="J167" s="27"/>
      <c r="K167" s="40"/>
      <c r="L167" s="29" t="s">
        <v>126</v>
      </c>
      <c r="M167" s="29" t="s">
        <v>126</v>
      </c>
      <c r="N167" s="29" t="s">
        <v>126</v>
      </c>
    </row>
    <row r="168" spans="2:14" x14ac:dyDescent="0.25">
      <c r="B168" s="27" t="s">
        <v>123</v>
      </c>
      <c r="C168" s="28">
        <v>424783</v>
      </c>
      <c r="D168" s="28" t="s">
        <v>1252</v>
      </c>
      <c r="E168" s="27" t="s">
        <v>32</v>
      </c>
      <c r="F168" s="6" t="s">
        <v>1095</v>
      </c>
      <c r="G168" s="28" t="s">
        <v>48</v>
      </c>
      <c r="H168" s="28" t="s">
        <v>129</v>
      </c>
      <c r="I168" s="115">
        <v>449</v>
      </c>
      <c r="J168" s="27"/>
      <c r="K168" s="40"/>
      <c r="L168" s="29" t="s">
        <v>126</v>
      </c>
      <c r="M168" s="29" t="s">
        <v>126</v>
      </c>
      <c r="N168" s="29" t="s">
        <v>126</v>
      </c>
    </row>
    <row r="169" spans="2:14" x14ac:dyDescent="0.25">
      <c r="B169" s="27" t="s">
        <v>123</v>
      </c>
      <c r="C169" s="28">
        <v>576205</v>
      </c>
      <c r="D169" s="28" t="s">
        <v>1253</v>
      </c>
      <c r="E169" s="27" t="s">
        <v>32</v>
      </c>
      <c r="F169" s="6" t="s">
        <v>1095</v>
      </c>
      <c r="G169" s="28" t="s">
        <v>48</v>
      </c>
      <c r="H169" s="28" t="s">
        <v>129</v>
      </c>
      <c r="I169" s="115">
        <v>449</v>
      </c>
      <c r="J169" s="27"/>
      <c r="K169" s="40"/>
      <c r="L169" s="29" t="s">
        <v>126</v>
      </c>
      <c r="M169" s="29" t="s">
        <v>126</v>
      </c>
      <c r="N169" s="29" t="s">
        <v>126</v>
      </c>
    </row>
    <row r="170" spans="2:14" x14ac:dyDescent="0.25">
      <c r="B170" s="27" t="s">
        <v>123</v>
      </c>
      <c r="C170" s="28">
        <v>576203</v>
      </c>
      <c r="D170" s="28" t="s">
        <v>1254</v>
      </c>
      <c r="E170" s="27" t="s">
        <v>32</v>
      </c>
      <c r="F170" s="6" t="s">
        <v>1095</v>
      </c>
      <c r="G170" s="28" t="s">
        <v>48</v>
      </c>
      <c r="H170" s="28" t="s">
        <v>129</v>
      </c>
      <c r="I170" s="115">
        <v>449</v>
      </c>
      <c r="J170" s="27"/>
      <c r="K170" s="40"/>
      <c r="L170" s="29" t="s">
        <v>126</v>
      </c>
      <c r="M170" s="29" t="s">
        <v>126</v>
      </c>
      <c r="N170" s="29" t="s">
        <v>126</v>
      </c>
    </row>
    <row r="171" spans="2:14" x14ac:dyDescent="0.25">
      <c r="B171" s="27" t="s">
        <v>123</v>
      </c>
      <c r="C171" s="28">
        <v>331696</v>
      </c>
      <c r="D171" s="28" t="s">
        <v>1255</v>
      </c>
      <c r="E171" s="27" t="s">
        <v>32</v>
      </c>
      <c r="F171" s="6" t="s">
        <v>1095</v>
      </c>
      <c r="G171" s="28" t="s">
        <v>48</v>
      </c>
      <c r="H171" s="28" t="s">
        <v>129</v>
      </c>
      <c r="I171" s="115">
        <v>3495</v>
      </c>
      <c r="J171" s="27"/>
      <c r="K171" s="40"/>
      <c r="L171" s="29" t="s">
        <v>126</v>
      </c>
      <c r="M171" s="29" t="s">
        <v>126</v>
      </c>
      <c r="N171" s="29" t="s">
        <v>126</v>
      </c>
    </row>
    <row r="172" spans="2:14" x14ac:dyDescent="0.25">
      <c r="B172" s="27" t="s">
        <v>123</v>
      </c>
      <c r="C172" s="28">
        <v>419319</v>
      </c>
      <c r="D172" s="28" t="s">
        <v>1256</v>
      </c>
      <c r="E172" s="27" t="s">
        <v>32</v>
      </c>
      <c r="F172" s="6" t="s">
        <v>1095</v>
      </c>
      <c r="G172" s="28" t="s">
        <v>48</v>
      </c>
      <c r="H172" s="28" t="s">
        <v>129</v>
      </c>
      <c r="I172" s="115">
        <v>1990</v>
      </c>
      <c r="J172" s="27"/>
      <c r="K172" s="40"/>
      <c r="L172" s="29" t="s">
        <v>126</v>
      </c>
      <c r="M172" s="29" t="s">
        <v>126</v>
      </c>
      <c r="N172" s="29" t="s">
        <v>126</v>
      </c>
    </row>
    <row r="173" spans="2:14" x14ac:dyDescent="0.25">
      <c r="B173" s="27" t="s">
        <v>123</v>
      </c>
      <c r="C173" s="28">
        <v>583079</v>
      </c>
      <c r="D173" s="28" t="s">
        <v>1257</v>
      </c>
      <c r="E173" s="27" t="s">
        <v>32</v>
      </c>
      <c r="F173" s="6" t="s">
        <v>1095</v>
      </c>
      <c r="G173" s="28" t="s">
        <v>48</v>
      </c>
      <c r="H173" s="28" t="s">
        <v>129</v>
      </c>
      <c r="I173" s="115">
        <v>214</v>
      </c>
      <c r="J173" s="27"/>
      <c r="K173" s="40"/>
      <c r="L173" s="29" t="s">
        <v>126</v>
      </c>
      <c r="M173" s="29" t="s">
        <v>126</v>
      </c>
      <c r="N173" s="29" t="s">
        <v>126</v>
      </c>
    </row>
    <row r="174" spans="2:14" x14ac:dyDescent="0.25">
      <c r="B174" s="27" t="s">
        <v>123</v>
      </c>
      <c r="C174" s="28">
        <v>316349</v>
      </c>
      <c r="D174" s="28" t="s">
        <v>1258</v>
      </c>
      <c r="E174" s="27" t="s">
        <v>32</v>
      </c>
      <c r="F174" s="6" t="s">
        <v>1095</v>
      </c>
      <c r="G174" s="28" t="s">
        <v>48</v>
      </c>
      <c r="H174" s="28" t="s">
        <v>129</v>
      </c>
      <c r="I174" s="115">
        <v>149</v>
      </c>
      <c r="J174" s="27"/>
      <c r="K174" s="40"/>
      <c r="L174" s="29" t="s">
        <v>126</v>
      </c>
      <c r="M174" s="29" t="s">
        <v>126</v>
      </c>
      <c r="N174" s="29" t="s">
        <v>126</v>
      </c>
    </row>
    <row r="175" spans="2:14" x14ac:dyDescent="0.25">
      <c r="B175" s="27" t="s">
        <v>123</v>
      </c>
      <c r="C175" s="28">
        <v>499085</v>
      </c>
      <c r="D175" s="28" t="s">
        <v>1259</v>
      </c>
      <c r="E175" s="27" t="s">
        <v>32</v>
      </c>
      <c r="F175" s="6" t="s">
        <v>1095</v>
      </c>
      <c r="G175" s="28" t="s">
        <v>48</v>
      </c>
      <c r="H175" s="28" t="s">
        <v>129</v>
      </c>
      <c r="I175" s="115">
        <v>149</v>
      </c>
      <c r="J175" s="27"/>
      <c r="K175" s="40"/>
      <c r="L175" s="29" t="s">
        <v>126</v>
      </c>
      <c r="M175" s="29" t="s">
        <v>126</v>
      </c>
      <c r="N175" s="29" t="s">
        <v>126</v>
      </c>
    </row>
    <row r="176" spans="2:14" x14ac:dyDescent="0.25">
      <c r="B176" s="27" t="s">
        <v>123</v>
      </c>
      <c r="C176" s="28">
        <v>499156</v>
      </c>
      <c r="D176" s="28" t="s">
        <v>1260</v>
      </c>
      <c r="E176" s="27" t="s">
        <v>32</v>
      </c>
      <c r="F176" s="6" t="s">
        <v>1095</v>
      </c>
      <c r="G176" s="28" t="s">
        <v>48</v>
      </c>
      <c r="H176" s="28" t="s">
        <v>129</v>
      </c>
      <c r="I176" s="115">
        <v>234</v>
      </c>
      <c r="J176" s="27"/>
      <c r="K176" s="40"/>
      <c r="L176" s="29" t="s">
        <v>126</v>
      </c>
      <c r="M176" s="29" t="s">
        <v>126</v>
      </c>
      <c r="N176" s="29" t="s">
        <v>126</v>
      </c>
    </row>
    <row r="177" spans="2:14" x14ac:dyDescent="0.25">
      <c r="B177" s="27" t="s">
        <v>123</v>
      </c>
      <c r="C177" s="28">
        <v>526307</v>
      </c>
      <c r="D177" s="28" t="s">
        <v>1261</v>
      </c>
      <c r="E177" s="27" t="s">
        <v>32</v>
      </c>
      <c r="F177" s="6" t="s">
        <v>1095</v>
      </c>
      <c r="G177" s="28" t="s">
        <v>48</v>
      </c>
      <c r="H177" s="28" t="s">
        <v>129</v>
      </c>
      <c r="I177" s="115">
        <v>169</v>
      </c>
      <c r="J177" s="27"/>
      <c r="K177" s="40"/>
      <c r="L177" s="29" t="s">
        <v>126</v>
      </c>
      <c r="M177" s="29" t="s">
        <v>126</v>
      </c>
      <c r="N177" s="29" t="s">
        <v>126</v>
      </c>
    </row>
    <row r="178" spans="2:14" x14ac:dyDescent="0.25">
      <c r="B178" s="27" t="s">
        <v>123</v>
      </c>
      <c r="C178" s="28">
        <v>499154</v>
      </c>
      <c r="D178" s="28" t="s">
        <v>1262</v>
      </c>
      <c r="E178" s="27" t="s">
        <v>32</v>
      </c>
      <c r="F178" s="6" t="s">
        <v>1095</v>
      </c>
      <c r="G178" s="28" t="s">
        <v>48</v>
      </c>
      <c r="H178" s="28" t="s">
        <v>129</v>
      </c>
      <c r="I178" s="115">
        <v>394</v>
      </c>
      <c r="J178" s="27"/>
      <c r="K178" s="40"/>
      <c r="L178" s="29" t="s">
        <v>126</v>
      </c>
      <c r="M178" s="29" t="s">
        <v>126</v>
      </c>
      <c r="N178" s="29" t="s">
        <v>126</v>
      </c>
    </row>
    <row r="179" spans="2:14" x14ac:dyDescent="0.25">
      <c r="B179" s="27" t="s">
        <v>123</v>
      </c>
      <c r="C179" s="28">
        <v>499155</v>
      </c>
      <c r="D179" s="28" t="s">
        <v>1263</v>
      </c>
      <c r="E179" s="27" t="s">
        <v>32</v>
      </c>
      <c r="F179" s="6" t="s">
        <v>1095</v>
      </c>
      <c r="G179" s="28" t="s">
        <v>48</v>
      </c>
      <c r="H179" s="28" t="s">
        <v>129</v>
      </c>
      <c r="I179" s="115">
        <v>344</v>
      </c>
      <c r="J179" s="27"/>
      <c r="K179" s="40"/>
      <c r="L179" s="29" t="s">
        <v>126</v>
      </c>
      <c r="M179" s="29" t="s">
        <v>126</v>
      </c>
      <c r="N179" s="29" t="s">
        <v>126</v>
      </c>
    </row>
    <row r="180" spans="2:14" x14ac:dyDescent="0.25">
      <c r="B180" s="27" t="s">
        <v>123</v>
      </c>
      <c r="C180" s="28">
        <v>541621</v>
      </c>
      <c r="D180" s="28" t="s">
        <v>1264</v>
      </c>
      <c r="E180" s="27" t="s">
        <v>32</v>
      </c>
      <c r="F180" s="6" t="s">
        <v>1095</v>
      </c>
      <c r="G180" s="28" t="s">
        <v>48</v>
      </c>
      <c r="H180" s="28" t="s">
        <v>129</v>
      </c>
      <c r="I180" s="115">
        <v>144</v>
      </c>
      <c r="J180" s="27"/>
      <c r="K180" s="40"/>
      <c r="L180" s="29" t="s">
        <v>126</v>
      </c>
      <c r="M180" s="29" t="s">
        <v>126</v>
      </c>
      <c r="N180" s="29" t="s">
        <v>126</v>
      </c>
    </row>
    <row r="181" spans="2:14" x14ac:dyDescent="0.25">
      <c r="B181" s="27" t="s">
        <v>123</v>
      </c>
      <c r="C181" s="28">
        <v>541623</v>
      </c>
      <c r="D181" s="28" t="s">
        <v>1265</v>
      </c>
      <c r="E181" s="27" t="s">
        <v>32</v>
      </c>
      <c r="F181" s="6" t="s">
        <v>1095</v>
      </c>
      <c r="G181" s="28" t="s">
        <v>48</v>
      </c>
      <c r="H181" s="28" t="s">
        <v>129</v>
      </c>
      <c r="I181" s="115">
        <v>144</v>
      </c>
      <c r="J181" s="27"/>
      <c r="K181" s="40"/>
      <c r="L181" s="29" t="s">
        <v>126</v>
      </c>
      <c r="M181" s="29" t="s">
        <v>126</v>
      </c>
      <c r="N181" s="29" t="s">
        <v>126</v>
      </c>
    </row>
    <row r="182" spans="2:14" x14ac:dyDescent="0.25">
      <c r="B182" s="27" t="s">
        <v>123</v>
      </c>
      <c r="C182" s="28">
        <v>541622</v>
      </c>
      <c r="D182" s="28" t="s">
        <v>1266</v>
      </c>
      <c r="E182" s="27" t="s">
        <v>32</v>
      </c>
      <c r="F182" s="6" t="s">
        <v>1095</v>
      </c>
      <c r="G182" s="28" t="s">
        <v>48</v>
      </c>
      <c r="H182" s="28" t="s">
        <v>129</v>
      </c>
      <c r="I182" s="115">
        <v>144</v>
      </c>
      <c r="J182" s="27"/>
      <c r="K182" s="40"/>
      <c r="L182" s="29" t="s">
        <v>126</v>
      </c>
      <c r="M182" s="29" t="s">
        <v>126</v>
      </c>
      <c r="N182" s="29" t="s">
        <v>126</v>
      </c>
    </row>
    <row r="183" spans="2:14" x14ac:dyDescent="0.25">
      <c r="B183" s="27" t="s">
        <v>123</v>
      </c>
      <c r="C183" s="28">
        <v>541620</v>
      </c>
      <c r="D183" s="28" t="s">
        <v>1267</v>
      </c>
      <c r="E183" s="27" t="s">
        <v>32</v>
      </c>
      <c r="F183" s="6" t="s">
        <v>1095</v>
      </c>
      <c r="G183" s="28" t="s">
        <v>48</v>
      </c>
      <c r="H183" s="28" t="s">
        <v>129</v>
      </c>
      <c r="I183" s="115">
        <v>144</v>
      </c>
      <c r="J183" s="27"/>
      <c r="K183" s="40"/>
      <c r="L183" s="29" t="s">
        <v>126</v>
      </c>
      <c r="M183" s="29" t="s">
        <v>126</v>
      </c>
      <c r="N183" s="29" t="s">
        <v>126</v>
      </c>
    </row>
    <row r="184" spans="2:14" x14ac:dyDescent="0.25">
      <c r="B184" s="27" t="s">
        <v>123</v>
      </c>
      <c r="C184" s="28">
        <v>541619</v>
      </c>
      <c r="D184" s="28" t="s">
        <v>1268</v>
      </c>
      <c r="E184" s="27" t="s">
        <v>32</v>
      </c>
      <c r="F184" s="6" t="s">
        <v>1095</v>
      </c>
      <c r="G184" s="28" t="s">
        <v>48</v>
      </c>
      <c r="H184" s="28" t="s">
        <v>129</v>
      </c>
      <c r="I184" s="115">
        <v>144</v>
      </c>
      <c r="J184" s="27"/>
      <c r="K184" s="40"/>
      <c r="L184" s="29" t="s">
        <v>126</v>
      </c>
      <c r="M184" s="29" t="s">
        <v>126</v>
      </c>
      <c r="N184" s="29" t="s">
        <v>126</v>
      </c>
    </row>
    <row r="185" spans="2:14" x14ac:dyDescent="0.25">
      <c r="B185" s="27" t="s">
        <v>123</v>
      </c>
      <c r="C185" s="28">
        <v>541624</v>
      </c>
      <c r="D185" s="28" t="s">
        <v>1269</v>
      </c>
      <c r="E185" s="27" t="s">
        <v>32</v>
      </c>
      <c r="F185" s="6" t="s">
        <v>1095</v>
      </c>
      <c r="G185" s="28" t="s">
        <v>48</v>
      </c>
      <c r="H185" s="28" t="s">
        <v>129</v>
      </c>
      <c r="I185" s="115">
        <v>144</v>
      </c>
      <c r="J185" s="27"/>
      <c r="K185" s="40"/>
      <c r="L185" s="29" t="s">
        <v>126</v>
      </c>
      <c r="M185" s="29" t="s">
        <v>126</v>
      </c>
      <c r="N185" s="29" t="s">
        <v>126</v>
      </c>
    </row>
    <row r="186" spans="2:14" x14ac:dyDescent="0.25">
      <c r="B186" s="27" t="s">
        <v>123</v>
      </c>
      <c r="C186" s="28">
        <v>585541</v>
      </c>
      <c r="D186" s="28" t="s">
        <v>1270</v>
      </c>
      <c r="E186" s="27" t="s">
        <v>32</v>
      </c>
      <c r="F186" s="6" t="s">
        <v>1095</v>
      </c>
      <c r="G186" s="28" t="s">
        <v>48</v>
      </c>
      <c r="H186" s="28" t="s">
        <v>129</v>
      </c>
      <c r="I186" s="115">
        <v>219</v>
      </c>
      <c r="J186" s="27"/>
      <c r="K186" s="40"/>
      <c r="L186" s="29" t="s">
        <v>126</v>
      </c>
      <c r="M186" s="29" t="s">
        <v>126</v>
      </c>
      <c r="N186" s="29" t="s">
        <v>126</v>
      </c>
    </row>
    <row r="187" spans="2:14" x14ac:dyDescent="0.25">
      <c r="B187" s="27" t="s">
        <v>123</v>
      </c>
      <c r="C187" s="28">
        <v>494947</v>
      </c>
      <c r="D187" s="28" t="s">
        <v>1271</v>
      </c>
      <c r="E187" s="27" t="s">
        <v>32</v>
      </c>
      <c r="F187" s="6" t="s">
        <v>1095</v>
      </c>
      <c r="G187" s="28" t="s">
        <v>48</v>
      </c>
      <c r="H187" s="28" t="s">
        <v>129</v>
      </c>
      <c r="I187" s="115">
        <v>129</v>
      </c>
      <c r="J187" s="27"/>
      <c r="K187" s="40"/>
      <c r="L187" s="29" t="s">
        <v>126</v>
      </c>
      <c r="M187" s="29" t="s">
        <v>126</v>
      </c>
      <c r="N187" s="29" t="s">
        <v>126</v>
      </c>
    </row>
    <row r="188" spans="2:14" x14ac:dyDescent="0.25">
      <c r="B188" s="27" t="s">
        <v>123</v>
      </c>
      <c r="C188" s="28">
        <v>469196</v>
      </c>
      <c r="D188" s="28" t="s">
        <v>1272</v>
      </c>
      <c r="E188" s="27" t="s">
        <v>32</v>
      </c>
      <c r="F188" s="6" t="s">
        <v>1095</v>
      </c>
      <c r="G188" s="28" t="s">
        <v>48</v>
      </c>
      <c r="H188" s="28" t="s">
        <v>129</v>
      </c>
      <c r="I188" s="115">
        <v>399</v>
      </c>
      <c r="J188" s="27"/>
      <c r="K188" s="40"/>
      <c r="L188" s="29" t="s">
        <v>126</v>
      </c>
      <c r="M188" s="29" t="s">
        <v>126</v>
      </c>
      <c r="N188" s="29" t="s">
        <v>126</v>
      </c>
    </row>
    <row r="189" spans="2:14" x14ac:dyDescent="0.25">
      <c r="B189" s="27" t="s">
        <v>123</v>
      </c>
      <c r="C189" s="28">
        <v>564928</v>
      </c>
      <c r="D189" s="28" t="s">
        <v>1273</v>
      </c>
      <c r="E189" s="27" t="s">
        <v>32</v>
      </c>
      <c r="F189" s="6" t="s">
        <v>1095</v>
      </c>
      <c r="G189" s="28" t="s">
        <v>48</v>
      </c>
      <c r="H189" s="28" t="s">
        <v>129</v>
      </c>
      <c r="I189" s="115">
        <v>379</v>
      </c>
      <c r="J189" s="27"/>
      <c r="K189" s="40"/>
      <c r="L189" s="29" t="s">
        <v>126</v>
      </c>
      <c r="M189" s="29" t="s">
        <v>126</v>
      </c>
      <c r="N189" s="29" t="s">
        <v>126</v>
      </c>
    </row>
    <row r="190" spans="2:14" x14ac:dyDescent="0.25">
      <c r="B190" s="27" t="s">
        <v>123</v>
      </c>
      <c r="C190" s="28">
        <v>581600</v>
      </c>
      <c r="D190" s="28" t="s">
        <v>1274</v>
      </c>
      <c r="E190" s="27" t="s">
        <v>32</v>
      </c>
      <c r="F190" s="6" t="s">
        <v>1095</v>
      </c>
      <c r="G190" s="28" t="s">
        <v>48</v>
      </c>
      <c r="H190" s="28" t="s">
        <v>129</v>
      </c>
      <c r="I190" s="115">
        <v>324</v>
      </c>
      <c r="J190" s="27"/>
      <c r="K190" s="40"/>
      <c r="L190" s="29" t="s">
        <v>126</v>
      </c>
      <c r="M190" s="29" t="s">
        <v>126</v>
      </c>
      <c r="N190" s="29" t="s">
        <v>126</v>
      </c>
    </row>
    <row r="191" spans="2:14" x14ac:dyDescent="0.25">
      <c r="B191" s="27" t="s">
        <v>123</v>
      </c>
      <c r="C191" s="28">
        <v>511837</v>
      </c>
      <c r="D191" s="28" t="s">
        <v>1275</v>
      </c>
      <c r="E191" s="27" t="s">
        <v>32</v>
      </c>
      <c r="F191" s="6" t="s">
        <v>1095</v>
      </c>
      <c r="G191" s="28" t="s">
        <v>48</v>
      </c>
      <c r="H191" s="28" t="s">
        <v>129</v>
      </c>
      <c r="I191" s="115">
        <v>124</v>
      </c>
      <c r="J191" s="27"/>
      <c r="K191" s="40"/>
      <c r="L191" s="29" t="s">
        <v>126</v>
      </c>
      <c r="M191" s="29" t="s">
        <v>126</v>
      </c>
      <c r="N191" s="29" t="s">
        <v>126</v>
      </c>
    </row>
    <row r="192" spans="2:14" x14ac:dyDescent="0.25">
      <c r="B192" s="27" t="s">
        <v>123</v>
      </c>
      <c r="C192" s="28">
        <v>569921</v>
      </c>
      <c r="D192" s="28" t="s">
        <v>1276</v>
      </c>
      <c r="E192" s="27" t="s">
        <v>32</v>
      </c>
      <c r="F192" s="6" t="s">
        <v>1095</v>
      </c>
      <c r="G192" s="28" t="s">
        <v>48</v>
      </c>
      <c r="H192" s="28" t="s">
        <v>129</v>
      </c>
      <c r="I192" s="115">
        <v>259</v>
      </c>
      <c r="J192" s="27"/>
      <c r="K192" s="40"/>
      <c r="L192" s="29" t="s">
        <v>126</v>
      </c>
      <c r="M192" s="29" t="s">
        <v>126</v>
      </c>
      <c r="N192" s="29" t="s">
        <v>126</v>
      </c>
    </row>
    <row r="193" spans="2:14" x14ac:dyDescent="0.25">
      <c r="B193" s="27" t="s">
        <v>123</v>
      </c>
      <c r="C193" s="28">
        <v>537198</v>
      </c>
      <c r="D193" s="28" t="s">
        <v>1277</v>
      </c>
      <c r="E193" s="27" t="s">
        <v>32</v>
      </c>
      <c r="F193" s="6" t="s">
        <v>1095</v>
      </c>
      <c r="G193" s="28" t="s">
        <v>48</v>
      </c>
      <c r="H193" s="28" t="s">
        <v>129</v>
      </c>
      <c r="I193" s="115">
        <v>824</v>
      </c>
      <c r="J193" s="27"/>
      <c r="K193" s="40"/>
      <c r="L193" s="29" t="s">
        <v>126</v>
      </c>
      <c r="M193" s="29" t="s">
        <v>126</v>
      </c>
      <c r="N193" s="29" t="s">
        <v>126</v>
      </c>
    </row>
    <row r="194" spans="2:14" x14ac:dyDescent="0.25">
      <c r="B194" s="27" t="s">
        <v>123</v>
      </c>
      <c r="C194" s="28">
        <v>524117</v>
      </c>
      <c r="D194" s="28" t="s">
        <v>1278</v>
      </c>
      <c r="E194" s="27" t="s">
        <v>32</v>
      </c>
      <c r="F194" s="6" t="s">
        <v>1095</v>
      </c>
      <c r="G194" s="28" t="s">
        <v>48</v>
      </c>
      <c r="H194" s="28" t="s">
        <v>129</v>
      </c>
      <c r="I194" s="115">
        <v>79</v>
      </c>
      <c r="J194" s="27"/>
      <c r="K194" s="40"/>
      <c r="L194" s="29" t="s">
        <v>126</v>
      </c>
      <c r="M194" s="29" t="s">
        <v>126</v>
      </c>
      <c r="N194" s="29" t="s">
        <v>126</v>
      </c>
    </row>
    <row r="195" spans="2:14" x14ac:dyDescent="0.25">
      <c r="B195" s="27" t="s">
        <v>123</v>
      </c>
      <c r="C195" s="28">
        <v>491669</v>
      </c>
      <c r="D195" s="28" t="s">
        <v>1279</v>
      </c>
      <c r="E195" s="27" t="s">
        <v>32</v>
      </c>
      <c r="F195" s="6" t="s">
        <v>1095</v>
      </c>
      <c r="G195" s="28" t="s">
        <v>48</v>
      </c>
      <c r="H195" s="28" t="s">
        <v>129</v>
      </c>
      <c r="I195" s="115">
        <v>369</v>
      </c>
      <c r="J195" s="27"/>
      <c r="K195" s="40"/>
      <c r="L195" s="29" t="s">
        <v>126</v>
      </c>
      <c r="M195" s="29" t="s">
        <v>126</v>
      </c>
      <c r="N195" s="29" t="s">
        <v>126</v>
      </c>
    </row>
    <row r="196" spans="2:14" x14ac:dyDescent="0.25">
      <c r="B196" s="27" t="s">
        <v>123</v>
      </c>
      <c r="C196" s="28">
        <v>305233</v>
      </c>
      <c r="D196" s="28" t="s">
        <v>1280</v>
      </c>
      <c r="E196" s="27" t="s">
        <v>32</v>
      </c>
      <c r="F196" s="6" t="s">
        <v>1095</v>
      </c>
      <c r="G196" s="28" t="s">
        <v>48</v>
      </c>
      <c r="H196" s="28" t="s">
        <v>129</v>
      </c>
      <c r="I196" s="115">
        <v>319</v>
      </c>
      <c r="J196" s="27"/>
      <c r="K196" s="40"/>
      <c r="L196" s="29" t="s">
        <v>126</v>
      </c>
      <c r="M196" s="29" t="s">
        <v>126</v>
      </c>
      <c r="N196" s="29" t="s">
        <v>126</v>
      </c>
    </row>
    <row r="197" spans="2:14" x14ac:dyDescent="0.25">
      <c r="B197" s="27" t="s">
        <v>123</v>
      </c>
      <c r="C197" s="28">
        <v>105316</v>
      </c>
      <c r="D197" s="28" t="s">
        <v>1281</v>
      </c>
      <c r="E197" s="27" t="s">
        <v>32</v>
      </c>
      <c r="F197" s="6" t="s">
        <v>1095</v>
      </c>
      <c r="G197" s="28" t="s">
        <v>48</v>
      </c>
      <c r="H197" s="28" t="s">
        <v>129</v>
      </c>
      <c r="I197" s="115">
        <v>94</v>
      </c>
      <c r="J197" s="27"/>
      <c r="K197" s="40"/>
      <c r="L197" s="29" t="s">
        <v>126</v>
      </c>
      <c r="M197" s="29" t="s">
        <v>126</v>
      </c>
      <c r="N197" s="29" t="s">
        <v>126</v>
      </c>
    </row>
    <row r="198" spans="2:14" x14ac:dyDescent="0.25">
      <c r="B198" s="27" t="s">
        <v>123</v>
      </c>
      <c r="C198" s="28">
        <v>105335</v>
      </c>
      <c r="D198" s="28" t="s">
        <v>1282</v>
      </c>
      <c r="E198" s="27" t="s">
        <v>32</v>
      </c>
      <c r="F198" s="6" t="s">
        <v>1095</v>
      </c>
      <c r="G198" s="28" t="s">
        <v>48</v>
      </c>
      <c r="H198" s="28" t="s">
        <v>129</v>
      </c>
      <c r="I198" s="115">
        <v>94</v>
      </c>
      <c r="J198" s="27"/>
      <c r="K198" s="40"/>
      <c r="L198" s="29" t="s">
        <v>126</v>
      </c>
      <c r="M198" s="29" t="s">
        <v>126</v>
      </c>
      <c r="N198" s="29" t="s">
        <v>126</v>
      </c>
    </row>
    <row r="199" spans="2:14" x14ac:dyDescent="0.25">
      <c r="B199" s="27" t="s">
        <v>123</v>
      </c>
      <c r="C199" s="28">
        <v>301260</v>
      </c>
      <c r="D199" s="28" t="s">
        <v>1283</v>
      </c>
      <c r="E199" s="27" t="s">
        <v>32</v>
      </c>
      <c r="F199" s="6" t="s">
        <v>1095</v>
      </c>
      <c r="G199" s="28" t="s">
        <v>48</v>
      </c>
      <c r="H199" s="28" t="s">
        <v>129</v>
      </c>
      <c r="I199" s="115">
        <v>94</v>
      </c>
      <c r="J199" s="27"/>
      <c r="K199" s="40"/>
      <c r="L199" s="29" t="s">
        <v>126</v>
      </c>
      <c r="M199" s="29" t="s">
        <v>126</v>
      </c>
      <c r="N199" s="29" t="s">
        <v>126</v>
      </c>
    </row>
    <row r="200" spans="2:14" x14ac:dyDescent="0.25">
      <c r="B200" s="27" t="s">
        <v>123</v>
      </c>
      <c r="C200" s="28">
        <v>345024</v>
      </c>
      <c r="D200" s="28" t="s">
        <v>1284</v>
      </c>
      <c r="E200" s="27" t="s">
        <v>32</v>
      </c>
      <c r="F200" s="6" t="s">
        <v>1095</v>
      </c>
      <c r="G200" s="28" t="s">
        <v>48</v>
      </c>
      <c r="H200" s="28" t="s">
        <v>129</v>
      </c>
      <c r="I200" s="115">
        <v>94</v>
      </c>
      <c r="J200" s="27"/>
      <c r="K200" s="40"/>
      <c r="L200" s="29" t="s">
        <v>126</v>
      </c>
      <c r="M200" s="29" t="s">
        <v>126</v>
      </c>
      <c r="N200" s="29" t="s">
        <v>126</v>
      </c>
    </row>
    <row r="201" spans="2:14" x14ac:dyDescent="0.25">
      <c r="B201" s="27" t="s">
        <v>123</v>
      </c>
      <c r="C201" s="28">
        <v>105320</v>
      </c>
      <c r="D201" s="28" t="s">
        <v>1285</v>
      </c>
      <c r="E201" s="27" t="s">
        <v>32</v>
      </c>
      <c r="F201" s="6" t="s">
        <v>1095</v>
      </c>
      <c r="G201" s="28" t="s">
        <v>48</v>
      </c>
      <c r="H201" s="28" t="s">
        <v>129</v>
      </c>
      <c r="I201" s="115">
        <v>94</v>
      </c>
      <c r="J201" s="27"/>
      <c r="K201" s="40"/>
      <c r="L201" s="29" t="s">
        <v>126</v>
      </c>
      <c r="M201" s="29" t="s">
        <v>126</v>
      </c>
      <c r="N201" s="29" t="s">
        <v>126</v>
      </c>
    </row>
    <row r="202" spans="2:14" x14ac:dyDescent="0.25">
      <c r="B202" s="27" t="s">
        <v>123</v>
      </c>
      <c r="C202" s="28">
        <v>105321</v>
      </c>
      <c r="D202" s="28" t="s">
        <v>1286</v>
      </c>
      <c r="E202" s="27" t="s">
        <v>32</v>
      </c>
      <c r="F202" s="6" t="s">
        <v>1095</v>
      </c>
      <c r="G202" s="28" t="s">
        <v>48</v>
      </c>
      <c r="H202" s="28" t="s">
        <v>129</v>
      </c>
      <c r="I202" s="115">
        <v>94</v>
      </c>
      <c r="J202" s="27"/>
      <c r="K202" s="40"/>
      <c r="L202" s="29" t="s">
        <v>126</v>
      </c>
      <c r="M202" s="29" t="s">
        <v>126</v>
      </c>
      <c r="N202" s="29" t="s">
        <v>126</v>
      </c>
    </row>
    <row r="203" spans="2:14" x14ac:dyDescent="0.25">
      <c r="B203" s="27" t="s">
        <v>123</v>
      </c>
      <c r="C203" s="28">
        <v>105323</v>
      </c>
      <c r="D203" s="28" t="s">
        <v>1287</v>
      </c>
      <c r="E203" s="27" t="s">
        <v>32</v>
      </c>
      <c r="F203" s="6" t="s">
        <v>1095</v>
      </c>
      <c r="G203" s="28" t="s">
        <v>48</v>
      </c>
      <c r="H203" s="28" t="s">
        <v>129</v>
      </c>
      <c r="I203" s="115">
        <v>94</v>
      </c>
      <c r="J203" s="27"/>
      <c r="K203" s="40"/>
      <c r="L203" s="29" t="s">
        <v>126</v>
      </c>
      <c r="M203" s="29" t="s">
        <v>126</v>
      </c>
      <c r="N203" s="29" t="s">
        <v>126</v>
      </c>
    </row>
    <row r="204" spans="2:14" x14ac:dyDescent="0.25">
      <c r="B204" s="27" t="s">
        <v>123</v>
      </c>
      <c r="C204" s="28">
        <v>586896</v>
      </c>
      <c r="D204" s="28" t="s">
        <v>1288</v>
      </c>
      <c r="E204" s="27" t="s">
        <v>32</v>
      </c>
      <c r="F204" s="6" t="s">
        <v>1095</v>
      </c>
      <c r="G204" s="28" t="s">
        <v>48</v>
      </c>
      <c r="H204" s="28" t="s">
        <v>129</v>
      </c>
      <c r="I204" s="115">
        <v>89</v>
      </c>
      <c r="J204" s="27"/>
      <c r="K204" s="40"/>
      <c r="L204" s="29" t="s">
        <v>126</v>
      </c>
      <c r="M204" s="29" t="s">
        <v>126</v>
      </c>
      <c r="N204" s="29" t="s">
        <v>126</v>
      </c>
    </row>
    <row r="205" spans="2:14" x14ac:dyDescent="0.25">
      <c r="B205" s="27" t="s">
        <v>123</v>
      </c>
      <c r="C205" s="28">
        <v>586897</v>
      </c>
      <c r="D205" s="28" t="s">
        <v>1289</v>
      </c>
      <c r="E205" s="27" t="s">
        <v>32</v>
      </c>
      <c r="F205" s="6" t="s">
        <v>1095</v>
      </c>
      <c r="G205" s="28" t="s">
        <v>48</v>
      </c>
      <c r="H205" s="28" t="s">
        <v>129</v>
      </c>
      <c r="I205" s="115">
        <v>89</v>
      </c>
      <c r="J205" s="27"/>
      <c r="K205" s="40"/>
      <c r="L205" s="29" t="s">
        <v>126</v>
      </c>
      <c r="M205" s="29" t="s">
        <v>126</v>
      </c>
      <c r="N205" s="29" t="s">
        <v>126</v>
      </c>
    </row>
    <row r="206" spans="2:14" x14ac:dyDescent="0.25">
      <c r="B206" s="27" t="s">
        <v>123</v>
      </c>
      <c r="C206" s="28">
        <v>586898</v>
      </c>
      <c r="D206" s="28" t="s">
        <v>1290</v>
      </c>
      <c r="E206" s="27" t="s">
        <v>32</v>
      </c>
      <c r="F206" s="6" t="s">
        <v>1095</v>
      </c>
      <c r="G206" s="28" t="s">
        <v>48</v>
      </c>
      <c r="H206" s="28" t="s">
        <v>129</v>
      </c>
      <c r="I206" s="115">
        <v>184</v>
      </c>
      <c r="J206" s="27"/>
      <c r="K206" s="40"/>
      <c r="L206" s="29" t="s">
        <v>126</v>
      </c>
      <c r="M206" s="29" t="s">
        <v>126</v>
      </c>
      <c r="N206" s="29" t="s">
        <v>126</v>
      </c>
    </row>
    <row r="207" spans="2:14" x14ac:dyDescent="0.25">
      <c r="B207" s="27" t="s">
        <v>123</v>
      </c>
      <c r="C207" s="28">
        <v>586899</v>
      </c>
      <c r="D207" s="28" t="s">
        <v>1291</v>
      </c>
      <c r="E207" s="27" t="s">
        <v>32</v>
      </c>
      <c r="F207" s="6" t="s">
        <v>1095</v>
      </c>
      <c r="G207" s="28" t="s">
        <v>48</v>
      </c>
      <c r="H207" s="28" t="s">
        <v>129</v>
      </c>
      <c r="I207" s="115">
        <v>184</v>
      </c>
      <c r="J207" s="27"/>
      <c r="K207" s="40"/>
      <c r="L207" s="29" t="s">
        <v>126</v>
      </c>
      <c r="M207" s="29" t="s">
        <v>126</v>
      </c>
      <c r="N207" s="29" t="s">
        <v>126</v>
      </c>
    </row>
    <row r="208" spans="2:14" x14ac:dyDescent="0.25">
      <c r="B208" s="27" t="s">
        <v>123</v>
      </c>
      <c r="C208" s="28">
        <v>301257</v>
      </c>
      <c r="D208" s="28" t="s">
        <v>1292</v>
      </c>
      <c r="E208" s="27" t="s">
        <v>32</v>
      </c>
      <c r="F208" s="6" t="s">
        <v>1095</v>
      </c>
      <c r="G208" s="28" t="s">
        <v>48</v>
      </c>
      <c r="H208" s="28" t="s">
        <v>129</v>
      </c>
      <c r="I208" s="115">
        <v>94</v>
      </c>
      <c r="J208" s="27"/>
      <c r="K208" s="40"/>
      <c r="L208" s="29" t="s">
        <v>126</v>
      </c>
      <c r="M208" s="29" t="s">
        <v>126</v>
      </c>
      <c r="N208" s="29" t="s">
        <v>126</v>
      </c>
    </row>
    <row r="209" spans="2:14" x14ac:dyDescent="0.25">
      <c r="B209" s="27" t="s">
        <v>123</v>
      </c>
      <c r="C209" s="28">
        <v>301258</v>
      </c>
      <c r="D209" s="28" t="s">
        <v>1293</v>
      </c>
      <c r="E209" s="27" t="s">
        <v>32</v>
      </c>
      <c r="F209" s="6" t="s">
        <v>1095</v>
      </c>
      <c r="G209" s="28" t="s">
        <v>48</v>
      </c>
      <c r="H209" s="28" t="s">
        <v>129</v>
      </c>
      <c r="I209" s="115">
        <v>94</v>
      </c>
      <c r="J209" s="27"/>
      <c r="K209" s="40"/>
      <c r="L209" s="29" t="s">
        <v>126</v>
      </c>
      <c r="M209" s="29" t="s">
        <v>126</v>
      </c>
      <c r="N209" s="29" t="s">
        <v>126</v>
      </c>
    </row>
    <row r="210" spans="2:14" x14ac:dyDescent="0.25">
      <c r="B210" s="27" t="s">
        <v>123</v>
      </c>
      <c r="C210" s="28">
        <v>105322</v>
      </c>
      <c r="D210" s="28" t="s">
        <v>1294</v>
      </c>
      <c r="E210" s="27" t="s">
        <v>32</v>
      </c>
      <c r="F210" s="6" t="s">
        <v>1095</v>
      </c>
      <c r="G210" s="28" t="s">
        <v>48</v>
      </c>
      <c r="H210" s="28" t="s">
        <v>129</v>
      </c>
      <c r="I210" s="115">
        <v>94</v>
      </c>
      <c r="J210" s="27"/>
      <c r="K210" s="40"/>
      <c r="L210" s="29" t="s">
        <v>126</v>
      </c>
      <c r="M210" s="29" t="s">
        <v>126</v>
      </c>
      <c r="N210" s="29" t="s">
        <v>126</v>
      </c>
    </row>
    <row r="211" spans="2:14" x14ac:dyDescent="0.25">
      <c r="B211" s="27" t="s">
        <v>123</v>
      </c>
      <c r="C211" s="28">
        <v>301259</v>
      </c>
      <c r="D211" s="28" t="s">
        <v>1295</v>
      </c>
      <c r="E211" s="27" t="s">
        <v>32</v>
      </c>
      <c r="F211" s="6" t="s">
        <v>1095</v>
      </c>
      <c r="G211" s="28" t="s">
        <v>48</v>
      </c>
      <c r="H211" s="28" t="s">
        <v>129</v>
      </c>
      <c r="I211" s="115">
        <v>94</v>
      </c>
      <c r="J211" s="27"/>
      <c r="K211" s="40"/>
      <c r="L211" s="29" t="s">
        <v>126</v>
      </c>
      <c r="M211" s="29" t="s">
        <v>126</v>
      </c>
      <c r="N211" s="29" t="s">
        <v>126</v>
      </c>
    </row>
    <row r="212" spans="2:14" x14ac:dyDescent="0.25">
      <c r="B212" s="27" t="s">
        <v>123</v>
      </c>
      <c r="C212" s="28">
        <v>105330</v>
      </c>
      <c r="D212" s="28" t="s">
        <v>1296</v>
      </c>
      <c r="E212" s="27" t="s">
        <v>32</v>
      </c>
      <c r="F212" s="6" t="s">
        <v>1095</v>
      </c>
      <c r="G212" s="28" t="s">
        <v>48</v>
      </c>
      <c r="H212" s="28" t="s">
        <v>129</v>
      </c>
      <c r="I212" s="115">
        <v>94</v>
      </c>
      <c r="J212" s="27"/>
      <c r="K212" s="40"/>
      <c r="L212" s="29" t="s">
        <v>126</v>
      </c>
      <c r="M212" s="29" t="s">
        <v>126</v>
      </c>
      <c r="N212" s="29" t="s">
        <v>126</v>
      </c>
    </row>
    <row r="213" spans="2:14" x14ac:dyDescent="0.25">
      <c r="B213" s="27" t="s">
        <v>123</v>
      </c>
      <c r="C213" s="28">
        <v>105317</v>
      </c>
      <c r="D213" s="28" t="s">
        <v>1297</v>
      </c>
      <c r="E213" s="27" t="s">
        <v>32</v>
      </c>
      <c r="F213" s="6" t="s">
        <v>1095</v>
      </c>
      <c r="G213" s="28" t="s">
        <v>48</v>
      </c>
      <c r="H213" s="28" t="s">
        <v>129</v>
      </c>
      <c r="I213" s="115">
        <v>94</v>
      </c>
      <c r="J213" s="27"/>
      <c r="K213" s="40"/>
      <c r="L213" s="29" t="s">
        <v>126</v>
      </c>
      <c r="M213" s="29" t="s">
        <v>126</v>
      </c>
      <c r="N213" s="29" t="s">
        <v>126</v>
      </c>
    </row>
    <row r="214" spans="2:14" x14ac:dyDescent="0.25">
      <c r="B214" s="27" t="s">
        <v>123</v>
      </c>
      <c r="C214" s="28">
        <v>105313</v>
      </c>
      <c r="D214" s="28" t="s">
        <v>1298</v>
      </c>
      <c r="E214" s="27" t="s">
        <v>32</v>
      </c>
      <c r="F214" s="6" t="s">
        <v>1095</v>
      </c>
      <c r="G214" s="28" t="s">
        <v>48</v>
      </c>
      <c r="H214" s="28" t="s">
        <v>129</v>
      </c>
      <c r="I214" s="115">
        <v>94</v>
      </c>
      <c r="J214" s="27"/>
      <c r="K214" s="40"/>
      <c r="L214" s="29" t="s">
        <v>126</v>
      </c>
      <c r="M214" s="29" t="s">
        <v>126</v>
      </c>
      <c r="N214" s="29" t="s">
        <v>126</v>
      </c>
    </row>
    <row r="215" spans="2:14" x14ac:dyDescent="0.25">
      <c r="B215" s="27" t="s">
        <v>123</v>
      </c>
      <c r="C215" s="28">
        <v>301255</v>
      </c>
      <c r="D215" s="28" t="s">
        <v>1299</v>
      </c>
      <c r="E215" s="27" t="s">
        <v>32</v>
      </c>
      <c r="F215" s="6" t="s">
        <v>1095</v>
      </c>
      <c r="G215" s="28" t="s">
        <v>48</v>
      </c>
      <c r="H215" s="28" t="s">
        <v>129</v>
      </c>
      <c r="I215" s="115">
        <v>94</v>
      </c>
      <c r="J215" s="27"/>
      <c r="K215" s="40"/>
      <c r="L215" s="29" t="s">
        <v>126</v>
      </c>
      <c r="M215" s="29" t="s">
        <v>126</v>
      </c>
      <c r="N215" s="29" t="s">
        <v>126</v>
      </c>
    </row>
    <row r="216" spans="2:14" x14ac:dyDescent="0.25">
      <c r="B216" s="27" t="s">
        <v>123</v>
      </c>
      <c r="C216" s="28">
        <v>583846</v>
      </c>
      <c r="D216" s="28" t="s">
        <v>1300</v>
      </c>
      <c r="E216" s="27" t="s">
        <v>32</v>
      </c>
      <c r="F216" s="6" t="s">
        <v>1095</v>
      </c>
      <c r="G216" s="28" t="s">
        <v>48</v>
      </c>
      <c r="H216" s="28" t="s">
        <v>129</v>
      </c>
      <c r="I216" s="115">
        <v>394</v>
      </c>
      <c r="J216" s="27"/>
      <c r="K216" s="40"/>
      <c r="L216" s="29" t="s">
        <v>126</v>
      </c>
      <c r="M216" s="29" t="s">
        <v>126</v>
      </c>
      <c r="N216" s="29" t="s">
        <v>126</v>
      </c>
    </row>
    <row r="217" spans="2:14" x14ac:dyDescent="0.25">
      <c r="B217" s="27" t="s">
        <v>123</v>
      </c>
      <c r="C217" s="28">
        <v>583847</v>
      </c>
      <c r="D217" s="28" t="s">
        <v>1301</v>
      </c>
      <c r="E217" s="27" t="s">
        <v>32</v>
      </c>
      <c r="F217" s="6" t="s">
        <v>1095</v>
      </c>
      <c r="G217" s="28" t="s">
        <v>48</v>
      </c>
      <c r="H217" s="28" t="s">
        <v>129</v>
      </c>
      <c r="I217" s="115">
        <v>399</v>
      </c>
      <c r="J217" s="27"/>
      <c r="K217" s="40"/>
      <c r="L217" s="29" t="s">
        <v>126</v>
      </c>
      <c r="M217" s="29" t="s">
        <v>126</v>
      </c>
      <c r="N217" s="29" t="s">
        <v>126</v>
      </c>
    </row>
    <row r="218" spans="2:14" x14ac:dyDescent="0.25">
      <c r="B218" s="27" t="s">
        <v>123</v>
      </c>
      <c r="C218" s="28">
        <v>583854</v>
      </c>
      <c r="D218" s="28" t="s">
        <v>1302</v>
      </c>
      <c r="E218" s="27" t="s">
        <v>32</v>
      </c>
      <c r="F218" s="6" t="s">
        <v>1095</v>
      </c>
      <c r="G218" s="28" t="s">
        <v>48</v>
      </c>
      <c r="H218" s="28" t="s">
        <v>129</v>
      </c>
      <c r="I218" s="115">
        <v>239</v>
      </c>
      <c r="J218" s="27"/>
      <c r="K218" s="40"/>
      <c r="L218" s="29" t="s">
        <v>126</v>
      </c>
      <c r="M218" s="29" t="s">
        <v>126</v>
      </c>
      <c r="N218" s="29" t="s">
        <v>126</v>
      </c>
    </row>
    <row r="219" spans="2:14" x14ac:dyDescent="0.25">
      <c r="B219" s="27" t="s">
        <v>123</v>
      </c>
      <c r="C219" s="28">
        <v>583852</v>
      </c>
      <c r="D219" s="28" t="s">
        <v>1303</v>
      </c>
      <c r="E219" s="27" t="s">
        <v>32</v>
      </c>
      <c r="F219" s="6" t="s">
        <v>1095</v>
      </c>
      <c r="G219" s="28" t="s">
        <v>48</v>
      </c>
      <c r="H219" s="28" t="s">
        <v>129</v>
      </c>
      <c r="I219" s="115">
        <v>549</v>
      </c>
      <c r="J219" s="27"/>
      <c r="K219" s="40"/>
      <c r="L219" s="29" t="s">
        <v>126</v>
      </c>
      <c r="M219" s="29" t="s">
        <v>126</v>
      </c>
      <c r="N219" s="29" t="s">
        <v>126</v>
      </c>
    </row>
    <row r="220" spans="2:14" x14ac:dyDescent="0.25">
      <c r="B220" s="27" t="s">
        <v>123</v>
      </c>
      <c r="C220" s="28">
        <v>595361</v>
      </c>
      <c r="D220" s="28" t="s">
        <v>1304</v>
      </c>
      <c r="E220" s="27" t="s">
        <v>32</v>
      </c>
      <c r="F220" s="6" t="s">
        <v>1095</v>
      </c>
      <c r="G220" s="28" t="s">
        <v>48</v>
      </c>
      <c r="H220" s="28" t="s">
        <v>129</v>
      </c>
      <c r="I220" s="115">
        <v>139</v>
      </c>
      <c r="J220" s="27"/>
      <c r="K220" s="40"/>
      <c r="L220" s="29" t="s">
        <v>126</v>
      </c>
      <c r="M220" s="29" t="s">
        <v>126</v>
      </c>
      <c r="N220" s="29" t="s">
        <v>126</v>
      </c>
    </row>
    <row r="221" spans="2:14" x14ac:dyDescent="0.25">
      <c r="B221" s="27" t="s">
        <v>123</v>
      </c>
      <c r="C221" s="28">
        <v>595365</v>
      </c>
      <c r="D221" s="28" t="s">
        <v>1305</v>
      </c>
      <c r="E221" s="27" t="s">
        <v>32</v>
      </c>
      <c r="F221" s="6" t="s">
        <v>1095</v>
      </c>
      <c r="G221" s="28" t="s">
        <v>48</v>
      </c>
      <c r="H221" s="28" t="s">
        <v>129</v>
      </c>
      <c r="I221" s="115">
        <v>139</v>
      </c>
      <c r="J221" s="27"/>
      <c r="K221" s="40"/>
      <c r="L221" s="29" t="s">
        <v>126</v>
      </c>
      <c r="M221" s="29" t="s">
        <v>126</v>
      </c>
      <c r="N221" s="29" t="s">
        <v>126</v>
      </c>
    </row>
    <row r="222" spans="2:14" x14ac:dyDescent="0.25">
      <c r="B222" s="27" t="s">
        <v>123</v>
      </c>
      <c r="C222" s="28">
        <v>595367</v>
      </c>
      <c r="D222" s="28" t="s">
        <v>1306</v>
      </c>
      <c r="E222" s="27" t="s">
        <v>32</v>
      </c>
      <c r="F222" s="6" t="s">
        <v>1095</v>
      </c>
      <c r="G222" s="28" t="s">
        <v>48</v>
      </c>
      <c r="H222" s="28" t="s">
        <v>129</v>
      </c>
      <c r="I222" s="115">
        <v>139</v>
      </c>
      <c r="J222" s="27"/>
      <c r="K222" s="40"/>
      <c r="L222" s="29" t="s">
        <v>126</v>
      </c>
      <c r="M222" s="29" t="s">
        <v>126</v>
      </c>
      <c r="N222" s="29" t="s">
        <v>126</v>
      </c>
    </row>
    <row r="223" spans="2:14" x14ac:dyDescent="0.25">
      <c r="B223" s="27" t="s">
        <v>123</v>
      </c>
      <c r="C223" s="28">
        <v>31398</v>
      </c>
      <c r="D223" s="28" t="s">
        <v>1307</v>
      </c>
      <c r="E223" s="27" t="s">
        <v>32</v>
      </c>
      <c r="F223" s="6" t="s">
        <v>1095</v>
      </c>
      <c r="G223" s="28" t="s">
        <v>48</v>
      </c>
      <c r="H223" s="28" t="s">
        <v>129</v>
      </c>
      <c r="I223" s="115">
        <v>99</v>
      </c>
      <c r="J223" s="27"/>
      <c r="K223" s="40"/>
      <c r="L223" s="29" t="s">
        <v>126</v>
      </c>
      <c r="M223" s="29" t="s">
        <v>126</v>
      </c>
      <c r="N223" s="29" t="s">
        <v>126</v>
      </c>
    </row>
    <row r="224" spans="2:14" x14ac:dyDescent="0.25">
      <c r="B224" s="27" t="s">
        <v>123</v>
      </c>
      <c r="C224" s="28">
        <v>36118</v>
      </c>
      <c r="D224" s="28" t="s">
        <v>1308</v>
      </c>
      <c r="E224" s="27" t="s">
        <v>32</v>
      </c>
      <c r="F224" s="6" t="s">
        <v>1095</v>
      </c>
      <c r="G224" s="28" t="s">
        <v>48</v>
      </c>
      <c r="H224" s="28" t="s">
        <v>129</v>
      </c>
      <c r="I224" s="115">
        <v>99</v>
      </c>
      <c r="J224" s="27"/>
      <c r="K224" s="40"/>
      <c r="L224" s="29" t="s">
        <v>126</v>
      </c>
      <c r="M224" s="29" t="s">
        <v>126</v>
      </c>
      <c r="N224" s="29" t="s">
        <v>126</v>
      </c>
    </row>
    <row r="225" spans="2:14" x14ac:dyDescent="0.25">
      <c r="B225" s="27" t="s">
        <v>123</v>
      </c>
      <c r="C225" s="28">
        <v>31396</v>
      </c>
      <c r="D225" s="28" t="s">
        <v>1309</v>
      </c>
      <c r="E225" s="27" t="s">
        <v>32</v>
      </c>
      <c r="F225" s="6" t="s">
        <v>1095</v>
      </c>
      <c r="G225" s="28" t="s">
        <v>48</v>
      </c>
      <c r="H225" s="28" t="s">
        <v>129</v>
      </c>
      <c r="I225" s="115">
        <v>99</v>
      </c>
      <c r="J225" s="27"/>
      <c r="K225" s="40"/>
      <c r="L225" s="29" t="s">
        <v>126</v>
      </c>
      <c r="M225" s="29" t="s">
        <v>126</v>
      </c>
      <c r="N225" s="29" t="s">
        <v>126</v>
      </c>
    </row>
    <row r="226" spans="2:14" x14ac:dyDescent="0.25">
      <c r="B226" s="27" t="s">
        <v>123</v>
      </c>
      <c r="C226" s="28">
        <v>31393</v>
      </c>
      <c r="D226" s="28" t="s">
        <v>1310</v>
      </c>
      <c r="E226" s="27" t="s">
        <v>32</v>
      </c>
      <c r="F226" s="6" t="s">
        <v>1095</v>
      </c>
      <c r="G226" s="28" t="s">
        <v>48</v>
      </c>
      <c r="H226" s="28" t="s">
        <v>129</v>
      </c>
      <c r="I226" s="115">
        <v>99</v>
      </c>
      <c r="J226" s="27"/>
      <c r="K226" s="40"/>
      <c r="L226" s="29" t="s">
        <v>126</v>
      </c>
      <c r="M226" s="29" t="s">
        <v>126</v>
      </c>
      <c r="N226" s="29" t="s">
        <v>126</v>
      </c>
    </row>
    <row r="227" spans="2:14" x14ac:dyDescent="0.25">
      <c r="B227" s="27" t="s">
        <v>123</v>
      </c>
      <c r="C227" s="28">
        <v>315796</v>
      </c>
      <c r="D227" s="28" t="s">
        <v>1311</v>
      </c>
      <c r="E227" s="27" t="s">
        <v>32</v>
      </c>
      <c r="F227" s="6" t="s">
        <v>1095</v>
      </c>
      <c r="G227" s="28" t="s">
        <v>48</v>
      </c>
      <c r="H227" s="28" t="s">
        <v>129</v>
      </c>
      <c r="I227" s="115">
        <v>159</v>
      </c>
      <c r="J227" s="27"/>
      <c r="K227" s="40"/>
      <c r="L227" s="29" t="s">
        <v>126</v>
      </c>
      <c r="M227" s="29" t="s">
        <v>126</v>
      </c>
      <c r="N227" s="29" t="s">
        <v>126</v>
      </c>
    </row>
    <row r="228" spans="2:14" x14ac:dyDescent="0.25">
      <c r="B228" s="27" t="s">
        <v>123</v>
      </c>
      <c r="C228" s="28">
        <v>285075</v>
      </c>
      <c r="D228" s="28" t="s">
        <v>1312</v>
      </c>
      <c r="E228" s="27" t="s">
        <v>32</v>
      </c>
      <c r="F228" s="6" t="s">
        <v>1095</v>
      </c>
      <c r="G228" s="28" t="s">
        <v>48</v>
      </c>
      <c r="H228" s="28" t="s">
        <v>129</v>
      </c>
      <c r="I228" s="115">
        <v>159</v>
      </c>
      <c r="J228" s="27"/>
      <c r="K228" s="40"/>
      <c r="L228" s="29" t="s">
        <v>126</v>
      </c>
      <c r="M228" s="29" t="s">
        <v>126</v>
      </c>
      <c r="N228" s="29" t="s">
        <v>126</v>
      </c>
    </row>
    <row r="229" spans="2:14" x14ac:dyDescent="0.25">
      <c r="B229" s="27" t="s">
        <v>123</v>
      </c>
      <c r="C229" s="28">
        <v>131233</v>
      </c>
      <c r="D229" s="28" t="s">
        <v>1313</v>
      </c>
      <c r="E229" s="27" t="s">
        <v>32</v>
      </c>
      <c r="F229" s="6" t="s">
        <v>1095</v>
      </c>
      <c r="G229" s="28" t="s">
        <v>48</v>
      </c>
      <c r="H229" s="28" t="s">
        <v>129</v>
      </c>
      <c r="I229" s="115">
        <v>224</v>
      </c>
      <c r="J229" s="27"/>
      <c r="K229" s="40"/>
      <c r="L229" s="29" t="s">
        <v>126</v>
      </c>
      <c r="M229" s="29" t="s">
        <v>126</v>
      </c>
      <c r="N229" s="29" t="s">
        <v>126</v>
      </c>
    </row>
    <row r="230" spans="2:14" x14ac:dyDescent="0.25">
      <c r="B230" s="27" t="s">
        <v>123</v>
      </c>
      <c r="C230" s="28">
        <v>315797</v>
      </c>
      <c r="D230" s="28" t="s">
        <v>1314</v>
      </c>
      <c r="E230" s="27" t="s">
        <v>32</v>
      </c>
      <c r="F230" s="6" t="s">
        <v>1095</v>
      </c>
      <c r="G230" s="28" t="s">
        <v>48</v>
      </c>
      <c r="H230" s="28" t="s">
        <v>129</v>
      </c>
      <c r="I230" s="115">
        <v>279</v>
      </c>
      <c r="J230" s="27"/>
      <c r="K230" s="40"/>
      <c r="L230" s="29" t="s">
        <v>126</v>
      </c>
      <c r="M230" s="29" t="s">
        <v>126</v>
      </c>
      <c r="N230" s="29" t="s">
        <v>126</v>
      </c>
    </row>
    <row r="231" spans="2:14" x14ac:dyDescent="0.25">
      <c r="B231" s="27" t="s">
        <v>123</v>
      </c>
      <c r="C231" s="28">
        <v>131234</v>
      </c>
      <c r="D231" s="28" t="s">
        <v>1315</v>
      </c>
      <c r="E231" s="27" t="s">
        <v>32</v>
      </c>
      <c r="F231" s="6" t="s">
        <v>1095</v>
      </c>
      <c r="G231" s="28" t="s">
        <v>48</v>
      </c>
      <c r="H231" s="28" t="s">
        <v>129</v>
      </c>
      <c r="I231" s="115">
        <v>114</v>
      </c>
      <c r="J231" s="27"/>
      <c r="K231" s="40"/>
      <c r="L231" s="29" t="s">
        <v>126</v>
      </c>
      <c r="M231" s="29" t="s">
        <v>126</v>
      </c>
      <c r="N231" s="29" t="s">
        <v>126</v>
      </c>
    </row>
    <row r="232" spans="2:14" x14ac:dyDescent="0.25">
      <c r="B232" s="27" t="s">
        <v>123</v>
      </c>
      <c r="C232" s="28">
        <v>131235</v>
      </c>
      <c r="D232" s="28" t="s">
        <v>1316</v>
      </c>
      <c r="E232" s="27" t="s">
        <v>32</v>
      </c>
      <c r="F232" s="6" t="s">
        <v>1095</v>
      </c>
      <c r="G232" s="28" t="s">
        <v>48</v>
      </c>
      <c r="H232" s="28" t="s">
        <v>129</v>
      </c>
      <c r="I232" s="115">
        <v>119</v>
      </c>
      <c r="J232" s="27"/>
      <c r="K232" s="40"/>
      <c r="L232" s="29" t="s">
        <v>126</v>
      </c>
      <c r="M232" s="29" t="s">
        <v>126</v>
      </c>
      <c r="N232" s="29" t="s">
        <v>126</v>
      </c>
    </row>
    <row r="233" spans="2:14" x14ac:dyDescent="0.25">
      <c r="B233" s="27" t="s">
        <v>123</v>
      </c>
      <c r="C233" s="28">
        <v>417277</v>
      </c>
      <c r="D233" s="28" t="s">
        <v>1317</v>
      </c>
      <c r="E233" s="27" t="s">
        <v>32</v>
      </c>
      <c r="F233" s="6" t="s">
        <v>1095</v>
      </c>
      <c r="G233" s="28" t="s">
        <v>48</v>
      </c>
      <c r="H233" s="28" t="s">
        <v>129</v>
      </c>
      <c r="I233" s="115">
        <v>79</v>
      </c>
      <c r="J233" s="27"/>
      <c r="K233" s="40"/>
      <c r="L233" s="29" t="s">
        <v>126</v>
      </c>
      <c r="M233" s="29" t="s">
        <v>126</v>
      </c>
      <c r="N233" s="29" t="s">
        <v>126</v>
      </c>
    </row>
    <row r="234" spans="2:14" x14ac:dyDescent="0.25">
      <c r="B234" s="27" t="s">
        <v>123</v>
      </c>
      <c r="C234" s="28">
        <v>417278</v>
      </c>
      <c r="D234" s="28" t="s">
        <v>1318</v>
      </c>
      <c r="E234" s="27" t="s">
        <v>32</v>
      </c>
      <c r="F234" s="6" t="s">
        <v>1095</v>
      </c>
      <c r="G234" s="28" t="s">
        <v>48</v>
      </c>
      <c r="H234" s="28" t="s">
        <v>129</v>
      </c>
      <c r="I234" s="115">
        <v>159</v>
      </c>
      <c r="J234" s="27"/>
      <c r="K234" s="40"/>
      <c r="L234" s="29" t="s">
        <v>126</v>
      </c>
      <c r="M234" s="29" t="s">
        <v>126</v>
      </c>
      <c r="N234" s="29" t="s">
        <v>126</v>
      </c>
    </row>
    <row r="235" spans="2:14" x14ac:dyDescent="0.25">
      <c r="B235" s="27" t="s">
        <v>123</v>
      </c>
      <c r="C235" s="28">
        <v>583845</v>
      </c>
      <c r="D235" s="28" t="s">
        <v>1319</v>
      </c>
      <c r="E235" s="27" t="s">
        <v>32</v>
      </c>
      <c r="F235" s="6" t="s">
        <v>1095</v>
      </c>
      <c r="G235" s="28" t="s">
        <v>48</v>
      </c>
      <c r="H235" s="28" t="s">
        <v>129</v>
      </c>
      <c r="I235" s="115">
        <v>314</v>
      </c>
      <c r="J235" s="27"/>
      <c r="K235" s="40"/>
      <c r="L235" s="29" t="s">
        <v>126</v>
      </c>
      <c r="M235" s="29" t="s">
        <v>126</v>
      </c>
      <c r="N235" s="29" t="s">
        <v>126</v>
      </c>
    </row>
    <row r="236" spans="2:14" x14ac:dyDescent="0.25">
      <c r="B236" s="27" t="s">
        <v>123</v>
      </c>
      <c r="C236" s="28">
        <v>583843</v>
      </c>
      <c r="D236" s="28" t="s">
        <v>1320</v>
      </c>
      <c r="E236" s="27" t="s">
        <v>32</v>
      </c>
      <c r="F236" s="6" t="s">
        <v>1095</v>
      </c>
      <c r="G236" s="28" t="s">
        <v>48</v>
      </c>
      <c r="H236" s="28" t="s">
        <v>129</v>
      </c>
      <c r="I236" s="115">
        <v>499</v>
      </c>
      <c r="J236" s="27"/>
      <c r="K236" s="40"/>
      <c r="L236" s="29" t="s">
        <v>126</v>
      </c>
      <c r="M236" s="29" t="s">
        <v>126</v>
      </c>
      <c r="N236" s="29" t="s">
        <v>126</v>
      </c>
    </row>
    <row r="237" spans="2:14" x14ac:dyDescent="0.25">
      <c r="B237" s="27" t="s">
        <v>123</v>
      </c>
      <c r="C237" s="28">
        <v>478353</v>
      </c>
      <c r="D237" s="28" t="s">
        <v>1321</v>
      </c>
      <c r="E237" s="27" t="s">
        <v>32</v>
      </c>
      <c r="F237" s="6" t="s">
        <v>1095</v>
      </c>
      <c r="G237" s="28" t="s">
        <v>48</v>
      </c>
      <c r="H237" s="28" t="s">
        <v>129</v>
      </c>
      <c r="I237" s="115">
        <v>44</v>
      </c>
      <c r="J237" s="27"/>
      <c r="K237" s="40"/>
      <c r="L237" s="29" t="s">
        <v>126</v>
      </c>
      <c r="M237" s="29" t="s">
        <v>126</v>
      </c>
      <c r="N237" s="29" t="s">
        <v>126</v>
      </c>
    </row>
    <row r="238" spans="2:14" x14ac:dyDescent="0.25">
      <c r="B238" s="27" t="s">
        <v>123</v>
      </c>
      <c r="C238" s="28">
        <v>36075</v>
      </c>
      <c r="D238" s="28" t="s">
        <v>1322</v>
      </c>
      <c r="E238" s="27" t="s">
        <v>32</v>
      </c>
      <c r="F238" s="6" t="s">
        <v>1095</v>
      </c>
      <c r="G238" s="28" t="s">
        <v>48</v>
      </c>
      <c r="H238" s="28" t="s">
        <v>129</v>
      </c>
      <c r="I238" s="115">
        <v>159</v>
      </c>
      <c r="J238" s="27"/>
      <c r="K238" s="40"/>
      <c r="L238" s="29" t="s">
        <v>126</v>
      </c>
      <c r="M238" s="29" t="s">
        <v>126</v>
      </c>
      <c r="N238" s="29" t="s">
        <v>126</v>
      </c>
    </row>
    <row r="239" spans="2:14" x14ac:dyDescent="0.25">
      <c r="B239" s="27" t="s">
        <v>123</v>
      </c>
      <c r="C239" s="28">
        <v>583827</v>
      </c>
      <c r="D239" s="28" t="s">
        <v>1323</v>
      </c>
      <c r="E239" s="27" t="s">
        <v>32</v>
      </c>
      <c r="F239" s="6" t="s">
        <v>1095</v>
      </c>
      <c r="G239" s="28" t="s">
        <v>48</v>
      </c>
      <c r="H239" s="28" t="s">
        <v>129</v>
      </c>
      <c r="I239" s="115">
        <v>114</v>
      </c>
      <c r="J239" s="27"/>
      <c r="K239" s="40"/>
      <c r="L239" s="29" t="s">
        <v>126</v>
      </c>
      <c r="M239" s="29" t="s">
        <v>126</v>
      </c>
      <c r="N239" s="29" t="s">
        <v>126</v>
      </c>
    </row>
    <row r="240" spans="2:14" x14ac:dyDescent="0.25">
      <c r="B240" s="27" t="s">
        <v>123</v>
      </c>
      <c r="C240" s="28">
        <v>36076</v>
      </c>
      <c r="D240" s="28" t="s">
        <v>1324</v>
      </c>
      <c r="E240" s="27" t="s">
        <v>32</v>
      </c>
      <c r="F240" s="6" t="s">
        <v>1095</v>
      </c>
      <c r="G240" s="28" t="s">
        <v>48</v>
      </c>
      <c r="H240" s="28" t="s">
        <v>129</v>
      </c>
      <c r="I240" s="115">
        <v>159</v>
      </c>
      <c r="J240" s="27"/>
      <c r="K240" s="40"/>
      <c r="L240" s="29" t="s">
        <v>126</v>
      </c>
      <c r="M240" s="29" t="s">
        <v>126</v>
      </c>
      <c r="N240" s="29" t="s">
        <v>126</v>
      </c>
    </row>
    <row r="241" spans="2:14" x14ac:dyDescent="0.25">
      <c r="B241" s="27" t="s">
        <v>123</v>
      </c>
      <c r="C241" s="28">
        <v>583826</v>
      </c>
      <c r="D241" s="28" t="s">
        <v>1325</v>
      </c>
      <c r="E241" s="27" t="s">
        <v>32</v>
      </c>
      <c r="F241" s="6" t="s">
        <v>1095</v>
      </c>
      <c r="G241" s="28" t="s">
        <v>48</v>
      </c>
      <c r="H241" s="28" t="s">
        <v>129</v>
      </c>
      <c r="I241" s="115">
        <v>79</v>
      </c>
      <c r="J241" s="27"/>
      <c r="K241" s="40"/>
      <c r="L241" s="29" t="s">
        <v>126</v>
      </c>
      <c r="M241" s="29" t="s">
        <v>126</v>
      </c>
      <c r="N241" s="29" t="s">
        <v>126</v>
      </c>
    </row>
    <row r="242" spans="2:14" x14ac:dyDescent="0.25">
      <c r="B242" s="27" t="s">
        <v>123</v>
      </c>
      <c r="C242" s="28">
        <v>589015</v>
      </c>
      <c r="D242" s="28" t="s">
        <v>1326</v>
      </c>
      <c r="E242" s="27" t="s">
        <v>32</v>
      </c>
      <c r="F242" s="6" t="s">
        <v>1095</v>
      </c>
      <c r="G242" s="28" t="s">
        <v>48</v>
      </c>
      <c r="H242" s="28" t="s">
        <v>129</v>
      </c>
      <c r="I242" s="115">
        <v>79</v>
      </c>
      <c r="J242" s="27"/>
      <c r="K242" s="40"/>
      <c r="L242" s="29" t="s">
        <v>126</v>
      </c>
      <c r="M242" s="29" t="s">
        <v>126</v>
      </c>
      <c r="N242" s="29" t="s">
        <v>126</v>
      </c>
    </row>
    <row r="243" spans="2:14" x14ac:dyDescent="0.25">
      <c r="B243" s="27" t="s">
        <v>123</v>
      </c>
      <c r="C243" s="28">
        <v>134549</v>
      </c>
      <c r="D243" s="28" t="s">
        <v>1327</v>
      </c>
      <c r="E243" s="27" t="s">
        <v>32</v>
      </c>
      <c r="F243" s="6" t="s">
        <v>1095</v>
      </c>
      <c r="G243" s="28" t="s">
        <v>48</v>
      </c>
      <c r="H243" s="28" t="s">
        <v>129</v>
      </c>
      <c r="I243" s="115">
        <v>99</v>
      </c>
      <c r="J243" s="27"/>
      <c r="K243" s="40"/>
      <c r="L243" s="29" t="s">
        <v>126</v>
      </c>
      <c r="M243" s="29" t="s">
        <v>126</v>
      </c>
      <c r="N243" s="29" t="s">
        <v>126</v>
      </c>
    </row>
    <row r="244" spans="2:14" x14ac:dyDescent="0.25">
      <c r="B244" s="27" t="s">
        <v>123</v>
      </c>
      <c r="C244" s="28">
        <v>583828</v>
      </c>
      <c r="D244" s="28" t="s">
        <v>1328</v>
      </c>
      <c r="E244" s="27" t="s">
        <v>32</v>
      </c>
      <c r="F244" s="6" t="s">
        <v>1095</v>
      </c>
      <c r="G244" s="28" t="s">
        <v>48</v>
      </c>
      <c r="H244" s="28" t="s">
        <v>129</v>
      </c>
      <c r="I244" s="115">
        <v>79</v>
      </c>
      <c r="J244" s="27"/>
      <c r="K244" s="40"/>
      <c r="L244" s="29" t="s">
        <v>126</v>
      </c>
      <c r="M244" s="29" t="s">
        <v>126</v>
      </c>
      <c r="N244" s="29" t="s">
        <v>126</v>
      </c>
    </row>
    <row r="245" spans="2:14" x14ac:dyDescent="0.25">
      <c r="B245" s="27" t="s">
        <v>123</v>
      </c>
      <c r="C245" s="28">
        <v>589010</v>
      </c>
      <c r="D245" s="28" t="s">
        <v>1329</v>
      </c>
      <c r="E245" s="27" t="s">
        <v>32</v>
      </c>
      <c r="F245" s="6" t="s">
        <v>1095</v>
      </c>
      <c r="G245" s="28" t="s">
        <v>48</v>
      </c>
      <c r="H245" s="28" t="s">
        <v>129</v>
      </c>
      <c r="I245" s="115">
        <v>64</v>
      </c>
      <c r="J245" s="27"/>
      <c r="K245" s="40"/>
      <c r="L245" s="29" t="s">
        <v>126</v>
      </c>
      <c r="M245" s="29" t="s">
        <v>126</v>
      </c>
      <c r="N245" s="29" t="s">
        <v>126</v>
      </c>
    </row>
    <row r="246" spans="2:14" x14ac:dyDescent="0.25">
      <c r="B246" s="27" t="s">
        <v>123</v>
      </c>
      <c r="C246" s="28">
        <v>589008</v>
      </c>
      <c r="D246" s="28" t="s">
        <v>1330</v>
      </c>
      <c r="E246" s="27" t="s">
        <v>32</v>
      </c>
      <c r="F246" s="6" t="s">
        <v>1095</v>
      </c>
      <c r="G246" s="28" t="s">
        <v>48</v>
      </c>
      <c r="H246" s="28" t="s">
        <v>129</v>
      </c>
      <c r="I246" s="115">
        <v>114</v>
      </c>
      <c r="J246" s="27"/>
      <c r="K246" s="40"/>
      <c r="L246" s="29" t="s">
        <v>126</v>
      </c>
      <c r="M246" s="29" t="s">
        <v>126</v>
      </c>
      <c r="N246" s="29" t="s">
        <v>126</v>
      </c>
    </row>
    <row r="247" spans="2:14" x14ac:dyDescent="0.25">
      <c r="B247" s="27" t="s">
        <v>123</v>
      </c>
      <c r="C247" s="28">
        <v>589011</v>
      </c>
      <c r="D247" s="28" t="s">
        <v>1331</v>
      </c>
      <c r="E247" s="27" t="s">
        <v>32</v>
      </c>
      <c r="F247" s="6" t="s">
        <v>1095</v>
      </c>
      <c r="G247" s="28" t="s">
        <v>48</v>
      </c>
      <c r="H247" s="28" t="s">
        <v>129</v>
      </c>
      <c r="I247" s="115">
        <v>64</v>
      </c>
      <c r="J247" s="27"/>
      <c r="K247" s="40"/>
      <c r="L247" s="29" t="s">
        <v>126</v>
      </c>
      <c r="M247" s="29" t="s">
        <v>126</v>
      </c>
      <c r="N247" s="29" t="s">
        <v>126</v>
      </c>
    </row>
    <row r="248" spans="2:14" x14ac:dyDescent="0.25">
      <c r="B248" s="27" t="s">
        <v>123</v>
      </c>
      <c r="C248" s="28">
        <v>358336</v>
      </c>
      <c r="D248" s="28" t="s">
        <v>1332</v>
      </c>
      <c r="E248" s="27" t="s">
        <v>32</v>
      </c>
      <c r="F248" s="6" t="s">
        <v>1095</v>
      </c>
      <c r="G248" s="28" t="s">
        <v>48</v>
      </c>
      <c r="H248" s="28" t="s">
        <v>129</v>
      </c>
      <c r="I248" s="115">
        <v>119</v>
      </c>
      <c r="J248" s="27"/>
      <c r="K248" s="40"/>
      <c r="L248" s="29" t="s">
        <v>126</v>
      </c>
      <c r="M248" s="29" t="s">
        <v>126</v>
      </c>
      <c r="N248" s="29" t="s">
        <v>126</v>
      </c>
    </row>
    <row r="249" spans="2:14" x14ac:dyDescent="0.25">
      <c r="B249" s="27" t="s">
        <v>123</v>
      </c>
      <c r="C249" s="28">
        <v>68716</v>
      </c>
      <c r="D249" s="28" t="s">
        <v>1333</v>
      </c>
      <c r="E249" s="27" t="s">
        <v>32</v>
      </c>
      <c r="F249" s="6" t="s">
        <v>1095</v>
      </c>
      <c r="G249" s="28" t="s">
        <v>48</v>
      </c>
      <c r="H249" s="28" t="s">
        <v>129</v>
      </c>
      <c r="I249" s="115">
        <v>199</v>
      </c>
      <c r="J249" s="27"/>
      <c r="K249" s="40"/>
      <c r="L249" s="29" t="s">
        <v>126</v>
      </c>
      <c r="M249" s="29" t="s">
        <v>126</v>
      </c>
      <c r="N249" s="29" t="s">
        <v>126</v>
      </c>
    </row>
    <row r="250" spans="2:14" x14ac:dyDescent="0.25">
      <c r="B250" s="27" t="s">
        <v>123</v>
      </c>
      <c r="C250" s="28">
        <v>27245</v>
      </c>
      <c r="D250" s="28" t="s">
        <v>1334</v>
      </c>
      <c r="E250" s="27" t="s">
        <v>32</v>
      </c>
      <c r="F250" s="6" t="s">
        <v>1095</v>
      </c>
      <c r="G250" s="28" t="s">
        <v>48</v>
      </c>
      <c r="H250" s="28" t="s">
        <v>129</v>
      </c>
      <c r="I250" s="115">
        <v>199</v>
      </c>
      <c r="J250" s="27"/>
      <c r="K250" s="40"/>
      <c r="L250" s="29" t="s">
        <v>126</v>
      </c>
      <c r="M250" s="29" t="s">
        <v>126</v>
      </c>
      <c r="N250" s="29" t="s">
        <v>126</v>
      </c>
    </row>
    <row r="251" spans="2:14" x14ac:dyDescent="0.25">
      <c r="B251" s="27" t="s">
        <v>123</v>
      </c>
      <c r="C251" s="28">
        <v>589013</v>
      </c>
      <c r="D251" s="28" t="s">
        <v>1335</v>
      </c>
      <c r="E251" s="27" t="s">
        <v>32</v>
      </c>
      <c r="F251" s="6" t="s">
        <v>1095</v>
      </c>
      <c r="G251" s="28" t="s">
        <v>48</v>
      </c>
      <c r="H251" s="28" t="s">
        <v>129</v>
      </c>
      <c r="I251" s="115">
        <v>64</v>
      </c>
      <c r="J251" s="27"/>
      <c r="K251" s="40"/>
      <c r="L251" s="29" t="s">
        <v>126</v>
      </c>
      <c r="M251" s="29" t="s">
        <v>126</v>
      </c>
      <c r="N251" s="29" t="s">
        <v>126</v>
      </c>
    </row>
    <row r="252" spans="2:14" x14ac:dyDescent="0.25">
      <c r="B252" s="27" t="s">
        <v>123</v>
      </c>
      <c r="C252" s="28">
        <v>589007</v>
      </c>
      <c r="D252" s="28" t="s">
        <v>1336</v>
      </c>
      <c r="E252" s="27" t="s">
        <v>32</v>
      </c>
      <c r="F252" s="6" t="s">
        <v>1095</v>
      </c>
      <c r="G252" s="28" t="s">
        <v>48</v>
      </c>
      <c r="H252" s="28" t="s">
        <v>129</v>
      </c>
      <c r="I252" s="115">
        <v>99</v>
      </c>
      <c r="J252" s="27"/>
      <c r="K252" s="40"/>
      <c r="L252" s="29" t="s">
        <v>126</v>
      </c>
      <c r="M252" s="29" t="s">
        <v>126</v>
      </c>
      <c r="N252" s="29" t="s">
        <v>126</v>
      </c>
    </row>
    <row r="253" spans="2:14" x14ac:dyDescent="0.25">
      <c r="B253" s="27" t="s">
        <v>123</v>
      </c>
      <c r="C253" s="28">
        <v>461253</v>
      </c>
      <c r="D253" s="28" t="s">
        <v>1337</v>
      </c>
      <c r="E253" s="27" t="s">
        <v>32</v>
      </c>
      <c r="F253" s="6" t="s">
        <v>1095</v>
      </c>
      <c r="G253" s="28" t="s">
        <v>48</v>
      </c>
      <c r="H253" s="28" t="s">
        <v>129</v>
      </c>
      <c r="I253" s="115">
        <v>499</v>
      </c>
      <c r="J253" s="27"/>
      <c r="K253" s="40"/>
      <c r="L253" s="29" t="s">
        <v>126</v>
      </c>
      <c r="M253" s="29" t="s">
        <v>126</v>
      </c>
      <c r="N253" s="29" t="s">
        <v>126</v>
      </c>
    </row>
    <row r="254" spans="2:14" x14ac:dyDescent="0.25">
      <c r="B254" s="27" t="s">
        <v>123</v>
      </c>
      <c r="C254" s="28">
        <v>537442</v>
      </c>
      <c r="D254" s="28" t="s">
        <v>1338</v>
      </c>
      <c r="E254" s="27" t="s">
        <v>32</v>
      </c>
      <c r="F254" s="6" t="s">
        <v>1095</v>
      </c>
      <c r="G254" s="28" t="s">
        <v>48</v>
      </c>
      <c r="H254" s="28" t="s">
        <v>129</v>
      </c>
      <c r="I254" s="115">
        <v>289</v>
      </c>
      <c r="J254" s="27"/>
      <c r="K254" s="40"/>
      <c r="L254" s="29" t="s">
        <v>126</v>
      </c>
      <c r="M254" s="29" t="s">
        <v>126</v>
      </c>
      <c r="N254" s="29" t="s">
        <v>126</v>
      </c>
    </row>
    <row r="255" spans="2:14" x14ac:dyDescent="0.25">
      <c r="B255" s="27" t="s">
        <v>123</v>
      </c>
      <c r="C255" s="28">
        <v>583832</v>
      </c>
      <c r="D255" s="28" t="s">
        <v>1339</v>
      </c>
      <c r="E255" s="27" t="s">
        <v>32</v>
      </c>
      <c r="F255" s="6" t="s">
        <v>1095</v>
      </c>
      <c r="G255" s="28" t="s">
        <v>48</v>
      </c>
      <c r="H255" s="28" t="s">
        <v>129</v>
      </c>
      <c r="I255" s="115">
        <v>239</v>
      </c>
      <c r="J255" s="27"/>
      <c r="K255" s="40"/>
      <c r="L255" s="29" t="s">
        <v>126</v>
      </c>
      <c r="M255" s="29" t="s">
        <v>126</v>
      </c>
      <c r="N255" s="29" t="s">
        <v>126</v>
      </c>
    </row>
    <row r="256" spans="2:14" x14ac:dyDescent="0.25">
      <c r="B256" s="27" t="s">
        <v>123</v>
      </c>
      <c r="C256" s="28">
        <v>589016</v>
      </c>
      <c r="D256" s="28" t="s">
        <v>1340</v>
      </c>
      <c r="E256" s="27" t="s">
        <v>32</v>
      </c>
      <c r="F256" s="6" t="s">
        <v>1095</v>
      </c>
      <c r="G256" s="28" t="s">
        <v>48</v>
      </c>
      <c r="H256" s="28" t="s">
        <v>129</v>
      </c>
      <c r="I256" s="115">
        <v>239</v>
      </c>
      <c r="J256" s="27"/>
      <c r="K256" s="40"/>
      <c r="L256" s="29" t="s">
        <v>126</v>
      </c>
      <c r="M256" s="29" t="s">
        <v>126</v>
      </c>
      <c r="N256" s="29" t="s">
        <v>126</v>
      </c>
    </row>
    <row r="257" spans="2:14" x14ac:dyDescent="0.25">
      <c r="B257" s="27" t="s">
        <v>123</v>
      </c>
      <c r="C257" s="28">
        <v>471448</v>
      </c>
      <c r="D257" s="28" t="s">
        <v>1341</v>
      </c>
      <c r="E257" s="27" t="s">
        <v>32</v>
      </c>
      <c r="F257" s="6" t="s">
        <v>1095</v>
      </c>
      <c r="G257" s="28" t="s">
        <v>48</v>
      </c>
      <c r="H257" s="28" t="s">
        <v>129</v>
      </c>
      <c r="I257" s="115">
        <v>499</v>
      </c>
      <c r="J257" s="27"/>
      <c r="K257" s="40"/>
      <c r="L257" s="29" t="s">
        <v>126</v>
      </c>
      <c r="M257" s="29" t="s">
        <v>126</v>
      </c>
      <c r="N257" s="29" t="s">
        <v>126</v>
      </c>
    </row>
    <row r="258" spans="2:14" x14ac:dyDescent="0.25">
      <c r="B258" s="27" t="s">
        <v>123</v>
      </c>
      <c r="C258" s="28">
        <v>589009</v>
      </c>
      <c r="D258" s="28" t="s">
        <v>1342</v>
      </c>
      <c r="E258" s="27" t="s">
        <v>32</v>
      </c>
      <c r="F258" s="6" t="s">
        <v>1095</v>
      </c>
      <c r="G258" s="28" t="s">
        <v>48</v>
      </c>
      <c r="H258" s="28" t="s">
        <v>129</v>
      </c>
      <c r="I258" s="115">
        <v>99</v>
      </c>
      <c r="J258" s="27"/>
      <c r="K258" s="40"/>
      <c r="L258" s="29" t="s">
        <v>126</v>
      </c>
      <c r="M258" s="29" t="s">
        <v>126</v>
      </c>
      <c r="N258" s="29" t="s">
        <v>126</v>
      </c>
    </row>
    <row r="259" spans="2:14" x14ac:dyDescent="0.25">
      <c r="B259" s="27" t="s">
        <v>123</v>
      </c>
      <c r="C259" s="28">
        <v>583821</v>
      </c>
      <c r="D259" s="28" t="s">
        <v>1343</v>
      </c>
      <c r="E259" s="27" t="s">
        <v>32</v>
      </c>
      <c r="F259" s="6" t="s">
        <v>1095</v>
      </c>
      <c r="G259" s="28" t="s">
        <v>48</v>
      </c>
      <c r="H259" s="28" t="s">
        <v>129</v>
      </c>
      <c r="I259" s="115">
        <v>1114</v>
      </c>
      <c r="J259" s="27"/>
      <c r="K259" s="40"/>
      <c r="L259" s="29" t="s">
        <v>126</v>
      </c>
      <c r="M259" s="29" t="s">
        <v>126</v>
      </c>
      <c r="N259" s="29" t="s">
        <v>126</v>
      </c>
    </row>
    <row r="260" spans="2:14" x14ac:dyDescent="0.25">
      <c r="B260" s="27" t="s">
        <v>123</v>
      </c>
      <c r="C260" s="28">
        <v>583835</v>
      </c>
      <c r="D260" s="28" t="s">
        <v>1344</v>
      </c>
      <c r="E260" s="27" t="s">
        <v>32</v>
      </c>
      <c r="F260" s="6" t="s">
        <v>1095</v>
      </c>
      <c r="G260" s="28" t="s">
        <v>48</v>
      </c>
      <c r="H260" s="28" t="s">
        <v>129</v>
      </c>
      <c r="I260" s="115">
        <v>239</v>
      </c>
      <c r="J260" s="27"/>
      <c r="K260" s="40"/>
      <c r="L260" s="29" t="s">
        <v>126</v>
      </c>
      <c r="M260" s="29" t="s">
        <v>126</v>
      </c>
      <c r="N260" s="29" t="s">
        <v>126</v>
      </c>
    </row>
    <row r="261" spans="2:14" x14ac:dyDescent="0.25">
      <c r="B261" s="27" t="s">
        <v>123</v>
      </c>
      <c r="C261" s="28">
        <v>583824</v>
      </c>
      <c r="D261" s="28" t="s">
        <v>1345</v>
      </c>
      <c r="E261" s="27" t="s">
        <v>32</v>
      </c>
      <c r="F261" s="6" t="s">
        <v>1095</v>
      </c>
      <c r="G261" s="28" t="s">
        <v>48</v>
      </c>
      <c r="H261" s="28" t="s">
        <v>129</v>
      </c>
      <c r="I261" s="115">
        <v>639</v>
      </c>
      <c r="J261" s="27"/>
      <c r="K261" s="40"/>
      <c r="L261" s="29" t="s">
        <v>126</v>
      </c>
      <c r="M261" s="29" t="s">
        <v>126</v>
      </c>
      <c r="N261" s="29" t="s">
        <v>126</v>
      </c>
    </row>
    <row r="262" spans="2:14" x14ac:dyDescent="0.25">
      <c r="B262" s="27" t="s">
        <v>123</v>
      </c>
      <c r="C262" s="28">
        <v>583822</v>
      </c>
      <c r="D262" s="28" t="s">
        <v>1346</v>
      </c>
      <c r="E262" s="27" t="s">
        <v>32</v>
      </c>
      <c r="F262" s="6" t="s">
        <v>1095</v>
      </c>
      <c r="G262" s="28" t="s">
        <v>48</v>
      </c>
      <c r="H262" s="28" t="s">
        <v>129</v>
      </c>
      <c r="I262" s="115">
        <v>1114</v>
      </c>
      <c r="J262" s="27"/>
      <c r="K262" s="40"/>
      <c r="L262" s="29" t="s">
        <v>126</v>
      </c>
      <c r="M262" s="29" t="s">
        <v>126</v>
      </c>
      <c r="N262" s="29" t="s">
        <v>126</v>
      </c>
    </row>
    <row r="263" spans="2:14" x14ac:dyDescent="0.25">
      <c r="B263" s="27" t="s">
        <v>123</v>
      </c>
      <c r="C263" s="28">
        <v>583823</v>
      </c>
      <c r="D263" s="28" t="s">
        <v>1347</v>
      </c>
      <c r="E263" s="27" t="s">
        <v>32</v>
      </c>
      <c r="F263" s="6" t="s">
        <v>1095</v>
      </c>
      <c r="G263" s="28" t="s">
        <v>48</v>
      </c>
      <c r="H263" s="28" t="s">
        <v>129</v>
      </c>
      <c r="I263" s="115">
        <v>1114</v>
      </c>
      <c r="J263" s="27"/>
      <c r="K263" s="40"/>
      <c r="L263" s="29" t="s">
        <v>126</v>
      </c>
      <c r="M263" s="29" t="s">
        <v>126</v>
      </c>
      <c r="N263" s="29" t="s">
        <v>126</v>
      </c>
    </row>
    <row r="264" spans="2:14" x14ac:dyDescent="0.25">
      <c r="B264" s="27" t="s">
        <v>123</v>
      </c>
      <c r="C264" s="28">
        <v>595461</v>
      </c>
      <c r="D264" s="28" t="s">
        <v>1348</v>
      </c>
      <c r="E264" s="27" t="s">
        <v>32</v>
      </c>
      <c r="F264" s="6" t="s">
        <v>1095</v>
      </c>
      <c r="G264" s="28" t="s">
        <v>48</v>
      </c>
      <c r="H264" s="28" t="s">
        <v>129</v>
      </c>
      <c r="I264" s="115">
        <v>79</v>
      </c>
      <c r="J264" s="27"/>
      <c r="K264" s="40"/>
      <c r="L264" s="29" t="s">
        <v>126</v>
      </c>
      <c r="M264" s="29" t="s">
        <v>126</v>
      </c>
      <c r="N264" s="29" t="s">
        <v>126</v>
      </c>
    </row>
    <row r="265" spans="2:14" x14ac:dyDescent="0.25">
      <c r="B265" s="27" t="s">
        <v>123</v>
      </c>
      <c r="C265" s="28">
        <v>595477</v>
      </c>
      <c r="D265" s="28" t="s">
        <v>1349</v>
      </c>
      <c r="E265" s="27" t="s">
        <v>32</v>
      </c>
      <c r="F265" s="6" t="s">
        <v>1095</v>
      </c>
      <c r="G265" s="28" t="s">
        <v>48</v>
      </c>
      <c r="H265" s="28" t="s">
        <v>129</v>
      </c>
      <c r="I265" s="115">
        <v>64</v>
      </c>
      <c r="J265" s="27"/>
      <c r="K265" s="40"/>
      <c r="L265" s="29" t="s">
        <v>126</v>
      </c>
      <c r="M265" s="29" t="s">
        <v>126</v>
      </c>
      <c r="N265" s="29" t="s">
        <v>126</v>
      </c>
    </row>
    <row r="266" spans="2:14" x14ac:dyDescent="0.25">
      <c r="B266" s="27" t="s">
        <v>123</v>
      </c>
      <c r="C266" s="28">
        <v>595450</v>
      </c>
      <c r="D266" s="28" t="s">
        <v>1350</v>
      </c>
      <c r="E266" s="27" t="s">
        <v>32</v>
      </c>
      <c r="F266" s="6" t="s">
        <v>1095</v>
      </c>
      <c r="G266" s="28" t="s">
        <v>48</v>
      </c>
      <c r="H266" s="28" t="s">
        <v>129</v>
      </c>
      <c r="I266" s="115">
        <v>99</v>
      </c>
      <c r="J266" s="27"/>
      <c r="K266" s="40"/>
      <c r="L266" s="29" t="s">
        <v>126</v>
      </c>
      <c r="M266" s="29" t="s">
        <v>126</v>
      </c>
      <c r="N266" s="29" t="s">
        <v>126</v>
      </c>
    </row>
    <row r="267" spans="2:14" x14ac:dyDescent="0.25">
      <c r="B267" s="27" t="s">
        <v>123</v>
      </c>
      <c r="C267" s="28">
        <v>595459</v>
      </c>
      <c r="D267" s="28" t="s">
        <v>1351</v>
      </c>
      <c r="E267" s="27" t="s">
        <v>32</v>
      </c>
      <c r="F267" s="6" t="s">
        <v>1095</v>
      </c>
      <c r="G267" s="28" t="s">
        <v>48</v>
      </c>
      <c r="H267" s="28" t="s">
        <v>129</v>
      </c>
      <c r="I267" s="115">
        <v>79</v>
      </c>
      <c r="J267" s="27"/>
      <c r="K267" s="40"/>
      <c r="L267" s="29" t="s">
        <v>126</v>
      </c>
      <c r="M267" s="29" t="s">
        <v>126</v>
      </c>
      <c r="N267" s="29" t="s">
        <v>126</v>
      </c>
    </row>
    <row r="268" spans="2:14" x14ac:dyDescent="0.25">
      <c r="B268" s="27" t="s">
        <v>123</v>
      </c>
      <c r="C268" s="28">
        <v>589006</v>
      </c>
      <c r="D268" s="28" t="s">
        <v>1352</v>
      </c>
      <c r="E268" s="27" t="s">
        <v>32</v>
      </c>
      <c r="F268" s="6" t="s">
        <v>1095</v>
      </c>
      <c r="G268" s="28" t="s">
        <v>48</v>
      </c>
      <c r="H268" s="28" t="s">
        <v>129</v>
      </c>
      <c r="I268" s="115">
        <v>149</v>
      </c>
      <c r="J268" s="27"/>
      <c r="K268" s="40"/>
      <c r="L268" s="29" t="s">
        <v>126</v>
      </c>
      <c r="M268" s="29" t="s">
        <v>126</v>
      </c>
      <c r="N268" s="29" t="s">
        <v>126</v>
      </c>
    </row>
    <row r="269" spans="2:14" x14ac:dyDescent="0.25">
      <c r="B269" s="27" t="s">
        <v>123</v>
      </c>
      <c r="C269" s="28">
        <v>589014</v>
      </c>
      <c r="D269" s="28" t="s">
        <v>1353</v>
      </c>
      <c r="E269" s="27" t="s">
        <v>32</v>
      </c>
      <c r="F269" s="6" t="s">
        <v>1095</v>
      </c>
      <c r="G269" s="28" t="s">
        <v>48</v>
      </c>
      <c r="H269" s="28" t="s">
        <v>129</v>
      </c>
      <c r="I269" s="115">
        <v>599</v>
      </c>
      <c r="J269" s="27"/>
      <c r="K269" s="40"/>
      <c r="L269" s="29" t="s">
        <v>126</v>
      </c>
      <c r="M269" s="29" t="s">
        <v>126</v>
      </c>
      <c r="N269" s="29" t="s">
        <v>126</v>
      </c>
    </row>
    <row r="270" spans="2:14" x14ac:dyDescent="0.25">
      <c r="B270" s="27" t="s">
        <v>123</v>
      </c>
      <c r="C270" s="28">
        <v>595456</v>
      </c>
      <c r="D270" s="28" t="s">
        <v>1354</v>
      </c>
      <c r="E270" s="27" t="s">
        <v>32</v>
      </c>
      <c r="F270" s="6" t="s">
        <v>1095</v>
      </c>
      <c r="G270" s="28" t="s">
        <v>48</v>
      </c>
      <c r="H270" s="28" t="s">
        <v>129</v>
      </c>
      <c r="I270" s="115">
        <v>124</v>
      </c>
      <c r="J270" s="27"/>
      <c r="K270" s="40"/>
      <c r="L270" s="29" t="s">
        <v>126</v>
      </c>
      <c r="M270" s="29" t="s">
        <v>126</v>
      </c>
      <c r="N270" s="29" t="s">
        <v>126</v>
      </c>
    </row>
    <row r="271" spans="2:14" x14ac:dyDescent="0.25">
      <c r="B271" s="27" t="s">
        <v>123</v>
      </c>
      <c r="C271" s="28">
        <v>595444</v>
      </c>
      <c r="D271" s="28" t="s">
        <v>1355</v>
      </c>
      <c r="E271" s="27" t="s">
        <v>32</v>
      </c>
      <c r="F271" s="6" t="s">
        <v>1095</v>
      </c>
      <c r="G271" s="28" t="s">
        <v>48</v>
      </c>
      <c r="H271" s="28" t="s">
        <v>129</v>
      </c>
      <c r="I271" s="115">
        <v>159</v>
      </c>
      <c r="J271" s="27"/>
      <c r="K271" s="40"/>
      <c r="L271" s="29" t="s">
        <v>126</v>
      </c>
      <c r="M271" s="29" t="s">
        <v>126</v>
      </c>
      <c r="N271" s="29" t="s">
        <v>126</v>
      </c>
    </row>
    <row r="272" spans="2:14" x14ac:dyDescent="0.25">
      <c r="B272" s="27" t="s">
        <v>123</v>
      </c>
      <c r="C272" s="28">
        <v>471447</v>
      </c>
      <c r="D272" s="28" t="s">
        <v>1356</v>
      </c>
      <c r="E272" s="27" t="s">
        <v>32</v>
      </c>
      <c r="F272" s="6" t="s">
        <v>1095</v>
      </c>
      <c r="G272" s="28" t="s">
        <v>48</v>
      </c>
      <c r="H272" s="28" t="s">
        <v>129</v>
      </c>
      <c r="I272" s="116">
        <v>509</v>
      </c>
      <c r="J272" s="27"/>
      <c r="K272" s="40"/>
      <c r="L272" s="29" t="s">
        <v>126</v>
      </c>
      <c r="M272" s="29" t="s">
        <v>126</v>
      </c>
      <c r="N272" s="29" t="s">
        <v>126</v>
      </c>
    </row>
    <row r="273" spans="2:14" x14ac:dyDescent="0.25">
      <c r="B273" s="27" t="s">
        <v>123</v>
      </c>
      <c r="C273" s="28">
        <v>589012</v>
      </c>
      <c r="D273" s="28" t="s">
        <v>1357</v>
      </c>
      <c r="E273" s="27" t="s">
        <v>32</v>
      </c>
      <c r="F273" s="6" t="s">
        <v>1095</v>
      </c>
      <c r="G273" s="28" t="s">
        <v>48</v>
      </c>
      <c r="H273" s="28" t="s">
        <v>129</v>
      </c>
      <c r="I273" s="116">
        <v>64</v>
      </c>
      <c r="J273" s="27"/>
      <c r="K273" s="40"/>
      <c r="L273" s="29" t="s">
        <v>126</v>
      </c>
      <c r="M273" s="29" t="s">
        <v>126</v>
      </c>
      <c r="N273" s="29" t="s">
        <v>126</v>
      </c>
    </row>
    <row r="274" spans="2:14" x14ac:dyDescent="0.25">
      <c r="B274" s="27" t="s">
        <v>123</v>
      </c>
      <c r="C274" s="28">
        <v>118603</v>
      </c>
      <c r="D274" s="28" t="s">
        <v>1358</v>
      </c>
      <c r="E274" s="27" t="s">
        <v>32</v>
      </c>
      <c r="F274" s="6" t="s">
        <v>1095</v>
      </c>
      <c r="G274" s="28" t="s">
        <v>48</v>
      </c>
      <c r="H274" s="28" t="s">
        <v>129</v>
      </c>
      <c r="I274" s="116">
        <v>354</v>
      </c>
      <c r="J274" s="27"/>
      <c r="K274" s="40"/>
      <c r="L274" s="29" t="s">
        <v>126</v>
      </c>
      <c r="M274" s="29" t="s">
        <v>126</v>
      </c>
      <c r="N274" s="29" t="s">
        <v>126</v>
      </c>
    </row>
    <row r="275" spans="2:14" x14ac:dyDescent="0.25">
      <c r="B275" s="27" t="s">
        <v>123</v>
      </c>
      <c r="C275" s="28">
        <v>504636</v>
      </c>
      <c r="D275" s="28" t="s">
        <v>1359</v>
      </c>
      <c r="E275" s="27" t="s">
        <v>32</v>
      </c>
      <c r="F275" s="6" t="s">
        <v>1095</v>
      </c>
      <c r="G275" s="28" t="s">
        <v>48</v>
      </c>
      <c r="H275" s="28" t="s">
        <v>129</v>
      </c>
      <c r="I275" s="116">
        <v>299</v>
      </c>
      <c r="J275" s="27"/>
      <c r="K275" s="40"/>
      <c r="L275" s="29" t="s">
        <v>126</v>
      </c>
      <c r="M275" s="29" t="s">
        <v>126</v>
      </c>
      <c r="N275" s="29" t="s">
        <v>126</v>
      </c>
    </row>
    <row r="276" spans="2:14" x14ac:dyDescent="0.25">
      <c r="B276" s="27" t="s">
        <v>123</v>
      </c>
      <c r="C276" s="28">
        <v>588675</v>
      </c>
      <c r="D276" s="28" t="s">
        <v>1360</v>
      </c>
      <c r="E276" s="27" t="s">
        <v>32</v>
      </c>
      <c r="F276" s="6" t="s">
        <v>1095</v>
      </c>
      <c r="G276" s="28" t="s">
        <v>48</v>
      </c>
      <c r="H276" s="28" t="s">
        <v>129</v>
      </c>
      <c r="I276" s="116">
        <v>199</v>
      </c>
      <c r="J276" s="27"/>
      <c r="K276" s="40"/>
      <c r="L276" s="29" t="s">
        <v>126</v>
      </c>
      <c r="M276" s="29" t="s">
        <v>126</v>
      </c>
      <c r="N276" s="29" t="s">
        <v>126</v>
      </c>
    </row>
    <row r="277" spans="2:14" x14ac:dyDescent="0.25">
      <c r="B277" s="27" t="s">
        <v>123</v>
      </c>
      <c r="C277" s="28">
        <v>588676</v>
      </c>
      <c r="D277" s="28" t="s">
        <v>1361</v>
      </c>
      <c r="E277" s="27" t="s">
        <v>32</v>
      </c>
      <c r="F277" s="6" t="s">
        <v>1095</v>
      </c>
      <c r="G277" s="28" t="s">
        <v>48</v>
      </c>
      <c r="H277" s="28" t="s">
        <v>129</v>
      </c>
      <c r="I277" s="116">
        <v>199</v>
      </c>
      <c r="J277" s="27"/>
      <c r="K277" s="40"/>
      <c r="L277" s="29" t="s">
        <v>126</v>
      </c>
      <c r="M277" s="29" t="s">
        <v>126</v>
      </c>
      <c r="N277" s="29" t="s">
        <v>126</v>
      </c>
    </row>
    <row r="278" spans="2:14" x14ac:dyDescent="0.25">
      <c r="B278" s="27" t="s">
        <v>123</v>
      </c>
      <c r="C278" s="28">
        <v>588674</v>
      </c>
      <c r="D278" s="28" t="s">
        <v>1362</v>
      </c>
      <c r="E278" s="27" t="s">
        <v>32</v>
      </c>
      <c r="F278" s="6" t="s">
        <v>1095</v>
      </c>
      <c r="G278" s="28" t="s">
        <v>48</v>
      </c>
      <c r="H278" s="28" t="s">
        <v>129</v>
      </c>
      <c r="I278" s="116">
        <v>199</v>
      </c>
      <c r="J278" s="27"/>
      <c r="K278" s="40"/>
      <c r="L278" s="29" t="s">
        <v>126</v>
      </c>
      <c r="M278" s="29" t="s">
        <v>126</v>
      </c>
      <c r="N278" s="29" t="s">
        <v>126</v>
      </c>
    </row>
    <row r="279" spans="2:14" x14ac:dyDescent="0.25">
      <c r="B279" s="27" t="s">
        <v>123</v>
      </c>
      <c r="C279" s="28">
        <v>588677</v>
      </c>
      <c r="D279" s="28" t="s">
        <v>1363</v>
      </c>
      <c r="E279" s="27" t="s">
        <v>32</v>
      </c>
      <c r="F279" s="6" t="s">
        <v>1095</v>
      </c>
      <c r="G279" s="28" t="s">
        <v>48</v>
      </c>
      <c r="H279" s="28" t="s">
        <v>129</v>
      </c>
      <c r="I279" s="116">
        <v>199</v>
      </c>
      <c r="J279" s="27"/>
      <c r="K279" s="40"/>
      <c r="L279" s="29" t="s">
        <v>126</v>
      </c>
      <c r="M279" s="29" t="s">
        <v>126</v>
      </c>
      <c r="N279" s="29" t="s">
        <v>126</v>
      </c>
    </row>
    <row r="280" spans="2:14" x14ac:dyDescent="0.25">
      <c r="B280" s="27" t="s">
        <v>123</v>
      </c>
      <c r="C280" s="28">
        <v>588672</v>
      </c>
      <c r="D280" s="28" t="s">
        <v>1364</v>
      </c>
      <c r="E280" s="27" t="s">
        <v>32</v>
      </c>
      <c r="F280" s="6" t="s">
        <v>1095</v>
      </c>
      <c r="G280" s="28" t="s">
        <v>48</v>
      </c>
      <c r="H280" s="28" t="s">
        <v>129</v>
      </c>
      <c r="I280" s="116">
        <v>199</v>
      </c>
      <c r="J280" s="27"/>
      <c r="K280" s="40"/>
      <c r="L280" s="29" t="s">
        <v>126</v>
      </c>
      <c r="M280" s="29" t="s">
        <v>126</v>
      </c>
      <c r="N280" s="29" t="s">
        <v>126</v>
      </c>
    </row>
    <row r="281" spans="2:14" x14ac:dyDescent="0.25">
      <c r="B281" s="27" t="s">
        <v>123</v>
      </c>
      <c r="C281" s="28">
        <v>595748</v>
      </c>
      <c r="D281" s="28" t="s">
        <v>1365</v>
      </c>
      <c r="E281" s="27" t="s">
        <v>32</v>
      </c>
      <c r="F281" s="6" t="s">
        <v>1095</v>
      </c>
      <c r="G281" s="28" t="s">
        <v>48</v>
      </c>
      <c r="H281" s="28" t="s">
        <v>129</v>
      </c>
      <c r="I281" s="116">
        <v>234</v>
      </c>
      <c r="J281" s="27"/>
      <c r="K281" s="40"/>
      <c r="L281" s="29" t="s">
        <v>126</v>
      </c>
      <c r="M281" s="29" t="s">
        <v>126</v>
      </c>
      <c r="N281" s="29" t="s">
        <v>126</v>
      </c>
    </row>
    <row r="282" spans="2:14" x14ac:dyDescent="0.25">
      <c r="B282" s="27" t="s">
        <v>123</v>
      </c>
      <c r="C282" s="28">
        <v>580661</v>
      </c>
      <c r="D282" s="28" t="s">
        <v>1366</v>
      </c>
      <c r="E282" s="27" t="s">
        <v>32</v>
      </c>
      <c r="F282" s="6" t="s">
        <v>1095</v>
      </c>
      <c r="G282" s="28" t="s">
        <v>48</v>
      </c>
      <c r="H282" s="28" t="s">
        <v>129</v>
      </c>
      <c r="I282" s="116">
        <v>99</v>
      </c>
      <c r="J282" s="27"/>
      <c r="K282" s="40"/>
      <c r="L282" s="29" t="s">
        <v>126</v>
      </c>
      <c r="M282" s="29" t="s">
        <v>126</v>
      </c>
      <c r="N282" s="29" t="s">
        <v>126</v>
      </c>
    </row>
    <row r="283" spans="2:14" x14ac:dyDescent="0.25">
      <c r="B283" s="27" t="s">
        <v>123</v>
      </c>
      <c r="C283" s="28">
        <v>46713</v>
      </c>
      <c r="D283" s="28" t="s">
        <v>1367</v>
      </c>
      <c r="E283" s="27" t="s">
        <v>32</v>
      </c>
      <c r="F283" s="6" t="s">
        <v>1095</v>
      </c>
      <c r="G283" s="28" t="s">
        <v>48</v>
      </c>
      <c r="H283" s="28" t="s">
        <v>129</v>
      </c>
      <c r="I283" s="116">
        <v>234</v>
      </c>
      <c r="J283" s="27"/>
      <c r="K283" s="40"/>
      <c r="L283" s="29" t="s">
        <v>126</v>
      </c>
      <c r="M283" s="29" t="s">
        <v>126</v>
      </c>
      <c r="N283" s="29" t="s">
        <v>126</v>
      </c>
    </row>
    <row r="284" spans="2:14" x14ac:dyDescent="0.25">
      <c r="B284" s="27" t="s">
        <v>123</v>
      </c>
      <c r="C284" s="28">
        <v>478352</v>
      </c>
      <c r="D284" s="28" t="s">
        <v>1368</v>
      </c>
      <c r="E284" s="27" t="s">
        <v>32</v>
      </c>
      <c r="F284" s="6" t="s">
        <v>1095</v>
      </c>
      <c r="G284" s="28" t="s">
        <v>48</v>
      </c>
      <c r="H284" s="28" t="s">
        <v>129</v>
      </c>
      <c r="I284" s="116">
        <v>39</v>
      </c>
      <c r="J284" s="27"/>
      <c r="K284" s="40"/>
      <c r="L284" s="29" t="s">
        <v>126</v>
      </c>
      <c r="M284" s="29" t="s">
        <v>126</v>
      </c>
      <c r="N284" s="29" t="s">
        <v>126</v>
      </c>
    </row>
    <row r="285" spans="2:14" x14ac:dyDescent="0.25">
      <c r="B285" s="27" t="s">
        <v>123</v>
      </c>
      <c r="C285" s="28">
        <v>28610</v>
      </c>
      <c r="D285" s="28" t="s">
        <v>1369</v>
      </c>
      <c r="E285" s="27" t="s">
        <v>32</v>
      </c>
      <c r="F285" s="6" t="s">
        <v>1095</v>
      </c>
      <c r="G285" s="28" t="s">
        <v>48</v>
      </c>
      <c r="H285" s="28" t="s">
        <v>129</v>
      </c>
      <c r="I285" s="116">
        <v>234</v>
      </c>
      <c r="J285" s="27"/>
      <c r="K285" s="40"/>
      <c r="L285" s="29" t="s">
        <v>126</v>
      </c>
      <c r="M285" s="29" t="s">
        <v>126</v>
      </c>
      <c r="N285" s="29" t="s">
        <v>126</v>
      </c>
    </row>
    <row r="286" spans="2:14" x14ac:dyDescent="0.25">
      <c r="B286" s="27" t="s">
        <v>123</v>
      </c>
      <c r="C286" s="28">
        <v>111827</v>
      </c>
      <c r="D286" s="28" t="s">
        <v>1370</v>
      </c>
      <c r="E286" s="27" t="s">
        <v>32</v>
      </c>
      <c r="F286" s="6" t="s">
        <v>1095</v>
      </c>
      <c r="G286" s="28" t="s">
        <v>48</v>
      </c>
      <c r="H286" s="28" t="s">
        <v>129</v>
      </c>
      <c r="I286" s="116">
        <v>129</v>
      </c>
      <c r="J286" s="27"/>
      <c r="K286" s="40"/>
      <c r="L286" s="29" t="s">
        <v>126</v>
      </c>
      <c r="M286" s="29" t="s">
        <v>126</v>
      </c>
      <c r="N286" s="29" t="s">
        <v>126</v>
      </c>
    </row>
    <row r="287" spans="2:14" x14ac:dyDescent="0.25">
      <c r="B287" s="27" t="s">
        <v>123</v>
      </c>
      <c r="C287" s="28">
        <v>589674</v>
      </c>
      <c r="D287" s="28" t="s">
        <v>1371</v>
      </c>
      <c r="E287" s="27" t="s">
        <v>32</v>
      </c>
      <c r="F287" s="6" t="s">
        <v>1095</v>
      </c>
      <c r="G287" s="28" t="s">
        <v>48</v>
      </c>
      <c r="H287" s="28" t="s">
        <v>129</v>
      </c>
      <c r="I287" s="116">
        <v>99</v>
      </c>
      <c r="J287" s="27"/>
      <c r="K287" s="40"/>
      <c r="L287" s="29" t="s">
        <v>126</v>
      </c>
      <c r="M287" s="29" t="s">
        <v>126</v>
      </c>
      <c r="N287" s="29" t="s">
        <v>126</v>
      </c>
    </row>
    <row r="288" spans="2:14" x14ac:dyDescent="0.25">
      <c r="B288" s="27" t="s">
        <v>123</v>
      </c>
      <c r="C288" s="28">
        <v>261298</v>
      </c>
      <c r="D288" s="28" t="s">
        <v>1372</v>
      </c>
      <c r="E288" s="27" t="s">
        <v>32</v>
      </c>
      <c r="F288" s="6" t="s">
        <v>1095</v>
      </c>
      <c r="G288" s="28" t="s">
        <v>48</v>
      </c>
      <c r="H288" s="28" t="s">
        <v>129</v>
      </c>
      <c r="I288" s="116">
        <v>99</v>
      </c>
      <c r="J288" s="27"/>
      <c r="K288" s="40"/>
      <c r="L288" s="29" t="s">
        <v>126</v>
      </c>
      <c r="M288" s="29" t="s">
        <v>126</v>
      </c>
      <c r="N288" s="29" t="s">
        <v>126</v>
      </c>
    </row>
    <row r="289" spans="2:14" x14ac:dyDescent="0.25">
      <c r="B289" s="27" t="s">
        <v>123</v>
      </c>
      <c r="C289" s="28">
        <v>214912</v>
      </c>
      <c r="D289" s="28" t="s">
        <v>1373</v>
      </c>
      <c r="E289" s="27" t="s">
        <v>32</v>
      </c>
      <c r="F289" s="6" t="s">
        <v>1095</v>
      </c>
      <c r="G289" s="28" t="s">
        <v>48</v>
      </c>
      <c r="H289" s="28" t="s">
        <v>129</v>
      </c>
      <c r="I289" s="116">
        <v>159</v>
      </c>
      <c r="J289" s="27"/>
      <c r="K289" s="40"/>
      <c r="L289" s="29" t="s">
        <v>126</v>
      </c>
      <c r="M289" s="29" t="s">
        <v>126</v>
      </c>
      <c r="N289" s="29" t="s">
        <v>126</v>
      </c>
    </row>
    <row r="290" spans="2:14" x14ac:dyDescent="0.25">
      <c r="B290" s="27" t="s">
        <v>123</v>
      </c>
      <c r="C290" s="28">
        <v>589675</v>
      </c>
      <c r="D290" s="28" t="s">
        <v>1374</v>
      </c>
      <c r="E290" s="27" t="s">
        <v>32</v>
      </c>
      <c r="F290" s="6" t="s">
        <v>1095</v>
      </c>
      <c r="G290" s="28" t="s">
        <v>48</v>
      </c>
      <c r="H290" s="28" t="s">
        <v>129</v>
      </c>
      <c r="I290" s="116">
        <v>99</v>
      </c>
      <c r="J290" s="27"/>
      <c r="K290" s="40"/>
      <c r="L290" s="29" t="s">
        <v>126</v>
      </c>
      <c r="M290" s="29" t="s">
        <v>126</v>
      </c>
      <c r="N290" s="29" t="s">
        <v>126</v>
      </c>
    </row>
    <row r="291" spans="2:14" x14ac:dyDescent="0.25">
      <c r="B291" s="27" t="s">
        <v>123</v>
      </c>
      <c r="C291" s="28">
        <v>214913</v>
      </c>
      <c r="D291" s="28" t="s">
        <v>1375</v>
      </c>
      <c r="E291" s="27" t="s">
        <v>32</v>
      </c>
      <c r="F291" s="6" t="s">
        <v>1095</v>
      </c>
      <c r="G291" s="28" t="s">
        <v>48</v>
      </c>
      <c r="H291" s="28" t="s">
        <v>129</v>
      </c>
      <c r="I291" s="116">
        <v>149</v>
      </c>
      <c r="J291" s="27"/>
      <c r="K291" s="40"/>
      <c r="L291" s="29" t="s">
        <v>126</v>
      </c>
      <c r="M291" s="29" t="s">
        <v>126</v>
      </c>
      <c r="N291" s="29" t="s">
        <v>126</v>
      </c>
    </row>
    <row r="292" spans="2:14" x14ac:dyDescent="0.25">
      <c r="B292" s="27" t="s">
        <v>123</v>
      </c>
      <c r="C292" s="28">
        <v>571564</v>
      </c>
      <c r="D292" s="28" t="s">
        <v>1376</v>
      </c>
      <c r="E292" s="27" t="s">
        <v>32</v>
      </c>
      <c r="F292" s="6" t="s">
        <v>1095</v>
      </c>
      <c r="G292" s="28" t="s">
        <v>48</v>
      </c>
      <c r="H292" s="28" t="s">
        <v>129</v>
      </c>
      <c r="I292" s="116">
        <v>99</v>
      </c>
      <c r="J292" s="27"/>
      <c r="K292" s="40"/>
      <c r="L292" s="29" t="s">
        <v>126</v>
      </c>
      <c r="M292" s="29" t="s">
        <v>126</v>
      </c>
      <c r="N292" s="29" t="s">
        <v>126</v>
      </c>
    </row>
    <row r="293" spans="2:14" x14ac:dyDescent="0.25">
      <c r="B293" s="27" t="s">
        <v>123</v>
      </c>
      <c r="C293" s="28">
        <v>571563</v>
      </c>
      <c r="D293" s="28" t="s">
        <v>1377</v>
      </c>
      <c r="E293" s="27" t="s">
        <v>32</v>
      </c>
      <c r="F293" s="6" t="s">
        <v>1095</v>
      </c>
      <c r="G293" s="28" t="s">
        <v>48</v>
      </c>
      <c r="H293" s="28" t="s">
        <v>129</v>
      </c>
      <c r="I293" s="116">
        <v>99</v>
      </c>
      <c r="J293" s="27"/>
      <c r="K293" s="40"/>
      <c r="L293" s="29" t="s">
        <v>126</v>
      </c>
      <c r="M293" s="29" t="s">
        <v>126</v>
      </c>
      <c r="N293" s="29" t="s">
        <v>126</v>
      </c>
    </row>
    <row r="294" spans="2:14" x14ac:dyDescent="0.25">
      <c r="B294" s="27" t="s">
        <v>123</v>
      </c>
      <c r="C294" s="28">
        <v>214909</v>
      </c>
      <c r="D294" s="28" t="s">
        <v>1378</v>
      </c>
      <c r="E294" s="27" t="s">
        <v>32</v>
      </c>
      <c r="F294" s="6" t="s">
        <v>1095</v>
      </c>
      <c r="G294" s="28" t="s">
        <v>48</v>
      </c>
      <c r="H294" s="28" t="s">
        <v>129</v>
      </c>
      <c r="I294" s="116">
        <v>284</v>
      </c>
      <c r="J294" s="27"/>
      <c r="K294" s="40"/>
      <c r="L294" s="29" t="s">
        <v>126</v>
      </c>
      <c r="M294" s="29" t="s">
        <v>126</v>
      </c>
      <c r="N294" s="29" t="s">
        <v>126</v>
      </c>
    </row>
    <row r="295" spans="2:14" x14ac:dyDescent="0.25">
      <c r="B295" s="27" t="s">
        <v>123</v>
      </c>
      <c r="C295" s="28">
        <v>111828</v>
      </c>
      <c r="D295" s="28" t="s">
        <v>1379</v>
      </c>
      <c r="E295" s="27" t="s">
        <v>32</v>
      </c>
      <c r="F295" s="6" t="s">
        <v>1095</v>
      </c>
      <c r="G295" s="28" t="s">
        <v>48</v>
      </c>
      <c r="H295" s="28" t="s">
        <v>129</v>
      </c>
      <c r="I295" s="116">
        <v>569</v>
      </c>
      <c r="J295" s="27"/>
      <c r="K295" s="40"/>
      <c r="L295" s="29" t="s">
        <v>126</v>
      </c>
      <c r="M295" s="29" t="s">
        <v>126</v>
      </c>
      <c r="N295" s="29" t="s">
        <v>126</v>
      </c>
    </row>
    <row r="296" spans="2:14" x14ac:dyDescent="0.25">
      <c r="B296" s="27" t="s">
        <v>123</v>
      </c>
      <c r="C296" s="28">
        <v>66728</v>
      </c>
      <c r="D296" s="28" t="s">
        <v>1380</v>
      </c>
      <c r="E296" s="27" t="s">
        <v>32</v>
      </c>
      <c r="F296" s="6" t="s">
        <v>1095</v>
      </c>
      <c r="G296" s="28" t="s">
        <v>48</v>
      </c>
      <c r="H296" s="28" t="s">
        <v>129</v>
      </c>
      <c r="I296" s="116">
        <v>569</v>
      </c>
      <c r="J296" s="27"/>
      <c r="K296" s="40"/>
      <c r="L296" s="29" t="s">
        <v>126</v>
      </c>
      <c r="M296" s="29" t="s">
        <v>126</v>
      </c>
      <c r="N296" s="29" t="s">
        <v>126</v>
      </c>
    </row>
    <row r="297" spans="2:14" x14ac:dyDescent="0.25">
      <c r="B297" s="27" t="s">
        <v>123</v>
      </c>
      <c r="C297" s="28">
        <v>214914</v>
      </c>
      <c r="D297" s="28" t="s">
        <v>1381</v>
      </c>
      <c r="E297" s="27" t="s">
        <v>32</v>
      </c>
      <c r="F297" s="6" t="s">
        <v>1095</v>
      </c>
      <c r="G297" s="28" t="s">
        <v>48</v>
      </c>
      <c r="H297" s="28" t="s">
        <v>129</v>
      </c>
      <c r="I297" s="116">
        <v>259</v>
      </c>
      <c r="J297" s="27"/>
      <c r="K297" s="40"/>
      <c r="L297" s="29" t="s">
        <v>126</v>
      </c>
      <c r="M297" s="29" t="s">
        <v>126</v>
      </c>
      <c r="N297" s="29" t="s">
        <v>126</v>
      </c>
    </row>
    <row r="298" spans="2:14" x14ac:dyDescent="0.25">
      <c r="B298" s="27" t="s">
        <v>123</v>
      </c>
      <c r="C298" s="28">
        <v>173472</v>
      </c>
      <c r="D298" s="28" t="s">
        <v>1382</v>
      </c>
      <c r="E298" s="27" t="s">
        <v>32</v>
      </c>
      <c r="F298" s="6" t="s">
        <v>1095</v>
      </c>
      <c r="G298" s="28" t="s">
        <v>48</v>
      </c>
      <c r="H298" s="28" t="s">
        <v>129</v>
      </c>
      <c r="I298" s="116">
        <v>414</v>
      </c>
      <c r="J298" s="27"/>
      <c r="K298" s="40"/>
      <c r="L298" s="29" t="s">
        <v>126</v>
      </c>
      <c r="M298" s="29" t="s">
        <v>126</v>
      </c>
      <c r="N298" s="29" t="s">
        <v>126</v>
      </c>
    </row>
    <row r="299" spans="2:14" x14ac:dyDescent="0.25">
      <c r="B299" s="27" t="s">
        <v>123</v>
      </c>
      <c r="C299" s="28">
        <v>357499</v>
      </c>
      <c r="D299" s="28" t="s">
        <v>1383</v>
      </c>
      <c r="E299" s="27" t="s">
        <v>32</v>
      </c>
      <c r="F299" s="6" t="s">
        <v>1095</v>
      </c>
      <c r="G299" s="28" t="s">
        <v>48</v>
      </c>
      <c r="H299" s="28" t="s">
        <v>129</v>
      </c>
      <c r="I299" s="116">
        <v>464</v>
      </c>
      <c r="J299" s="27"/>
      <c r="K299" s="40"/>
      <c r="L299" s="29" t="s">
        <v>126</v>
      </c>
      <c r="M299" s="29" t="s">
        <v>126</v>
      </c>
      <c r="N299" s="29" t="s">
        <v>126</v>
      </c>
    </row>
    <row r="300" spans="2:14" x14ac:dyDescent="0.25">
      <c r="B300" s="27" t="s">
        <v>123</v>
      </c>
      <c r="C300" s="28">
        <v>552168</v>
      </c>
      <c r="D300" s="28" t="s">
        <v>1384</v>
      </c>
      <c r="E300" s="27" t="s">
        <v>32</v>
      </c>
      <c r="F300" s="6" t="s">
        <v>1095</v>
      </c>
      <c r="G300" s="28" t="s">
        <v>48</v>
      </c>
      <c r="H300" s="28" t="s">
        <v>129</v>
      </c>
      <c r="I300" s="116">
        <v>199</v>
      </c>
      <c r="J300" s="27"/>
      <c r="K300" s="40"/>
      <c r="L300" s="29" t="s">
        <v>126</v>
      </c>
      <c r="M300" s="29" t="s">
        <v>126</v>
      </c>
      <c r="N300" s="29" t="s">
        <v>126</v>
      </c>
    </row>
    <row r="301" spans="2:14" x14ac:dyDescent="0.25">
      <c r="B301" s="27" t="s">
        <v>123</v>
      </c>
      <c r="C301" s="28">
        <v>552169</v>
      </c>
      <c r="D301" s="28" t="s">
        <v>1385</v>
      </c>
      <c r="E301" s="27" t="s">
        <v>32</v>
      </c>
      <c r="F301" s="6" t="s">
        <v>1095</v>
      </c>
      <c r="G301" s="28" t="s">
        <v>48</v>
      </c>
      <c r="H301" s="28" t="s">
        <v>129</v>
      </c>
      <c r="I301" s="116">
        <v>199</v>
      </c>
      <c r="J301" s="27"/>
      <c r="K301" s="40"/>
      <c r="L301" s="29" t="s">
        <v>126</v>
      </c>
      <c r="M301" s="29" t="s">
        <v>126</v>
      </c>
      <c r="N301" s="29" t="s">
        <v>126</v>
      </c>
    </row>
    <row r="302" spans="2:14" x14ac:dyDescent="0.25">
      <c r="B302" s="27" t="s">
        <v>123</v>
      </c>
      <c r="C302" s="28">
        <v>492272</v>
      </c>
      <c r="D302" s="28" t="s">
        <v>1386</v>
      </c>
      <c r="E302" s="27" t="s">
        <v>32</v>
      </c>
      <c r="F302" s="6" t="s">
        <v>1095</v>
      </c>
      <c r="G302" s="28" t="s">
        <v>48</v>
      </c>
      <c r="H302" s="28" t="s">
        <v>129</v>
      </c>
      <c r="I302" s="116">
        <v>274</v>
      </c>
      <c r="J302" s="27"/>
      <c r="K302" s="40"/>
      <c r="L302" s="29" t="s">
        <v>126</v>
      </c>
      <c r="M302" s="29" t="s">
        <v>126</v>
      </c>
      <c r="N302" s="29" t="s">
        <v>126</v>
      </c>
    </row>
    <row r="303" spans="2:14" x14ac:dyDescent="0.25">
      <c r="B303" s="27" t="s">
        <v>123</v>
      </c>
      <c r="C303" s="28">
        <v>492271</v>
      </c>
      <c r="D303" s="28" t="s">
        <v>1387</v>
      </c>
      <c r="E303" s="27" t="s">
        <v>32</v>
      </c>
      <c r="F303" s="6" t="s">
        <v>1095</v>
      </c>
      <c r="G303" s="28" t="s">
        <v>48</v>
      </c>
      <c r="H303" s="28" t="s">
        <v>129</v>
      </c>
      <c r="I303" s="116">
        <v>274</v>
      </c>
      <c r="J303" s="27"/>
      <c r="K303" s="40"/>
      <c r="L303" s="29" t="s">
        <v>126</v>
      </c>
      <c r="M303" s="29" t="s">
        <v>126</v>
      </c>
      <c r="N303" s="29" t="s">
        <v>126</v>
      </c>
    </row>
    <row r="304" spans="2:14" x14ac:dyDescent="0.25">
      <c r="B304" s="27" t="s">
        <v>123</v>
      </c>
      <c r="C304" s="28">
        <v>552170</v>
      </c>
      <c r="D304" s="28" t="s">
        <v>1388</v>
      </c>
      <c r="E304" s="27" t="s">
        <v>32</v>
      </c>
      <c r="F304" s="6" t="s">
        <v>1095</v>
      </c>
      <c r="G304" s="28" t="s">
        <v>48</v>
      </c>
      <c r="H304" s="28" t="s">
        <v>129</v>
      </c>
      <c r="I304" s="116">
        <v>199</v>
      </c>
      <c r="J304" s="27"/>
      <c r="K304" s="40"/>
      <c r="L304" s="29" t="s">
        <v>126</v>
      </c>
      <c r="M304" s="29" t="s">
        <v>126</v>
      </c>
      <c r="N304" s="29" t="s">
        <v>126</v>
      </c>
    </row>
    <row r="305" spans="2:14" x14ac:dyDescent="0.25">
      <c r="B305" s="27" t="s">
        <v>123</v>
      </c>
      <c r="C305" s="28">
        <v>552166</v>
      </c>
      <c r="D305" s="28" t="s">
        <v>1389</v>
      </c>
      <c r="E305" s="27" t="s">
        <v>32</v>
      </c>
      <c r="F305" s="6" t="s">
        <v>1095</v>
      </c>
      <c r="G305" s="28" t="s">
        <v>48</v>
      </c>
      <c r="H305" s="28" t="s">
        <v>129</v>
      </c>
      <c r="I305" s="116">
        <v>249</v>
      </c>
      <c r="J305" s="27"/>
      <c r="K305" s="40"/>
      <c r="L305" s="29" t="s">
        <v>126</v>
      </c>
      <c r="M305" s="29" t="s">
        <v>126</v>
      </c>
      <c r="N305" s="29" t="s">
        <v>126</v>
      </c>
    </row>
    <row r="306" spans="2:14" x14ac:dyDescent="0.25">
      <c r="B306" s="27" t="s">
        <v>123</v>
      </c>
      <c r="C306" s="28">
        <v>552165</v>
      </c>
      <c r="D306" s="28" t="s">
        <v>1390</v>
      </c>
      <c r="E306" s="27" t="s">
        <v>32</v>
      </c>
      <c r="F306" s="6" t="s">
        <v>1095</v>
      </c>
      <c r="G306" s="28" t="s">
        <v>48</v>
      </c>
      <c r="H306" s="28" t="s">
        <v>129</v>
      </c>
      <c r="I306" s="116">
        <v>249</v>
      </c>
      <c r="J306" s="27"/>
      <c r="K306" s="40"/>
      <c r="L306" s="29" t="s">
        <v>126</v>
      </c>
      <c r="M306" s="29" t="s">
        <v>126</v>
      </c>
      <c r="N306" s="29" t="s">
        <v>126</v>
      </c>
    </row>
    <row r="307" spans="2:14" x14ac:dyDescent="0.25">
      <c r="B307" s="27" t="s">
        <v>123</v>
      </c>
      <c r="C307" s="28">
        <v>552167</v>
      </c>
      <c r="D307" s="28" t="s">
        <v>1391</v>
      </c>
      <c r="E307" s="27" t="s">
        <v>32</v>
      </c>
      <c r="F307" s="6" t="s">
        <v>1095</v>
      </c>
      <c r="G307" s="28" t="s">
        <v>48</v>
      </c>
      <c r="H307" s="28" t="s">
        <v>129</v>
      </c>
      <c r="I307" s="116">
        <v>249</v>
      </c>
      <c r="J307" s="27"/>
      <c r="K307" s="40"/>
      <c r="L307" s="29" t="s">
        <v>126</v>
      </c>
      <c r="M307" s="29" t="s">
        <v>126</v>
      </c>
      <c r="N307" s="29" t="s">
        <v>126</v>
      </c>
    </row>
    <row r="308" spans="2:14" x14ac:dyDescent="0.25">
      <c r="B308" s="27" t="s">
        <v>123</v>
      </c>
      <c r="C308" s="28">
        <v>121032</v>
      </c>
      <c r="D308" s="28" t="s">
        <v>1392</v>
      </c>
      <c r="E308" s="27" t="s">
        <v>32</v>
      </c>
      <c r="F308" s="6" t="s">
        <v>1095</v>
      </c>
      <c r="G308" s="28" t="s">
        <v>48</v>
      </c>
      <c r="H308" s="28" t="s">
        <v>129</v>
      </c>
      <c r="I308" s="116">
        <v>59</v>
      </c>
      <c r="J308" s="27"/>
      <c r="K308" s="40"/>
      <c r="L308" s="29" t="s">
        <v>126</v>
      </c>
      <c r="M308" s="29" t="s">
        <v>126</v>
      </c>
      <c r="N308" s="29" t="s">
        <v>126</v>
      </c>
    </row>
    <row r="309" spans="2:14" x14ac:dyDescent="0.25">
      <c r="B309" s="27" t="s">
        <v>123</v>
      </c>
      <c r="C309" s="28">
        <v>2648</v>
      </c>
      <c r="D309" s="28" t="s">
        <v>1393</v>
      </c>
      <c r="E309" s="27" t="s">
        <v>32</v>
      </c>
      <c r="F309" s="6" t="s">
        <v>1095</v>
      </c>
      <c r="G309" s="28" t="s">
        <v>48</v>
      </c>
      <c r="H309" s="28" t="s">
        <v>129</v>
      </c>
      <c r="I309" s="116">
        <v>184</v>
      </c>
      <c r="J309" s="27"/>
      <c r="K309" s="40"/>
      <c r="L309" s="29" t="s">
        <v>126</v>
      </c>
      <c r="M309" s="29" t="s">
        <v>126</v>
      </c>
      <c r="N309" s="29" t="s">
        <v>126</v>
      </c>
    </row>
    <row r="310" spans="2:14" x14ac:dyDescent="0.25">
      <c r="B310" s="27" t="s">
        <v>123</v>
      </c>
      <c r="C310" s="28">
        <v>2398</v>
      </c>
      <c r="D310" s="28" t="s">
        <v>1394</v>
      </c>
      <c r="E310" s="27" t="s">
        <v>32</v>
      </c>
      <c r="F310" s="6" t="s">
        <v>1095</v>
      </c>
      <c r="G310" s="28" t="s">
        <v>48</v>
      </c>
      <c r="H310" s="28" t="s">
        <v>129</v>
      </c>
      <c r="I310" s="116">
        <v>114</v>
      </c>
      <c r="J310" s="27"/>
      <c r="K310" s="40"/>
      <c r="L310" s="29" t="s">
        <v>126</v>
      </c>
      <c r="M310" s="29" t="s">
        <v>126</v>
      </c>
      <c r="N310" s="29" t="s">
        <v>126</v>
      </c>
    </row>
    <row r="311" spans="2:14" x14ac:dyDescent="0.25">
      <c r="B311" s="27" t="s">
        <v>123</v>
      </c>
      <c r="C311" s="28">
        <v>147949</v>
      </c>
      <c r="D311" s="28" t="s">
        <v>1395</v>
      </c>
      <c r="E311" s="27" t="s">
        <v>32</v>
      </c>
      <c r="F311" s="6" t="s">
        <v>1095</v>
      </c>
      <c r="G311" s="28" t="s">
        <v>48</v>
      </c>
      <c r="H311" s="28" t="s">
        <v>129</v>
      </c>
      <c r="I311" s="116">
        <v>99</v>
      </c>
      <c r="J311" s="27"/>
      <c r="K311" s="40"/>
      <c r="L311" s="29" t="s">
        <v>126</v>
      </c>
      <c r="M311" s="29" t="s">
        <v>126</v>
      </c>
      <c r="N311" s="29" t="s">
        <v>126</v>
      </c>
    </row>
    <row r="312" spans="2:14" x14ac:dyDescent="0.25">
      <c r="B312" s="27" t="s">
        <v>123</v>
      </c>
      <c r="C312" s="28">
        <v>147948</v>
      </c>
      <c r="D312" s="28" t="s">
        <v>1396</v>
      </c>
      <c r="E312" s="27" t="s">
        <v>32</v>
      </c>
      <c r="F312" s="6" t="s">
        <v>1095</v>
      </c>
      <c r="G312" s="28" t="s">
        <v>48</v>
      </c>
      <c r="H312" s="28" t="s">
        <v>129</v>
      </c>
      <c r="I312" s="116">
        <v>99</v>
      </c>
      <c r="J312" s="27"/>
      <c r="K312" s="40"/>
      <c r="L312" s="29" t="s">
        <v>126</v>
      </c>
      <c r="M312" s="29" t="s">
        <v>126</v>
      </c>
      <c r="N312" s="29" t="s">
        <v>126</v>
      </c>
    </row>
    <row r="313" spans="2:14" x14ac:dyDescent="0.25">
      <c r="B313" s="27" t="s">
        <v>123</v>
      </c>
      <c r="C313" s="28">
        <v>147947</v>
      </c>
      <c r="D313" s="28" t="s">
        <v>1397</v>
      </c>
      <c r="E313" s="27" t="s">
        <v>32</v>
      </c>
      <c r="F313" s="6" t="s">
        <v>1095</v>
      </c>
      <c r="G313" s="28" t="s">
        <v>48</v>
      </c>
      <c r="H313" s="28" t="s">
        <v>129</v>
      </c>
      <c r="I313" s="116">
        <v>99</v>
      </c>
      <c r="J313" s="27"/>
      <c r="K313" s="40"/>
      <c r="L313" s="29" t="s">
        <v>126</v>
      </c>
      <c r="M313" s="29" t="s">
        <v>126</v>
      </c>
      <c r="N313" s="29" t="s">
        <v>126</v>
      </c>
    </row>
    <row r="314" spans="2:14" x14ac:dyDescent="0.25">
      <c r="B314" s="27" t="s">
        <v>123</v>
      </c>
      <c r="C314" s="28">
        <v>116270</v>
      </c>
      <c r="D314" s="28" t="s">
        <v>1398</v>
      </c>
      <c r="E314" s="27" t="s">
        <v>32</v>
      </c>
      <c r="F314" s="6" t="s">
        <v>1095</v>
      </c>
      <c r="G314" s="28" t="s">
        <v>48</v>
      </c>
      <c r="H314" s="28" t="s">
        <v>129</v>
      </c>
      <c r="I314" s="116">
        <v>89</v>
      </c>
      <c r="J314" s="27"/>
      <c r="K314" s="40"/>
      <c r="L314" s="29" t="s">
        <v>126</v>
      </c>
      <c r="M314" s="29" t="s">
        <v>126</v>
      </c>
      <c r="N314" s="29" t="s">
        <v>126</v>
      </c>
    </row>
    <row r="315" spans="2:14" x14ac:dyDescent="0.25">
      <c r="B315" s="27" t="s">
        <v>123</v>
      </c>
      <c r="C315" s="28">
        <v>274300</v>
      </c>
      <c r="D315" s="28" t="s">
        <v>1399</v>
      </c>
      <c r="E315" s="27" t="s">
        <v>32</v>
      </c>
      <c r="F315" s="6" t="s">
        <v>1095</v>
      </c>
      <c r="G315" s="28" t="s">
        <v>48</v>
      </c>
      <c r="H315" s="28" t="s">
        <v>129</v>
      </c>
      <c r="I315" s="116">
        <v>199</v>
      </c>
      <c r="J315" s="27"/>
      <c r="K315" s="40"/>
      <c r="L315" s="29" t="s">
        <v>126</v>
      </c>
      <c r="M315" s="29" t="s">
        <v>126</v>
      </c>
      <c r="N315" s="29" t="s">
        <v>126</v>
      </c>
    </row>
    <row r="316" spans="2:14" x14ac:dyDescent="0.25">
      <c r="B316" s="27" t="s">
        <v>123</v>
      </c>
      <c r="C316" s="28">
        <v>273039</v>
      </c>
      <c r="D316" s="28" t="s">
        <v>1400</v>
      </c>
      <c r="E316" s="27" t="s">
        <v>32</v>
      </c>
      <c r="F316" s="6" t="s">
        <v>1095</v>
      </c>
      <c r="G316" s="28" t="s">
        <v>48</v>
      </c>
      <c r="H316" s="28" t="s">
        <v>129</v>
      </c>
      <c r="I316" s="116">
        <v>124</v>
      </c>
      <c r="J316" s="27"/>
      <c r="K316" s="40"/>
      <c r="L316" s="29" t="s">
        <v>126</v>
      </c>
      <c r="M316" s="29" t="s">
        <v>126</v>
      </c>
      <c r="N316" s="29" t="s">
        <v>126</v>
      </c>
    </row>
    <row r="317" spans="2:14" x14ac:dyDescent="0.25">
      <c r="B317" s="27" t="s">
        <v>123</v>
      </c>
      <c r="C317" s="28">
        <v>274301</v>
      </c>
      <c r="D317" s="28" t="s">
        <v>1401</v>
      </c>
      <c r="E317" s="27" t="s">
        <v>32</v>
      </c>
      <c r="F317" s="6" t="s">
        <v>1095</v>
      </c>
      <c r="G317" s="28" t="s">
        <v>48</v>
      </c>
      <c r="H317" s="28" t="s">
        <v>129</v>
      </c>
      <c r="I317" s="116">
        <v>199</v>
      </c>
      <c r="J317" s="27"/>
      <c r="K317" s="40"/>
      <c r="L317" s="29" t="s">
        <v>126</v>
      </c>
      <c r="M317" s="29" t="s">
        <v>126</v>
      </c>
      <c r="N317" s="29" t="s">
        <v>126</v>
      </c>
    </row>
    <row r="318" spans="2:14" x14ac:dyDescent="0.25">
      <c r="B318" s="27" t="s">
        <v>123</v>
      </c>
      <c r="C318" s="28">
        <v>406023</v>
      </c>
      <c r="D318" s="28" t="s">
        <v>1402</v>
      </c>
      <c r="E318" s="27" t="s">
        <v>32</v>
      </c>
      <c r="F318" s="6" t="s">
        <v>1095</v>
      </c>
      <c r="G318" s="28" t="s">
        <v>48</v>
      </c>
      <c r="H318" s="28" t="s">
        <v>129</v>
      </c>
      <c r="I318" s="116">
        <v>199</v>
      </c>
      <c r="J318" s="27"/>
      <c r="K318" s="40"/>
      <c r="L318" s="29" t="s">
        <v>126</v>
      </c>
      <c r="M318" s="29" t="s">
        <v>126</v>
      </c>
      <c r="N318" s="29" t="s">
        <v>126</v>
      </c>
    </row>
    <row r="319" spans="2:14" x14ac:dyDescent="0.25">
      <c r="B319" s="27" t="s">
        <v>123</v>
      </c>
      <c r="C319" s="28">
        <v>519796</v>
      </c>
      <c r="D319" s="28" t="s">
        <v>1403</v>
      </c>
      <c r="E319" s="27" t="s">
        <v>32</v>
      </c>
      <c r="F319" s="6" t="s">
        <v>1095</v>
      </c>
      <c r="G319" s="28" t="s">
        <v>48</v>
      </c>
      <c r="H319" s="28" t="s">
        <v>129</v>
      </c>
      <c r="I319" s="116">
        <v>299</v>
      </c>
      <c r="J319" s="27"/>
      <c r="K319" s="40"/>
      <c r="L319" s="29" t="s">
        <v>126</v>
      </c>
      <c r="M319" s="29" t="s">
        <v>126</v>
      </c>
      <c r="N319" s="29" t="s">
        <v>126</v>
      </c>
    </row>
    <row r="320" spans="2:14" x14ac:dyDescent="0.25">
      <c r="B320" s="27" t="s">
        <v>123</v>
      </c>
      <c r="C320" s="28">
        <v>519797</v>
      </c>
      <c r="D320" s="28" t="s">
        <v>1404</v>
      </c>
      <c r="E320" s="27" t="s">
        <v>32</v>
      </c>
      <c r="F320" s="6" t="s">
        <v>1095</v>
      </c>
      <c r="G320" s="28" t="s">
        <v>48</v>
      </c>
      <c r="H320" s="28" t="s">
        <v>129</v>
      </c>
      <c r="I320" s="116">
        <v>299</v>
      </c>
      <c r="J320" s="27"/>
      <c r="K320" s="40"/>
      <c r="L320" s="29" t="s">
        <v>126</v>
      </c>
      <c r="M320" s="29" t="s">
        <v>126</v>
      </c>
      <c r="N320" s="29" t="s">
        <v>126</v>
      </c>
    </row>
    <row r="321" spans="2:14" x14ac:dyDescent="0.25">
      <c r="B321" s="27" t="s">
        <v>123</v>
      </c>
      <c r="C321" s="28">
        <v>519798</v>
      </c>
      <c r="D321" s="28" t="s">
        <v>1405</v>
      </c>
      <c r="E321" s="27" t="s">
        <v>32</v>
      </c>
      <c r="F321" s="6" t="s">
        <v>1095</v>
      </c>
      <c r="G321" s="28" t="s">
        <v>48</v>
      </c>
      <c r="H321" s="28" t="s">
        <v>129</v>
      </c>
      <c r="I321" s="116">
        <v>299</v>
      </c>
      <c r="J321" s="27"/>
      <c r="K321" s="40"/>
      <c r="L321" s="29" t="s">
        <v>126</v>
      </c>
      <c r="M321" s="29" t="s">
        <v>126</v>
      </c>
      <c r="N321" s="29" t="s">
        <v>126</v>
      </c>
    </row>
    <row r="322" spans="2:14" x14ac:dyDescent="0.25">
      <c r="B322" s="27" t="s">
        <v>123</v>
      </c>
      <c r="C322" s="28">
        <v>504565</v>
      </c>
      <c r="D322" s="28" t="s">
        <v>1406</v>
      </c>
      <c r="E322" s="27" t="s">
        <v>32</v>
      </c>
      <c r="F322" s="6" t="s">
        <v>1095</v>
      </c>
      <c r="G322" s="28" t="s">
        <v>48</v>
      </c>
      <c r="H322" s="28" t="s">
        <v>129</v>
      </c>
      <c r="I322" s="116">
        <v>299</v>
      </c>
      <c r="J322" s="27"/>
      <c r="K322" s="40"/>
      <c r="L322" s="29" t="s">
        <v>126</v>
      </c>
      <c r="M322" s="29" t="s">
        <v>126</v>
      </c>
      <c r="N322" s="29" t="s">
        <v>126</v>
      </c>
    </row>
    <row r="323" spans="2:14" x14ac:dyDescent="0.25">
      <c r="B323" s="27" t="s">
        <v>123</v>
      </c>
      <c r="C323" s="28">
        <v>504562</v>
      </c>
      <c r="D323" s="28" t="s">
        <v>1407</v>
      </c>
      <c r="E323" s="27" t="s">
        <v>32</v>
      </c>
      <c r="F323" s="6" t="s">
        <v>1095</v>
      </c>
      <c r="G323" s="28" t="s">
        <v>48</v>
      </c>
      <c r="H323" s="28" t="s">
        <v>129</v>
      </c>
      <c r="I323" s="116">
        <v>299</v>
      </c>
      <c r="J323" s="27"/>
      <c r="K323" s="40"/>
      <c r="L323" s="29" t="s">
        <v>126</v>
      </c>
      <c r="M323" s="29" t="s">
        <v>126</v>
      </c>
      <c r="N323" s="29" t="s">
        <v>126</v>
      </c>
    </row>
    <row r="324" spans="2:14" x14ac:dyDescent="0.25">
      <c r="B324" s="27" t="s">
        <v>123</v>
      </c>
      <c r="C324" s="28">
        <v>579700</v>
      </c>
      <c r="D324" s="28" t="s">
        <v>1408</v>
      </c>
      <c r="E324" s="27" t="s">
        <v>32</v>
      </c>
      <c r="F324" s="6" t="s">
        <v>1095</v>
      </c>
      <c r="G324" s="28" t="s">
        <v>48</v>
      </c>
      <c r="H324" s="28" t="s">
        <v>129</v>
      </c>
      <c r="I324" s="116">
        <v>299</v>
      </c>
      <c r="J324" s="27"/>
      <c r="K324" s="40"/>
      <c r="L324" s="29" t="s">
        <v>126</v>
      </c>
      <c r="M324" s="29" t="s">
        <v>126</v>
      </c>
      <c r="N324" s="29" t="s">
        <v>126</v>
      </c>
    </row>
    <row r="325" spans="2:14" x14ac:dyDescent="0.25">
      <c r="B325" s="27" t="s">
        <v>123</v>
      </c>
      <c r="C325" s="28">
        <v>504559</v>
      </c>
      <c r="D325" s="28" t="s">
        <v>1409</v>
      </c>
      <c r="E325" s="27" t="s">
        <v>32</v>
      </c>
      <c r="F325" s="6" t="s">
        <v>1095</v>
      </c>
      <c r="G325" s="28" t="s">
        <v>48</v>
      </c>
      <c r="H325" s="28" t="s">
        <v>129</v>
      </c>
      <c r="I325" s="116">
        <v>299</v>
      </c>
      <c r="J325" s="27"/>
      <c r="K325" s="40"/>
      <c r="L325" s="29" t="s">
        <v>126</v>
      </c>
      <c r="M325" s="29" t="s">
        <v>126</v>
      </c>
      <c r="N325" s="29" t="s">
        <v>126</v>
      </c>
    </row>
    <row r="326" spans="2:14" x14ac:dyDescent="0.25">
      <c r="B326" s="27" t="s">
        <v>123</v>
      </c>
      <c r="C326" s="28">
        <v>519799</v>
      </c>
      <c r="D326" s="28" t="s">
        <v>1410</v>
      </c>
      <c r="E326" s="27" t="s">
        <v>32</v>
      </c>
      <c r="F326" s="6" t="s">
        <v>1095</v>
      </c>
      <c r="G326" s="28" t="s">
        <v>48</v>
      </c>
      <c r="H326" s="28" t="s">
        <v>129</v>
      </c>
      <c r="I326" s="116">
        <v>299</v>
      </c>
      <c r="J326" s="27"/>
      <c r="K326" s="40"/>
      <c r="L326" s="29" t="s">
        <v>126</v>
      </c>
      <c r="M326" s="29" t="s">
        <v>126</v>
      </c>
      <c r="N326" s="29" t="s">
        <v>126</v>
      </c>
    </row>
    <row r="327" spans="2:14" x14ac:dyDescent="0.25">
      <c r="B327" s="27" t="s">
        <v>123</v>
      </c>
      <c r="C327" s="28">
        <v>504564</v>
      </c>
      <c r="D327" s="28" t="s">
        <v>1411</v>
      </c>
      <c r="E327" s="27" t="s">
        <v>32</v>
      </c>
      <c r="F327" s="6" t="s">
        <v>1095</v>
      </c>
      <c r="G327" s="28" t="s">
        <v>48</v>
      </c>
      <c r="H327" s="28" t="s">
        <v>129</v>
      </c>
      <c r="I327" s="116">
        <v>299</v>
      </c>
      <c r="J327" s="27"/>
      <c r="K327" s="40"/>
      <c r="L327" s="29" t="s">
        <v>126</v>
      </c>
      <c r="M327" s="29" t="s">
        <v>126</v>
      </c>
      <c r="N327" s="29" t="s">
        <v>126</v>
      </c>
    </row>
    <row r="328" spans="2:14" x14ac:dyDescent="0.25">
      <c r="B328" s="27" t="s">
        <v>123</v>
      </c>
      <c r="C328" s="28">
        <v>83062</v>
      </c>
      <c r="D328" s="28" t="s">
        <v>1412</v>
      </c>
      <c r="E328" s="27" t="s">
        <v>32</v>
      </c>
      <c r="F328" s="6" t="s">
        <v>1095</v>
      </c>
      <c r="G328" s="28" t="s">
        <v>48</v>
      </c>
      <c r="H328" s="28" t="s">
        <v>129</v>
      </c>
      <c r="I328" s="116">
        <v>149</v>
      </c>
      <c r="J328" s="27"/>
      <c r="K328" s="40"/>
      <c r="L328" s="29" t="s">
        <v>126</v>
      </c>
      <c r="M328" s="29" t="s">
        <v>126</v>
      </c>
      <c r="N328" s="29" t="s">
        <v>126</v>
      </c>
    </row>
    <row r="329" spans="2:14" x14ac:dyDescent="0.25">
      <c r="B329" s="27" t="s">
        <v>123</v>
      </c>
      <c r="C329" s="28">
        <v>83079</v>
      </c>
      <c r="D329" s="28" t="s">
        <v>1413</v>
      </c>
      <c r="E329" s="27" t="s">
        <v>32</v>
      </c>
      <c r="F329" s="6" t="s">
        <v>1095</v>
      </c>
      <c r="G329" s="28" t="s">
        <v>48</v>
      </c>
      <c r="H329" s="28" t="s">
        <v>129</v>
      </c>
      <c r="I329" s="116">
        <v>149</v>
      </c>
      <c r="J329" s="27"/>
      <c r="K329" s="40"/>
      <c r="L329" s="29" t="s">
        <v>126</v>
      </c>
      <c r="M329" s="29" t="s">
        <v>126</v>
      </c>
      <c r="N329" s="29" t="s">
        <v>126</v>
      </c>
    </row>
    <row r="330" spans="2:14" x14ac:dyDescent="0.25">
      <c r="B330" s="27" t="s">
        <v>123</v>
      </c>
      <c r="C330" s="28">
        <v>83116</v>
      </c>
      <c r="D330" s="28" t="s">
        <v>1414</v>
      </c>
      <c r="E330" s="27" t="s">
        <v>32</v>
      </c>
      <c r="F330" s="6" t="s">
        <v>1095</v>
      </c>
      <c r="G330" s="28" t="s">
        <v>48</v>
      </c>
      <c r="H330" s="28" t="s">
        <v>129</v>
      </c>
      <c r="I330" s="116">
        <v>149</v>
      </c>
      <c r="J330" s="27"/>
      <c r="K330" s="40"/>
      <c r="L330" s="29" t="s">
        <v>126</v>
      </c>
      <c r="M330" s="29" t="s">
        <v>126</v>
      </c>
      <c r="N330" s="29" t="s">
        <v>126</v>
      </c>
    </row>
    <row r="331" spans="2:14" x14ac:dyDescent="0.25">
      <c r="B331" s="27" t="s">
        <v>123</v>
      </c>
      <c r="C331" s="28">
        <v>2322</v>
      </c>
      <c r="D331" s="28" t="s">
        <v>1415</v>
      </c>
      <c r="E331" s="27" t="s">
        <v>32</v>
      </c>
      <c r="F331" s="6" t="s">
        <v>1095</v>
      </c>
      <c r="G331" s="28" t="s">
        <v>48</v>
      </c>
      <c r="H331" s="28" t="s">
        <v>129</v>
      </c>
      <c r="I331" s="116">
        <v>229</v>
      </c>
      <c r="J331" s="27"/>
      <c r="K331" s="40"/>
      <c r="L331" s="29" t="s">
        <v>126</v>
      </c>
      <c r="M331" s="29" t="s">
        <v>126</v>
      </c>
      <c r="N331" s="29" t="s">
        <v>126</v>
      </c>
    </row>
    <row r="332" spans="2:14" x14ac:dyDescent="0.25">
      <c r="B332" s="27" t="s">
        <v>123</v>
      </c>
      <c r="C332" s="28">
        <v>53905</v>
      </c>
      <c r="D332" s="28" t="s">
        <v>1416</v>
      </c>
      <c r="E332" s="27" t="s">
        <v>32</v>
      </c>
      <c r="F332" s="6" t="s">
        <v>1095</v>
      </c>
      <c r="G332" s="28" t="s">
        <v>48</v>
      </c>
      <c r="H332" s="28" t="s">
        <v>129</v>
      </c>
      <c r="I332" s="116">
        <v>289</v>
      </c>
      <c r="J332" s="27"/>
      <c r="K332" s="40"/>
      <c r="L332" s="29" t="s">
        <v>126</v>
      </c>
      <c r="M332" s="29" t="s">
        <v>126</v>
      </c>
      <c r="N332" s="29" t="s">
        <v>126</v>
      </c>
    </row>
    <row r="333" spans="2:14" x14ac:dyDescent="0.25">
      <c r="B333" s="27" t="s">
        <v>123</v>
      </c>
      <c r="C333" s="28">
        <v>262985</v>
      </c>
      <c r="D333" s="28" t="s">
        <v>1417</v>
      </c>
      <c r="E333" s="27" t="s">
        <v>32</v>
      </c>
      <c r="F333" s="6" t="s">
        <v>1095</v>
      </c>
      <c r="G333" s="28" t="s">
        <v>48</v>
      </c>
      <c r="H333" s="28" t="s">
        <v>129</v>
      </c>
      <c r="I333" s="116">
        <v>94</v>
      </c>
      <c r="J333" s="27"/>
      <c r="K333" s="40"/>
      <c r="L333" s="29" t="s">
        <v>126</v>
      </c>
      <c r="M333" s="29" t="s">
        <v>126</v>
      </c>
      <c r="N333" s="29" t="s">
        <v>126</v>
      </c>
    </row>
    <row r="334" spans="2:14" x14ac:dyDescent="0.25">
      <c r="B334" s="27" t="s">
        <v>123</v>
      </c>
      <c r="C334" s="28">
        <v>393561</v>
      </c>
      <c r="D334" s="28" t="s">
        <v>1418</v>
      </c>
      <c r="E334" s="27" t="s">
        <v>32</v>
      </c>
      <c r="F334" s="6" t="s">
        <v>1095</v>
      </c>
      <c r="G334" s="28" t="s">
        <v>48</v>
      </c>
      <c r="H334" s="28" t="s">
        <v>129</v>
      </c>
      <c r="I334" s="116">
        <v>169</v>
      </c>
      <c r="J334" s="27"/>
      <c r="K334" s="40"/>
      <c r="L334" s="29" t="s">
        <v>126</v>
      </c>
      <c r="M334" s="29" t="s">
        <v>126</v>
      </c>
      <c r="N334" s="29" t="s">
        <v>126</v>
      </c>
    </row>
    <row r="335" spans="2:14" x14ac:dyDescent="0.25">
      <c r="B335" s="27" t="s">
        <v>123</v>
      </c>
      <c r="C335" s="28">
        <v>393567</v>
      </c>
      <c r="D335" s="28" t="s">
        <v>1419</v>
      </c>
      <c r="E335" s="27" t="s">
        <v>32</v>
      </c>
      <c r="F335" s="6" t="s">
        <v>1095</v>
      </c>
      <c r="G335" s="28" t="s">
        <v>48</v>
      </c>
      <c r="H335" s="28" t="s">
        <v>129</v>
      </c>
      <c r="I335" s="116">
        <v>199</v>
      </c>
      <c r="J335" s="27"/>
      <c r="K335" s="40"/>
      <c r="L335" s="29" t="s">
        <v>126</v>
      </c>
      <c r="M335" s="29" t="s">
        <v>126</v>
      </c>
      <c r="N335" s="29" t="s">
        <v>126</v>
      </c>
    </row>
    <row r="336" spans="2:14" x14ac:dyDescent="0.25">
      <c r="B336" s="27" t="s">
        <v>123</v>
      </c>
      <c r="C336" s="28">
        <v>449526</v>
      </c>
      <c r="D336" s="28" t="s">
        <v>1420</v>
      </c>
      <c r="E336" s="27" t="s">
        <v>32</v>
      </c>
      <c r="F336" s="6" t="s">
        <v>1095</v>
      </c>
      <c r="G336" s="28" t="s">
        <v>48</v>
      </c>
      <c r="H336" s="28" t="s">
        <v>129</v>
      </c>
      <c r="I336" s="116">
        <v>214</v>
      </c>
      <c r="J336" s="27"/>
      <c r="K336" s="40"/>
      <c r="L336" s="29" t="s">
        <v>126</v>
      </c>
      <c r="M336" s="29" t="s">
        <v>126</v>
      </c>
      <c r="N336" s="29" t="s">
        <v>126</v>
      </c>
    </row>
    <row r="337" spans="2:14" x14ac:dyDescent="0.25">
      <c r="B337" s="27" t="s">
        <v>123</v>
      </c>
      <c r="C337" s="28">
        <v>262984</v>
      </c>
      <c r="D337" s="28" t="s">
        <v>1421</v>
      </c>
      <c r="E337" s="27" t="s">
        <v>32</v>
      </c>
      <c r="F337" s="6" t="s">
        <v>1095</v>
      </c>
      <c r="G337" s="28" t="s">
        <v>48</v>
      </c>
      <c r="H337" s="28" t="s">
        <v>129</v>
      </c>
      <c r="I337" s="116">
        <v>984</v>
      </c>
      <c r="J337" s="27"/>
      <c r="K337" s="40"/>
      <c r="L337" s="29" t="s">
        <v>126</v>
      </c>
      <c r="M337" s="29" t="s">
        <v>126</v>
      </c>
      <c r="N337" s="29" t="s">
        <v>126</v>
      </c>
    </row>
    <row r="338" spans="2:14" x14ac:dyDescent="0.25">
      <c r="B338" s="27" t="s">
        <v>123</v>
      </c>
      <c r="C338" s="28">
        <v>142796</v>
      </c>
      <c r="D338" s="28" t="s">
        <v>1422</v>
      </c>
      <c r="E338" s="27" t="s">
        <v>32</v>
      </c>
      <c r="F338" s="6" t="s">
        <v>1095</v>
      </c>
      <c r="G338" s="28" t="s">
        <v>48</v>
      </c>
      <c r="H338" s="28" t="s">
        <v>129</v>
      </c>
      <c r="I338" s="116">
        <v>69</v>
      </c>
      <c r="J338" s="27"/>
      <c r="K338" s="40"/>
      <c r="L338" s="29" t="s">
        <v>126</v>
      </c>
      <c r="M338" s="29" t="s">
        <v>126</v>
      </c>
      <c r="N338" s="29" t="s">
        <v>126</v>
      </c>
    </row>
    <row r="339" spans="2:14" x14ac:dyDescent="0.25">
      <c r="B339" s="27" t="s">
        <v>123</v>
      </c>
      <c r="C339" s="28">
        <v>138263</v>
      </c>
      <c r="D339" s="28" t="s">
        <v>1423</v>
      </c>
      <c r="E339" s="27" t="s">
        <v>32</v>
      </c>
      <c r="F339" s="6" t="s">
        <v>1095</v>
      </c>
      <c r="G339" s="28" t="s">
        <v>48</v>
      </c>
      <c r="H339" s="28" t="s">
        <v>129</v>
      </c>
      <c r="I339" s="116">
        <v>94</v>
      </c>
      <c r="J339" s="27"/>
      <c r="K339" s="40"/>
      <c r="L339" s="29" t="s">
        <v>126</v>
      </c>
      <c r="M339" s="29" t="s">
        <v>126</v>
      </c>
      <c r="N339" s="29" t="s">
        <v>126</v>
      </c>
    </row>
    <row r="340" spans="2:14" x14ac:dyDescent="0.25">
      <c r="B340" s="27" t="s">
        <v>123</v>
      </c>
      <c r="C340" s="28">
        <v>117317</v>
      </c>
      <c r="D340" s="28" t="s">
        <v>1424</v>
      </c>
      <c r="E340" s="27" t="s">
        <v>32</v>
      </c>
      <c r="F340" s="6" t="s">
        <v>1095</v>
      </c>
      <c r="G340" s="28" t="s">
        <v>48</v>
      </c>
      <c r="H340" s="28" t="s">
        <v>129</v>
      </c>
      <c r="I340" s="116">
        <v>114</v>
      </c>
      <c r="J340" s="27"/>
      <c r="K340" s="40"/>
      <c r="L340" s="29" t="s">
        <v>126</v>
      </c>
      <c r="M340" s="29" t="s">
        <v>126</v>
      </c>
      <c r="N340" s="29" t="s">
        <v>126</v>
      </c>
    </row>
    <row r="341" spans="2:14" x14ac:dyDescent="0.25">
      <c r="B341" s="27" t="s">
        <v>123</v>
      </c>
      <c r="C341" s="28">
        <v>128673</v>
      </c>
      <c r="D341" s="28" t="s">
        <v>1425</v>
      </c>
      <c r="E341" s="27" t="s">
        <v>32</v>
      </c>
      <c r="F341" s="6" t="s">
        <v>1095</v>
      </c>
      <c r="G341" s="28" t="s">
        <v>48</v>
      </c>
      <c r="H341" s="28" t="s">
        <v>129</v>
      </c>
      <c r="I341" s="116">
        <v>84</v>
      </c>
      <c r="J341" s="27"/>
      <c r="K341" s="40"/>
      <c r="L341" s="29" t="s">
        <v>126</v>
      </c>
      <c r="M341" s="29" t="s">
        <v>126</v>
      </c>
      <c r="N341" s="29" t="s">
        <v>126</v>
      </c>
    </row>
    <row r="342" spans="2:14" x14ac:dyDescent="0.25">
      <c r="B342" s="27" t="s">
        <v>123</v>
      </c>
      <c r="C342" s="28">
        <v>4567</v>
      </c>
      <c r="D342" s="28" t="s">
        <v>1426</v>
      </c>
      <c r="E342" s="27" t="s">
        <v>32</v>
      </c>
      <c r="F342" s="6" t="s">
        <v>1095</v>
      </c>
      <c r="G342" s="28" t="s">
        <v>48</v>
      </c>
      <c r="H342" s="28" t="s">
        <v>129</v>
      </c>
      <c r="I342" s="116">
        <v>164</v>
      </c>
      <c r="J342" s="27"/>
      <c r="K342" s="40"/>
      <c r="L342" s="29" t="s">
        <v>126</v>
      </c>
      <c r="M342" s="29" t="s">
        <v>126</v>
      </c>
      <c r="N342" s="29" t="s">
        <v>126</v>
      </c>
    </row>
    <row r="343" spans="2:14" x14ac:dyDescent="0.25">
      <c r="B343" s="27" t="s">
        <v>123</v>
      </c>
      <c r="C343" s="28">
        <v>5535</v>
      </c>
      <c r="D343" s="28" t="s">
        <v>1427</v>
      </c>
      <c r="E343" s="27" t="s">
        <v>32</v>
      </c>
      <c r="F343" s="6" t="s">
        <v>1095</v>
      </c>
      <c r="G343" s="28" t="s">
        <v>48</v>
      </c>
      <c r="H343" s="28" t="s">
        <v>129</v>
      </c>
      <c r="I343" s="116">
        <v>199</v>
      </c>
      <c r="J343" s="27"/>
      <c r="K343" s="40"/>
      <c r="L343" s="29" t="s">
        <v>126</v>
      </c>
      <c r="M343" s="29" t="s">
        <v>126</v>
      </c>
      <c r="N343" s="29" t="s">
        <v>126</v>
      </c>
    </row>
    <row r="344" spans="2:14" x14ac:dyDescent="0.25">
      <c r="B344" s="27" t="s">
        <v>123</v>
      </c>
      <c r="C344" s="28">
        <v>245449</v>
      </c>
      <c r="D344" s="28" t="s">
        <v>1428</v>
      </c>
      <c r="E344" s="27" t="s">
        <v>32</v>
      </c>
      <c r="F344" s="6" t="s">
        <v>1095</v>
      </c>
      <c r="G344" s="28" t="s">
        <v>48</v>
      </c>
      <c r="H344" s="28" t="s">
        <v>129</v>
      </c>
      <c r="I344" s="116">
        <v>219</v>
      </c>
      <c r="J344" s="27"/>
      <c r="K344" s="40"/>
      <c r="L344" s="29" t="s">
        <v>126</v>
      </c>
      <c r="M344" s="29" t="s">
        <v>126</v>
      </c>
      <c r="N344" s="29" t="s">
        <v>126</v>
      </c>
    </row>
    <row r="345" spans="2:14" x14ac:dyDescent="0.25">
      <c r="B345" s="27" t="s">
        <v>123</v>
      </c>
      <c r="C345" s="28">
        <v>63371</v>
      </c>
      <c r="D345" s="28" t="s">
        <v>1429</v>
      </c>
      <c r="E345" s="27" t="s">
        <v>32</v>
      </c>
      <c r="F345" s="6" t="s">
        <v>1095</v>
      </c>
      <c r="G345" s="28" t="s">
        <v>48</v>
      </c>
      <c r="H345" s="28" t="s">
        <v>129</v>
      </c>
      <c r="I345" s="116">
        <v>169</v>
      </c>
      <c r="J345" s="27"/>
      <c r="K345" s="40"/>
      <c r="L345" s="29" t="s">
        <v>126</v>
      </c>
      <c r="M345" s="29" t="s">
        <v>126</v>
      </c>
      <c r="N345" s="29" t="s">
        <v>126</v>
      </c>
    </row>
    <row r="346" spans="2:14" x14ac:dyDescent="0.25">
      <c r="B346" s="27" t="s">
        <v>123</v>
      </c>
      <c r="C346" s="28">
        <v>394929</v>
      </c>
      <c r="D346" s="28" t="s">
        <v>1430</v>
      </c>
      <c r="E346" s="27" t="s">
        <v>32</v>
      </c>
      <c r="F346" s="6" t="s">
        <v>1095</v>
      </c>
      <c r="G346" s="28" t="s">
        <v>48</v>
      </c>
      <c r="H346" s="28" t="s">
        <v>129</v>
      </c>
      <c r="I346" s="116">
        <v>134</v>
      </c>
      <c r="J346" s="27"/>
      <c r="K346" s="40"/>
      <c r="L346" s="29" t="s">
        <v>126</v>
      </c>
      <c r="M346" s="29" t="s">
        <v>126</v>
      </c>
      <c r="N346" s="29" t="s">
        <v>126</v>
      </c>
    </row>
    <row r="347" spans="2:14" x14ac:dyDescent="0.25">
      <c r="B347" s="27" t="s">
        <v>123</v>
      </c>
      <c r="C347" s="28">
        <v>6656</v>
      </c>
      <c r="D347" s="28" t="s">
        <v>1431</v>
      </c>
      <c r="E347" s="27" t="s">
        <v>32</v>
      </c>
      <c r="F347" s="6" t="s">
        <v>1095</v>
      </c>
      <c r="G347" s="28" t="s">
        <v>48</v>
      </c>
      <c r="H347" s="28" t="s">
        <v>129</v>
      </c>
      <c r="I347" s="116">
        <v>69</v>
      </c>
      <c r="J347" s="27"/>
      <c r="K347" s="40"/>
      <c r="L347" s="29" t="s">
        <v>126</v>
      </c>
      <c r="M347" s="29" t="s">
        <v>126</v>
      </c>
      <c r="N347" s="29" t="s">
        <v>126</v>
      </c>
    </row>
    <row r="348" spans="2:14" x14ac:dyDescent="0.25">
      <c r="B348" s="27" t="s">
        <v>123</v>
      </c>
      <c r="C348" s="28">
        <v>119868</v>
      </c>
      <c r="D348" s="28" t="s">
        <v>1432</v>
      </c>
      <c r="E348" s="27" t="s">
        <v>32</v>
      </c>
      <c r="F348" s="6" t="s">
        <v>1095</v>
      </c>
      <c r="G348" s="28" t="s">
        <v>48</v>
      </c>
      <c r="H348" s="28" t="s">
        <v>129</v>
      </c>
      <c r="I348" s="116">
        <v>79</v>
      </c>
      <c r="J348" s="27"/>
      <c r="K348" s="40"/>
      <c r="L348" s="29" t="s">
        <v>126</v>
      </c>
      <c r="M348" s="29" t="s">
        <v>126</v>
      </c>
      <c r="N348" s="29" t="s">
        <v>126</v>
      </c>
    </row>
    <row r="349" spans="2:14" x14ac:dyDescent="0.25">
      <c r="B349" s="27" t="s">
        <v>123</v>
      </c>
      <c r="C349" s="28">
        <v>375941</v>
      </c>
      <c r="D349" s="28" t="s">
        <v>1433</v>
      </c>
      <c r="E349" s="27" t="s">
        <v>32</v>
      </c>
      <c r="F349" s="6" t="s">
        <v>1095</v>
      </c>
      <c r="G349" s="28" t="s">
        <v>48</v>
      </c>
      <c r="H349" s="28" t="s">
        <v>129</v>
      </c>
      <c r="I349" s="116">
        <v>79</v>
      </c>
      <c r="J349" s="27"/>
      <c r="K349" s="40"/>
      <c r="L349" s="29" t="s">
        <v>126</v>
      </c>
      <c r="M349" s="29" t="s">
        <v>126</v>
      </c>
      <c r="N349" s="29" t="s">
        <v>126</v>
      </c>
    </row>
    <row r="350" spans="2:14" x14ac:dyDescent="0.25">
      <c r="B350" s="27" t="s">
        <v>123</v>
      </c>
      <c r="C350" s="28">
        <v>375942</v>
      </c>
      <c r="D350" s="28" t="s">
        <v>1434</v>
      </c>
      <c r="E350" s="27" t="s">
        <v>32</v>
      </c>
      <c r="F350" s="6" t="s">
        <v>1095</v>
      </c>
      <c r="G350" s="28" t="s">
        <v>48</v>
      </c>
      <c r="H350" s="28" t="s">
        <v>129</v>
      </c>
      <c r="I350" s="116">
        <v>79</v>
      </c>
      <c r="J350" s="27"/>
      <c r="K350" s="40"/>
      <c r="L350" s="29" t="s">
        <v>126</v>
      </c>
      <c r="M350" s="29" t="s">
        <v>126</v>
      </c>
      <c r="N350" s="29" t="s">
        <v>126</v>
      </c>
    </row>
    <row r="351" spans="2:14" x14ac:dyDescent="0.25">
      <c r="B351" s="27" t="s">
        <v>123</v>
      </c>
      <c r="C351" s="28">
        <v>91214</v>
      </c>
      <c r="D351" s="28" t="s">
        <v>1435</v>
      </c>
      <c r="E351" s="27" t="s">
        <v>32</v>
      </c>
      <c r="F351" s="6" t="s">
        <v>1095</v>
      </c>
      <c r="G351" s="28" t="s">
        <v>48</v>
      </c>
      <c r="H351" s="28" t="s">
        <v>129</v>
      </c>
      <c r="I351" s="116">
        <v>199</v>
      </c>
      <c r="J351" s="27"/>
      <c r="K351" s="40"/>
      <c r="L351" s="29" t="s">
        <v>126</v>
      </c>
      <c r="M351" s="29" t="s">
        <v>126</v>
      </c>
      <c r="N351" s="29" t="s">
        <v>126</v>
      </c>
    </row>
    <row r="352" spans="2:14" x14ac:dyDescent="0.25">
      <c r="B352" s="27" t="s">
        <v>123</v>
      </c>
      <c r="C352" s="28">
        <v>585327</v>
      </c>
      <c r="D352" s="28" t="s">
        <v>1436</v>
      </c>
      <c r="E352" s="27" t="s">
        <v>32</v>
      </c>
      <c r="F352" s="6" t="s">
        <v>1095</v>
      </c>
      <c r="G352" s="28" t="s">
        <v>48</v>
      </c>
      <c r="H352" s="28" t="s">
        <v>129</v>
      </c>
      <c r="I352" s="116">
        <v>159</v>
      </c>
      <c r="J352" s="27"/>
      <c r="K352" s="40"/>
      <c r="L352" s="29" t="s">
        <v>126</v>
      </c>
      <c r="M352" s="29" t="s">
        <v>126</v>
      </c>
      <c r="N352" s="29" t="s">
        <v>126</v>
      </c>
    </row>
    <row r="353" spans="2:14" x14ac:dyDescent="0.25">
      <c r="B353" s="27" t="s">
        <v>123</v>
      </c>
      <c r="C353" s="28">
        <v>567440</v>
      </c>
      <c r="D353" s="28" t="s">
        <v>1437</v>
      </c>
      <c r="E353" s="27" t="s">
        <v>32</v>
      </c>
      <c r="F353" s="6" t="s">
        <v>1095</v>
      </c>
      <c r="G353" s="28" t="s">
        <v>48</v>
      </c>
      <c r="H353" s="28" t="s">
        <v>129</v>
      </c>
      <c r="I353" s="116">
        <v>199</v>
      </c>
      <c r="J353" s="27"/>
      <c r="K353" s="40"/>
      <c r="L353" s="29" t="s">
        <v>126</v>
      </c>
      <c r="M353" s="29" t="s">
        <v>126</v>
      </c>
      <c r="N353" s="29" t="s">
        <v>126</v>
      </c>
    </row>
    <row r="354" spans="2:14" x14ac:dyDescent="0.25">
      <c r="B354" s="27" t="s">
        <v>123</v>
      </c>
      <c r="C354" s="28">
        <v>228685</v>
      </c>
      <c r="D354" s="28" t="s">
        <v>1438</v>
      </c>
      <c r="E354" s="27" t="s">
        <v>32</v>
      </c>
      <c r="F354" s="6" t="s">
        <v>1095</v>
      </c>
      <c r="G354" s="28" t="s">
        <v>48</v>
      </c>
      <c r="H354" s="28" t="s">
        <v>129</v>
      </c>
      <c r="I354" s="116">
        <v>184</v>
      </c>
      <c r="J354" s="27"/>
      <c r="K354" s="40"/>
      <c r="L354" s="29" t="s">
        <v>126</v>
      </c>
      <c r="M354" s="29" t="s">
        <v>126</v>
      </c>
      <c r="N354" s="29" t="s">
        <v>126</v>
      </c>
    </row>
    <row r="355" spans="2:14" x14ac:dyDescent="0.25">
      <c r="B355" s="27" t="s">
        <v>123</v>
      </c>
      <c r="C355" s="28">
        <v>200041</v>
      </c>
      <c r="D355" s="28" t="s">
        <v>1439</v>
      </c>
      <c r="E355" s="27" t="s">
        <v>32</v>
      </c>
      <c r="F355" s="6" t="s">
        <v>1095</v>
      </c>
      <c r="G355" s="28" t="s">
        <v>48</v>
      </c>
      <c r="H355" s="28" t="s">
        <v>129</v>
      </c>
      <c r="I355" s="116">
        <v>99</v>
      </c>
      <c r="J355" s="27"/>
      <c r="K355" s="40"/>
      <c r="L355" s="29" t="s">
        <v>126</v>
      </c>
      <c r="M355" s="29" t="s">
        <v>126</v>
      </c>
      <c r="N355" s="29" t="s">
        <v>126</v>
      </c>
    </row>
    <row r="356" spans="2:14" x14ac:dyDescent="0.25">
      <c r="B356" s="27" t="s">
        <v>123</v>
      </c>
      <c r="C356" s="28">
        <v>425424</v>
      </c>
      <c r="D356" s="28" t="s">
        <v>1440</v>
      </c>
      <c r="E356" s="27" t="s">
        <v>32</v>
      </c>
      <c r="F356" s="6" t="s">
        <v>1095</v>
      </c>
      <c r="G356" s="28" t="s">
        <v>48</v>
      </c>
      <c r="H356" s="28" t="s">
        <v>129</v>
      </c>
      <c r="I356" s="116">
        <v>849</v>
      </c>
      <c r="J356" s="27"/>
      <c r="K356" s="40"/>
      <c r="L356" s="29" t="s">
        <v>126</v>
      </c>
      <c r="M356" s="29" t="s">
        <v>126</v>
      </c>
      <c r="N356" s="29" t="s">
        <v>126</v>
      </c>
    </row>
    <row r="357" spans="2:14" x14ac:dyDescent="0.25">
      <c r="B357" s="27" t="s">
        <v>123</v>
      </c>
      <c r="C357" s="28">
        <v>453426</v>
      </c>
      <c r="D357" s="28" t="s">
        <v>1441</v>
      </c>
      <c r="E357" s="27" t="s">
        <v>32</v>
      </c>
      <c r="F357" s="6" t="s">
        <v>1095</v>
      </c>
      <c r="G357" s="28" t="s">
        <v>48</v>
      </c>
      <c r="H357" s="28" t="s">
        <v>129</v>
      </c>
      <c r="I357" s="116">
        <v>194</v>
      </c>
      <c r="J357" s="27"/>
      <c r="K357" s="40"/>
      <c r="L357" s="29" t="s">
        <v>126</v>
      </c>
      <c r="M357" s="29" t="s">
        <v>126</v>
      </c>
      <c r="N357" s="29" t="s">
        <v>126</v>
      </c>
    </row>
    <row r="358" spans="2:14" x14ac:dyDescent="0.25">
      <c r="B358" s="27" t="s">
        <v>123</v>
      </c>
      <c r="C358" s="28">
        <v>595757</v>
      </c>
      <c r="D358" s="28" t="s">
        <v>1442</v>
      </c>
      <c r="E358" s="27" t="s">
        <v>32</v>
      </c>
      <c r="F358" s="6" t="s">
        <v>1095</v>
      </c>
      <c r="G358" s="28" t="s">
        <v>48</v>
      </c>
      <c r="H358" s="28" t="s">
        <v>129</v>
      </c>
      <c r="I358" s="116">
        <v>159</v>
      </c>
      <c r="J358" s="27"/>
      <c r="K358" s="40"/>
      <c r="L358" s="29" t="s">
        <v>126</v>
      </c>
      <c r="M358" s="29" t="s">
        <v>126</v>
      </c>
      <c r="N358" s="29" t="s">
        <v>126</v>
      </c>
    </row>
    <row r="359" spans="2:14" x14ac:dyDescent="0.25">
      <c r="B359" s="27" t="s">
        <v>123</v>
      </c>
      <c r="C359" s="28">
        <v>566557</v>
      </c>
      <c r="D359" s="28" t="s">
        <v>1443</v>
      </c>
      <c r="E359" s="27" t="s">
        <v>32</v>
      </c>
      <c r="F359" s="6" t="s">
        <v>1095</v>
      </c>
      <c r="G359" s="28" t="s">
        <v>48</v>
      </c>
      <c r="H359" s="28" t="s">
        <v>129</v>
      </c>
      <c r="I359" s="116">
        <v>169</v>
      </c>
      <c r="J359" s="27"/>
      <c r="K359" s="40"/>
      <c r="L359" s="29" t="s">
        <v>126</v>
      </c>
      <c r="M359" s="29" t="s">
        <v>126</v>
      </c>
      <c r="N359" s="29" t="s">
        <v>126</v>
      </c>
    </row>
    <row r="360" spans="2:14" x14ac:dyDescent="0.25">
      <c r="B360" s="27" t="s">
        <v>123</v>
      </c>
      <c r="C360" s="28">
        <v>581601</v>
      </c>
      <c r="D360" s="28" t="s">
        <v>1444</v>
      </c>
      <c r="E360" s="27" t="s">
        <v>32</v>
      </c>
      <c r="F360" s="6" t="s">
        <v>1095</v>
      </c>
      <c r="G360" s="28" t="s">
        <v>48</v>
      </c>
      <c r="H360" s="28" t="s">
        <v>129</v>
      </c>
      <c r="I360" s="116">
        <v>274</v>
      </c>
      <c r="J360" s="27"/>
      <c r="K360" s="40"/>
      <c r="L360" s="29" t="s">
        <v>126</v>
      </c>
      <c r="M360" s="29" t="s">
        <v>126</v>
      </c>
      <c r="N360" s="29" t="s">
        <v>126</v>
      </c>
    </row>
    <row r="361" spans="2:14" x14ac:dyDescent="0.25">
      <c r="B361" s="27" t="s">
        <v>123</v>
      </c>
      <c r="C361" s="28">
        <v>549092</v>
      </c>
      <c r="D361" s="28" t="s">
        <v>1445</v>
      </c>
      <c r="E361" s="27" t="s">
        <v>32</v>
      </c>
      <c r="F361" s="6" t="s">
        <v>1095</v>
      </c>
      <c r="G361" s="28" t="s">
        <v>48</v>
      </c>
      <c r="H361" s="28" t="s">
        <v>129</v>
      </c>
      <c r="I361" s="116">
        <v>164</v>
      </c>
      <c r="J361" s="27"/>
      <c r="K361" s="40"/>
      <c r="L361" s="29" t="s">
        <v>126</v>
      </c>
      <c r="M361" s="29" t="s">
        <v>126</v>
      </c>
      <c r="N361" s="29" t="s">
        <v>126</v>
      </c>
    </row>
    <row r="362" spans="2:14" x14ac:dyDescent="0.25">
      <c r="B362" s="27" t="s">
        <v>123</v>
      </c>
      <c r="C362" s="28">
        <v>461239</v>
      </c>
      <c r="D362" s="28" t="s">
        <v>1446</v>
      </c>
      <c r="E362" s="27" t="s">
        <v>32</v>
      </c>
      <c r="F362" s="6" t="s">
        <v>1095</v>
      </c>
      <c r="G362" s="28" t="s">
        <v>48</v>
      </c>
      <c r="H362" s="28" t="s">
        <v>129</v>
      </c>
      <c r="I362" s="116">
        <v>314</v>
      </c>
      <c r="J362" s="27"/>
      <c r="K362" s="40"/>
      <c r="L362" s="29" t="s">
        <v>126</v>
      </c>
      <c r="M362" s="29" t="s">
        <v>126</v>
      </c>
      <c r="N362" s="29" t="s">
        <v>126</v>
      </c>
    </row>
    <row r="363" spans="2:14" x14ac:dyDescent="0.25">
      <c r="B363" s="27" t="s">
        <v>123</v>
      </c>
      <c r="C363" s="28">
        <v>574806</v>
      </c>
      <c r="D363" s="28" t="s">
        <v>1447</v>
      </c>
      <c r="E363" s="27" t="s">
        <v>32</v>
      </c>
      <c r="F363" s="6" t="s">
        <v>1095</v>
      </c>
      <c r="G363" s="28" t="s">
        <v>48</v>
      </c>
      <c r="H363" s="28" t="s">
        <v>129</v>
      </c>
      <c r="I363" s="116">
        <v>34</v>
      </c>
      <c r="J363" s="27"/>
      <c r="K363" s="40"/>
      <c r="L363" s="29" t="s">
        <v>126</v>
      </c>
      <c r="M363" s="29" t="s">
        <v>126</v>
      </c>
      <c r="N363" s="29" t="s">
        <v>126</v>
      </c>
    </row>
    <row r="364" spans="2:14" x14ac:dyDescent="0.25">
      <c r="B364" s="27" t="s">
        <v>123</v>
      </c>
      <c r="C364" s="28">
        <v>464182</v>
      </c>
      <c r="D364" s="28" t="s">
        <v>1448</v>
      </c>
      <c r="E364" s="27" t="s">
        <v>32</v>
      </c>
      <c r="F364" s="6" t="s">
        <v>1095</v>
      </c>
      <c r="G364" s="28" t="s">
        <v>48</v>
      </c>
      <c r="H364" s="28" t="s">
        <v>129</v>
      </c>
      <c r="I364" s="116">
        <v>249</v>
      </c>
      <c r="J364" s="27"/>
      <c r="K364" s="40"/>
      <c r="L364" s="29" t="s">
        <v>126</v>
      </c>
      <c r="M364" s="29" t="s">
        <v>126</v>
      </c>
      <c r="N364" s="29" t="s">
        <v>126</v>
      </c>
    </row>
    <row r="365" spans="2:14" x14ac:dyDescent="0.25">
      <c r="B365" s="27" t="s">
        <v>123</v>
      </c>
      <c r="C365" s="28">
        <v>464180</v>
      </c>
      <c r="D365" s="28" t="s">
        <v>1449</v>
      </c>
      <c r="E365" s="27" t="s">
        <v>32</v>
      </c>
      <c r="F365" s="6" t="s">
        <v>1095</v>
      </c>
      <c r="G365" s="28" t="s">
        <v>48</v>
      </c>
      <c r="H365" s="28" t="s">
        <v>129</v>
      </c>
      <c r="I365" s="116">
        <v>259</v>
      </c>
      <c r="J365" s="27"/>
      <c r="K365" s="40"/>
      <c r="L365" s="29" t="s">
        <v>126</v>
      </c>
      <c r="M365" s="29" t="s">
        <v>126</v>
      </c>
      <c r="N365" s="29" t="s">
        <v>126</v>
      </c>
    </row>
    <row r="366" spans="2:14" x14ac:dyDescent="0.25">
      <c r="B366" s="27" t="s">
        <v>123</v>
      </c>
      <c r="C366" s="28">
        <v>581599</v>
      </c>
      <c r="D366" s="28" t="s">
        <v>1450</v>
      </c>
      <c r="E366" s="27" t="s">
        <v>32</v>
      </c>
      <c r="F366" s="6" t="s">
        <v>1095</v>
      </c>
      <c r="G366" s="28" t="s">
        <v>48</v>
      </c>
      <c r="H366" s="28" t="s">
        <v>129</v>
      </c>
      <c r="I366" s="116">
        <v>199</v>
      </c>
      <c r="J366" s="27"/>
      <c r="K366" s="40"/>
      <c r="L366" s="29" t="s">
        <v>126</v>
      </c>
      <c r="M366" s="29" t="s">
        <v>126</v>
      </c>
      <c r="N366" s="29" t="s">
        <v>126</v>
      </c>
    </row>
    <row r="367" spans="2:14" x14ac:dyDescent="0.25">
      <c r="B367" s="27" t="s">
        <v>123</v>
      </c>
      <c r="C367" s="28">
        <v>600055</v>
      </c>
      <c r="D367" s="28" t="s">
        <v>1451</v>
      </c>
      <c r="E367" s="27" t="s">
        <v>32</v>
      </c>
      <c r="F367" s="6" t="s">
        <v>1095</v>
      </c>
      <c r="G367" s="28" t="s">
        <v>48</v>
      </c>
      <c r="H367" s="28" t="s">
        <v>129</v>
      </c>
      <c r="I367" s="116">
        <v>164</v>
      </c>
      <c r="J367" s="27"/>
      <c r="K367" s="40"/>
      <c r="L367" s="29" t="s">
        <v>126</v>
      </c>
      <c r="M367" s="29" t="s">
        <v>126</v>
      </c>
      <c r="N367" s="29" t="s">
        <v>126</v>
      </c>
    </row>
    <row r="368" spans="2:14" x14ac:dyDescent="0.25">
      <c r="B368" s="27" t="s">
        <v>123</v>
      </c>
      <c r="C368" s="28">
        <v>574805</v>
      </c>
      <c r="D368" s="28" t="s">
        <v>1452</v>
      </c>
      <c r="E368" s="27" t="s">
        <v>32</v>
      </c>
      <c r="F368" s="6" t="s">
        <v>1095</v>
      </c>
      <c r="G368" s="28" t="s">
        <v>48</v>
      </c>
      <c r="H368" s="28" t="s">
        <v>129</v>
      </c>
      <c r="I368" s="116">
        <v>34</v>
      </c>
      <c r="J368" s="27"/>
      <c r="K368" s="40"/>
      <c r="L368" s="29" t="s">
        <v>126</v>
      </c>
      <c r="M368" s="29" t="s">
        <v>126</v>
      </c>
      <c r="N368" s="29" t="s">
        <v>126</v>
      </c>
    </row>
    <row r="369" spans="2:14" x14ac:dyDescent="0.25">
      <c r="B369" s="27" t="s">
        <v>123</v>
      </c>
      <c r="C369" s="28">
        <v>600056</v>
      </c>
      <c r="D369" s="28" t="s">
        <v>1453</v>
      </c>
      <c r="E369" s="27" t="s">
        <v>32</v>
      </c>
      <c r="F369" s="6" t="s">
        <v>1095</v>
      </c>
      <c r="G369" s="28" t="s">
        <v>48</v>
      </c>
      <c r="H369" s="28" t="s">
        <v>129</v>
      </c>
      <c r="I369" s="116">
        <v>144</v>
      </c>
      <c r="J369" s="27"/>
      <c r="K369" s="40"/>
      <c r="L369" s="29" t="s">
        <v>126</v>
      </c>
      <c r="M369" s="29" t="s">
        <v>126</v>
      </c>
      <c r="N369" s="29" t="s">
        <v>126</v>
      </c>
    </row>
    <row r="370" spans="2:14" x14ac:dyDescent="0.25">
      <c r="B370" s="27" t="s">
        <v>123</v>
      </c>
      <c r="C370" s="28">
        <v>600053</v>
      </c>
      <c r="D370" s="28" t="s">
        <v>1454</v>
      </c>
      <c r="E370" s="27" t="s">
        <v>32</v>
      </c>
      <c r="F370" s="6" t="s">
        <v>1095</v>
      </c>
      <c r="G370" s="28" t="s">
        <v>48</v>
      </c>
      <c r="H370" s="28" t="s">
        <v>129</v>
      </c>
      <c r="I370" s="116">
        <v>114</v>
      </c>
      <c r="J370" s="27"/>
      <c r="K370" s="40"/>
      <c r="L370" s="29" t="s">
        <v>126</v>
      </c>
      <c r="M370" s="29" t="s">
        <v>126</v>
      </c>
      <c r="N370" s="29" t="s">
        <v>126</v>
      </c>
    </row>
    <row r="371" spans="2:14" x14ac:dyDescent="0.25">
      <c r="B371" s="27" t="s">
        <v>123</v>
      </c>
      <c r="C371" s="28">
        <v>600054</v>
      </c>
      <c r="D371" s="28" t="s">
        <v>1455</v>
      </c>
      <c r="E371" s="27" t="s">
        <v>32</v>
      </c>
      <c r="F371" s="6" t="s">
        <v>1095</v>
      </c>
      <c r="G371" s="28" t="s">
        <v>48</v>
      </c>
      <c r="H371" s="28" t="s">
        <v>129</v>
      </c>
      <c r="I371" s="116">
        <v>284</v>
      </c>
      <c r="J371" s="27"/>
      <c r="K371" s="40"/>
      <c r="L371" s="29" t="s">
        <v>126</v>
      </c>
      <c r="M371" s="29" t="s">
        <v>126</v>
      </c>
      <c r="N371" s="29" t="s">
        <v>126</v>
      </c>
    </row>
    <row r="372" spans="2:14" x14ac:dyDescent="0.25">
      <c r="B372" s="27" t="s">
        <v>123</v>
      </c>
      <c r="C372" s="28">
        <v>600052</v>
      </c>
      <c r="D372" s="28" t="s">
        <v>1456</v>
      </c>
      <c r="E372" s="27" t="s">
        <v>32</v>
      </c>
      <c r="F372" s="6" t="s">
        <v>1095</v>
      </c>
      <c r="G372" s="28" t="s">
        <v>48</v>
      </c>
      <c r="H372" s="28" t="s">
        <v>129</v>
      </c>
      <c r="I372" s="116">
        <v>144</v>
      </c>
      <c r="J372" s="27"/>
      <c r="K372" s="40"/>
      <c r="L372" s="29" t="s">
        <v>126</v>
      </c>
      <c r="M372" s="29" t="s">
        <v>126</v>
      </c>
      <c r="N372" s="29" t="s">
        <v>126</v>
      </c>
    </row>
    <row r="373" spans="2:14" x14ac:dyDescent="0.25">
      <c r="B373" s="27" t="s">
        <v>123</v>
      </c>
      <c r="C373" s="28">
        <v>600594</v>
      </c>
      <c r="D373" s="28" t="s">
        <v>1457</v>
      </c>
      <c r="E373" s="27" t="s">
        <v>32</v>
      </c>
      <c r="F373" s="6" t="s">
        <v>1095</v>
      </c>
      <c r="G373" s="28" t="s">
        <v>48</v>
      </c>
      <c r="H373" s="28" t="s">
        <v>129</v>
      </c>
      <c r="I373" s="116">
        <v>99</v>
      </c>
      <c r="J373" s="27"/>
      <c r="K373" s="40"/>
      <c r="L373" s="29" t="s">
        <v>126</v>
      </c>
      <c r="M373" s="29" t="s">
        <v>126</v>
      </c>
      <c r="N373" s="29" t="s">
        <v>126</v>
      </c>
    </row>
    <row r="374" spans="2:14" x14ac:dyDescent="0.25">
      <c r="B374" s="27" t="s">
        <v>123</v>
      </c>
      <c r="C374" s="28">
        <v>600595</v>
      </c>
      <c r="D374" s="28" t="s">
        <v>1458</v>
      </c>
      <c r="E374" s="27" t="s">
        <v>32</v>
      </c>
      <c r="F374" s="6" t="s">
        <v>1095</v>
      </c>
      <c r="G374" s="28" t="s">
        <v>48</v>
      </c>
      <c r="H374" s="28" t="s">
        <v>129</v>
      </c>
      <c r="I374" s="116">
        <v>99</v>
      </c>
      <c r="J374" s="27"/>
      <c r="K374" s="40"/>
      <c r="L374" s="29" t="s">
        <v>126</v>
      </c>
      <c r="M374" s="29" t="s">
        <v>126</v>
      </c>
      <c r="N374" s="29" t="s">
        <v>126</v>
      </c>
    </row>
    <row r="375" spans="2:14" x14ac:dyDescent="0.25">
      <c r="B375" s="27" t="s">
        <v>123</v>
      </c>
      <c r="C375" s="28">
        <v>400530</v>
      </c>
      <c r="D375" s="28" t="s">
        <v>1459</v>
      </c>
      <c r="E375" s="27" t="s">
        <v>32</v>
      </c>
      <c r="F375" s="6" t="s">
        <v>1095</v>
      </c>
      <c r="G375" s="28" t="s">
        <v>48</v>
      </c>
      <c r="H375" s="28" t="s">
        <v>129</v>
      </c>
      <c r="I375" s="116">
        <v>96</v>
      </c>
      <c r="J375" s="27"/>
      <c r="K375" s="40"/>
      <c r="L375" s="29" t="s">
        <v>126</v>
      </c>
      <c r="M375" s="29" t="s">
        <v>126</v>
      </c>
      <c r="N375" s="29" t="s">
        <v>126</v>
      </c>
    </row>
    <row r="376" spans="2:14" x14ac:dyDescent="0.25">
      <c r="B376" s="27" t="s">
        <v>123</v>
      </c>
      <c r="C376" s="28">
        <v>400531</v>
      </c>
      <c r="D376" s="28" t="s">
        <v>1460</v>
      </c>
      <c r="E376" s="27" t="s">
        <v>32</v>
      </c>
      <c r="F376" s="6" t="s">
        <v>1095</v>
      </c>
      <c r="G376" s="28" t="s">
        <v>48</v>
      </c>
      <c r="H376" s="28" t="s">
        <v>129</v>
      </c>
      <c r="I376" s="116">
        <v>96</v>
      </c>
      <c r="J376" s="27"/>
      <c r="K376" s="40"/>
      <c r="L376" s="29" t="s">
        <v>126</v>
      </c>
      <c r="M376" s="29" t="s">
        <v>126</v>
      </c>
      <c r="N376" s="29" t="s">
        <v>126</v>
      </c>
    </row>
    <row r="377" spans="2:14" x14ac:dyDescent="0.25">
      <c r="B377" s="27" t="s">
        <v>123</v>
      </c>
      <c r="C377" s="28">
        <v>199973</v>
      </c>
      <c r="D377" s="28" t="s">
        <v>1461</v>
      </c>
      <c r="E377" s="27" t="s">
        <v>32</v>
      </c>
      <c r="F377" s="6" t="s">
        <v>1095</v>
      </c>
      <c r="G377" s="28" t="s">
        <v>48</v>
      </c>
      <c r="H377" s="28" t="s">
        <v>129</v>
      </c>
      <c r="I377" s="116">
        <v>54</v>
      </c>
      <c r="J377" s="27"/>
      <c r="K377" s="40"/>
      <c r="L377" s="29" t="s">
        <v>126</v>
      </c>
      <c r="M377" s="29" t="s">
        <v>126</v>
      </c>
      <c r="N377" s="29" t="s">
        <v>126</v>
      </c>
    </row>
    <row r="378" spans="2:14" x14ac:dyDescent="0.25">
      <c r="B378" s="27" t="s">
        <v>123</v>
      </c>
      <c r="C378" s="28">
        <v>199974</v>
      </c>
      <c r="D378" s="28" t="s">
        <v>1462</v>
      </c>
      <c r="E378" s="27" t="s">
        <v>32</v>
      </c>
      <c r="F378" s="6" t="s">
        <v>1095</v>
      </c>
      <c r="G378" s="28" t="s">
        <v>48</v>
      </c>
      <c r="H378" s="28" t="s">
        <v>129</v>
      </c>
      <c r="I378" s="116">
        <v>54</v>
      </c>
      <c r="J378" s="27"/>
      <c r="K378" s="40"/>
      <c r="L378" s="29" t="s">
        <v>126</v>
      </c>
      <c r="M378" s="29" t="s">
        <v>126</v>
      </c>
      <c r="N378" s="29" t="s">
        <v>126</v>
      </c>
    </row>
    <row r="379" spans="2:14" x14ac:dyDescent="0.25">
      <c r="B379" s="27" t="s">
        <v>123</v>
      </c>
      <c r="C379" s="28">
        <v>199975</v>
      </c>
      <c r="D379" s="28" t="s">
        <v>1463</v>
      </c>
      <c r="E379" s="27" t="s">
        <v>32</v>
      </c>
      <c r="F379" s="6" t="s">
        <v>1095</v>
      </c>
      <c r="G379" s="28" t="s">
        <v>48</v>
      </c>
      <c r="H379" s="28" t="s">
        <v>129</v>
      </c>
      <c r="I379" s="116">
        <v>54</v>
      </c>
      <c r="J379" s="27"/>
      <c r="K379" s="40"/>
      <c r="L379" s="29" t="s">
        <v>126</v>
      </c>
      <c r="M379" s="29" t="s">
        <v>126</v>
      </c>
      <c r="N379" s="29" t="s">
        <v>126</v>
      </c>
    </row>
    <row r="380" spans="2:14" x14ac:dyDescent="0.25">
      <c r="B380" s="27" t="s">
        <v>123</v>
      </c>
      <c r="C380" s="28">
        <v>370</v>
      </c>
      <c r="D380" s="28" t="s">
        <v>1464</v>
      </c>
      <c r="E380" s="27" t="s">
        <v>32</v>
      </c>
      <c r="F380" s="6" t="s">
        <v>1095</v>
      </c>
      <c r="G380" s="28" t="s">
        <v>48</v>
      </c>
      <c r="H380" s="28" t="s">
        <v>129</v>
      </c>
      <c r="I380" s="116">
        <v>105</v>
      </c>
      <c r="J380" s="27"/>
      <c r="K380" s="40"/>
      <c r="L380" s="29" t="s">
        <v>126</v>
      </c>
      <c r="M380" s="29" t="s">
        <v>126</v>
      </c>
      <c r="N380" s="29" t="s">
        <v>126</v>
      </c>
    </row>
    <row r="381" spans="2:14" x14ac:dyDescent="0.25">
      <c r="B381" s="27" t="s">
        <v>123</v>
      </c>
      <c r="C381" s="28">
        <v>577622</v>
      </c>
      <c r="D381" s="28" t="s">
        <v>1465</v>
      </c>
      <c r="E381" s="27" t="s">
        <v>32</v>
      </c>
      <c r="F381" s="6" t="s">
        <v>1095</v>
      </c>
      <c r="G381" s="28" t="s">
        <v>48</v>
      </c>
      <c r="H381" s="28" t="s">
        <v>129</v>
      </c>
      <c r="I381" s="116">
        <v>209</v>
      </c>
      <c r="J381" s="27"/>
      <c r="K381" s="40"/>
      <c r="L381" s="29" t="s">
        <v>126</v>
      </c>
      <c r="M381" s="29" t="s">
        <v>126</v>
      </c>
      <c r="N381" s="29" t="s">
        <v>126</v>
      </c>
    </row>
    <row r="382" spans="2:14" x14ac:dyDescent="0.25">
      <c r="B382" s="27" t="s">
        <v>123</v>
      </c>
      <c r="C382" s="28">
        <v>113150</v>
      </c>
      <c r="D382" s="28" t="s">
        <v>1466</v>
      </c>
      <c r="E382" s="27" t="s">
        <v>32</v>
      </c>
      <c r="F382" s="6" t="s">
        <v>1095</v>
      </c>
      <c r="G382" s="28" t="s">
        <v>48</v>
      </c>
      <c r="H382" s="28" t="s">
        <v>129</v>
      </c>
      <c r="I382" s="116">
        <v>89</v>
      </c>
      <c r="J382" s="27"/>
      <c r="K382" s="40"/>
      <c r="L382" s="29" t="s">
        <v>126</v>
      </c>
      <c r="M382" s="29" t="s">
        <v>126</v>
      </c>
      <c r="N382" s="29" t="s">
        <v>126</v>
      </c>
    </row>
    <row r="383" spans="2:14" x14ac:dyDescent="0.25">
      <c r="B383" s="27" t="s">
        <v>123</v>
      </c>
      <c r="C383" s="28">
        <v>571718</v>
      </c>
      <c r="D383" s="28" t="s">
        <v>1467</v>
      </c>
      <c r="E383" s="27" t="s">
        <v>32</v>
      </c>
      <c r="F383" s="6" t="s">
        <v>1095</v>
      </c>
      <c r="G383" s="28" t="s">
        <v>48</v>
      </c>
      <c r="H383" s="28" t="s">
        <v>129</v>
      </c>
      <c r="I383" s="116">
        <v>89</v>
      </c>
      <c r="J383" s="27"/>
      <c r="K383" s="40"/>
      <c r="L383" s="29" t="s">
        <v>126</v>
      </c>
      <c r="M383" s="29" t="s">
        <v>126</v>
      </c>
      <c r="N383" s="29" t="s">
        <v>126</v>
      </c>
    </row>
    <row r="384" spans="2:14" x14ac:dyDescent="0.25">
      <c r="B384" s="27" t="s">
        <v>123</v>
      </c>
      <c r="C384" s="28">
        <v>370920</v>
      </c>
      <c r="D384" s="28" t="s">
        <v>1468</v>
      </c>
      <c r="E384" s="27" t="s">
        <v>32</v>
      </c>
      <c r="F384" s="6" t="s">
        <v>1095</v>
      </c>
      <c r="G384" s="28" t="s">
        <v>48</v>
      </c>
      <c r="H384" s="28" t="s">
        <v>129</v>
      </c>
      <c r="I384" s="116">
        <v>449</v>
      </c>
      <c r="J384" s="27"/>
      <c r="K384" s="40"/>
      <c r="L384" s="29" t="s">
        <v>126</v>
      </c>
      <c r="M384" s="29" t="s">
        <v>126</v>
      </c>
      <c r="N384" s="29" t="s">
        <v>126</v>
      </c>
    </row>
    <row r="385" spans="2:14" x14ac:dyDescent="0.25">
      <c r="B385" s="27" t="s">
        <v>123</v>
      </c>
      <c r="C385" s="28">
        <v>185097</v>
      </c>
      <c r="D385" s="28" t="s">
        <v>1469</v>
      </c>
      <c r="E385" s="27" t="s">
        <v>32</v>
      </c>
      <c r="F385" s="6" t="s">
        <v>1095</v>
      </c>
      <c r="G385" s="28" t="s">
        <v>48</v>
      </c>
      <c r="H385" s="28" t="s">
        <v>129</v>
      </c>
      <c r="I385" s="116">
        <v>449</v>
      </c>
      <c r="J385" s="27"/>
      <c r="K385" s="40"/>
      <c r="L385" s="29" t="s">
        <v>126</v>
      </c>
      <c r="M385" s="29" t="s">
        <v>126</v>
      </c>
      <c r="N385" s="29" t="s">
        <v>126</v>
      </c>
    </row>
    <row r="386" spans="2:14" x14ac:dyDescent="0.25">
      <c r="B386" s="27" t="s">
        <v>123</v>
      </c>
      <c r="C386" s="28">
        <v>370919</v>
      </c>
      <c r="D386" s="28" t="s">
        <v>1470</v>
      </c>
      <c r="E386" s="27" t="s">
        <v>32</v>
      </c>
      <c r="F386" s="6" t="s">
        <v>1095</v>
      </c>
      <c r="G386" s="28" t="s">
        <v>48</v>
      </c>
      <c r="H386" s="28" t="s">
        <v>129</v>
      </c>
      <c r="I386" s="116">
        <v>449</v>
      </c>
      <c r="J386" s="27"/>
      <c r="K386" s="40"/>
      <c r="L386" s="29" t="s">
        <v>126</v>
      </c>
      <c r="M386" s="29" t="s">
        <v>126</v>
      </c>
      <c r="N386" s="29" t="s">
        <v>126</v>
      </c>
    </row>
    <row r="387" spans="2:14" x14ac:dyDescent="0.25">
      <c r="B387" s="27" t="s">
        <v>123</v>
      </c>
      <c r="C387" s="28">
        <v>370921</v>
      </c>
      <c r="D387" s="28" t="s">
        <v>1471</v>
      </c>
      <c r="E387" s="27" t="s">
        <v>32</v>
      </c>
      <c r="F387" s="6" t="s">
        <v>1095</v>
      </c>
      <c r="G387" s="28" t="s">
        <v>48</v>
      </c>
      <c r="H387" s="28" t="s">
        <v>129</v>
      </c>
      <c r="I387" s="116">
        <v>449</v>
      </c>
      <c r="J387" s="27"/>
      <c r="K387" s="40"/>
      <c r="L387" s="29" t="s">
        <v>126</v>
      </c>
      <c r="M387" s="29" t="s">
        <v>126</v>
      </c>
      <c r="N387" s="29" t="s">
        <v>126</v>
      </c>
    </row>
    <row r="388" spans="2:14" x14ac:dyDescent="0.25">
      <c r="B388" s="27" t="s">
        <v>123</v>
      </c>
      <c r="C388" s="28">
        <v>150029</v>
      </c>
      <c r="D388" s="28" t="s">
        <v>1472</v>
      </c>
      <c r="E388" s="27" t="s">
        <v>32</v>
      </c>
      <c r="F388" s="6" t="s">
        <v>1095</v>
      </c>
      <c r="G388" s="28" t="s">
        <v>48</v>
      </c>
      <c r="H388" s="28" t="s">
        <v>129</v>
      </c>
      <c r="I388" s="116">
        <v>239</v>
      </c>
      <c r="J388" s="27"/>
      <c r="K388" s="40"/>
      <c r="L388" s="29" t="s">
        <v>126</v>
      </c>
      <c r="M388" s="29" t="s">
        <v>126</v>
      </c>
      <c r="N388" s="29" t="s">
        <v>126</v>
      </c>
    </row>
    <row r="389" spans="2:14" x14ac:dyDescent="0.25">
      <c r="B389" s="27" t="s">
        <v>123</v>
      </c>
      <c r="C389" s="28">
        <v>402841</v>
      </c>
      <c r="D389" s="28" t="s">
        <v>1473</v>
      </c>
      <c r="E389" s="27" t="s">
        <v>32</v>
      </c>
      <c r="F389" s="6" t="s">
        <v>1095</v>
      </c>
      <c r="G389" s="28" t="s">
        <v>48</v>
      </c>
      <c r="H389" s="28" t="s">
        <v>129</v>
      </c>
      <c r="I389" s="116">
        <v>239</v>
      </c>
      <c r="J389" s="27"/>
      <c r="K389" s="40"/>
      <c r="L389" s="29" t="s">
        <v>126</v>
      </c>
      <c r="M389" s="29" t="s">
        <v>126</v>
      </c>
      <c r="N389" s="29" t="s">
        <v>126</v>
      </c>
    </row>
    <row r="390" spans="2:14" x14ac:dyDescent="0.25">
      <c r="B390" s="27" t="s">
        <v>123</v>
      </c>
      <c r="C390" s="28">
        <v>451007</v>
      </c>
      <c r="D390" s="28" t="s">
        <v>1474</v>
      </c>
      <c r="E390" s="27" t="s">
        <v>32</v>
      </c>
      <c r="F390" s="6" t="s">
        <v>1095</v>
      </c>
      <c r="G390" s="28" t="s">
        <v>48</v>
      </c>
      <c r="H390" s="28" t="s">
        <v>129</v>
      </c>
      <c r="I390" s="116">
        <v>239</v>
      </c>
      <c r="J390" s="27"/>
      <c r="K390" s="40"/>
      <c r="L390" s="29" t="s">
        <v>126</v>
      </c>
      <c r="M390" s="29" t="s">
        <v>126</v>
      </c>
      <c r="N390" s="29" t="s">
        <v>126</v>
      </c>
    </row>
    <row r="391" spans="2:14" x14ac:dyDescent="0.25">
      <c r="B391" s="27" t="s">
        <v>123</v>
      </c>
      <c r="C391" s="28">
        <v>335214</v>
      </c>
      <c r="D391" s="28" t="s">
        <v>1475</v>
      </c>
      <c r="E391" s="27" t="s">
        <v>32</v>
      </c>
      <c r="F391" s="6" t="s">
        <v>1095</v>
      </c>
      <c r="G391" s="28" t="s">
        <v>48</v>
      </c>
      <c r="H391" s="28" t="s">
        <v>129</v>
      </c>
      <c r="I391" s="116">
        <v>239</v>
      </c>
      <c r="J391" s="27"/>
      <c r="K391" s="40"/>
      <c r="L391" s="29" t="s">
        <v>126</v>
      </c>
      <c r="M391" s="29" t="s">
        <v>126</v>
      </c>
      <c r="N391" s="29" t="s">
        <v>126</v>
      </c>
    </row>
    <row r="392" spans="2:14" x14ac:dyDescent="0.25">
      <c r="B392" s="27" t="s">
        <v>123</v>
      </c>
      <c r="C392" s="28">
        <v>479337</v>
      </c>
      <c r="D392" s="28" t="s">
        <v>1476</v>
      </c>
      <c r="E392" s="27" t="s">
        <v>32</v>
      </c>
      <c r="F392" s="6" t="s">
        <v>1095</v>
      </c>
      <c r="G392" s="28" t="s">
        <v>48</v>
      </c>
      <c r="H392" s="28" t="s">
        <v>129</v>
      </c>
      <c r="I392" s="116">
        <v>239</v>
      </c>
      <c r="J392" s="27"/>
      <c r="K392" s="40"/>
      <c r="L392" s="29" t="s">
        <v>126</v>
      </c>
      <c r="M392" s="29" t="s">
        <v>126</v>
      </c>
      <c r="N392" s="29" t="s">
        <v>126</v>
      </c>
    </row>
    <row r="393" spans="2:14" x14ac:dyDescent="0.25">
      <c r="B393" s="27" t="s">
        <v>123</v>
      </c>
      <c r="C393" s="28">
        <v>1851</v>
      </c>
      <c r="D393" s="28" t="s">
        <v>1477</v>
      </c>
      <c r="E393" s="27" t="s">
        <v>32</v>
      </c>
      <c r="F393" s="6" t="s">
        <v>1095</v>
      </c>
      <c r="G393" s="28" t="s">
        <v>48</v>
      </c>
      <c r="H393" s="28" t="s">
        <v>129</v>
      </c>
      <c r="I393" s="116">
        <v>69</v>
      </c>
      <c r="J393" s="27"/>
      <c r="K393" s="40"/>
      <c r="L393" s="29" t="s">
        <v>126</v>
      </c>
      <c r="M393" s="29" t="s">
        <v>126</v>
      </c>
      <c r="N393" s="29" t="s">
        <v>126</v>
      </c>
    </row>
    <row r="394" spans="2:14" x14ac:dyDescent="0.25">
      <c r="B394" s="27" t="s">
        <v>123</v>
      </c>
      <c r="C394" s="28">
        <v>583083</v>
      </c>
      <c r="D394" s="28" t="s">
        <v>1478</v>
      </c>
      <c r="E394" s="27" t="s">
        <v>32</v>
      </c>
      <c r="F394" s="6" t="s">
        <v>1095</v>
      </c>
      <c r="G394" s="28" t="s">
        <v>48</v>
      </c>
      <c r="H394" s="28" t="s">
        <v>129</v>
      </c>
      <c r="I394" s="116">
        <v>155</v>
      </c>
      <c r="J394" s="27"/>
      <c r="K394" s="40"/>
      <c r="L394" s="29" t="s">
        <v>126</v>
      </c>
      <c r="M394" s="29" t="s">
        <v>126</v>
      </c>
      <c r="N394" s="29" t="s">
        <v>126</v>
      </c>
    </row>
    <row r="395" spans="2:14" x14ac:dyDescent="0.25">
      <c r="B395" s="27" t="s">
        <v>123</v>
      </c>
      <c r="C395" s="28">
        <v>583084</v>
      </c>
      <c r="D395" s="28" t="s">
        <v>1479</v>
      </c>
      <c r="E395" s="27" t="s">
        <v>32</v>
      </c>
      <c r="F395" s="6" t="s">
        <v>1095</v>
      </c>
      <c r="G395" s="28" t="s">
        <v>48</v>
      </c>
      <c r="H395" s="28" t="s">
        <v>129</v>
      </c>
      <c r="I395" s="116">
        <v>239</v>
      </c>
      <c r="J395" s="27"/>
      <c r="K395" s="40"/>
      <c r="L395" s="29" t="s">
        <v>126</v>
      </c>
      <c r="M395" s="29" t="s">
        <v>126</v>
      </c>
      <c r="N395" s="29" t="s">
        <v>126</v>
      </c>
    </row>
    <row r="396" spans="2:14" x14ac:dyDescent="0.25">
      <c r="B396" s="27" t="s">
        <v>123</v>
      </c>
      <c r="C396" s="28">
        <v>400618</v>
      </c>
      <c r="D396" s="28" t="s">
        <v>1480</v>
      </c>
      <c r="E396" s="27" t="s">
        <v>32</v>
      </c>
      <c r="F396" s="6" t="s">
        <v>1095</v>
      </c>
      <c r="G396" s="28" t="s">
        <v>48</v>
      </c>
      <c r="H396" s="28" t="s">
        <v>129</v>
      </c>
      <c r="I396" s="116">
        <v>89</v>
      </c>
      <c r="J396" s="27"/>
      <c r="K396" s="40"/>
      <c r="L396" s="29" t="s">
        <v>126</v>
      </c>
      <c r="M396" s="29" t="s">
        <v>126</v>
      </c>
      <c r="N396" s="29" t="s">
        <v>126</v>
      </c>
    </row>
    <row r="397" spans="2:14" x14ac:dyDescent="0.25">
      <c r="B397" s="27" t="s">
        <v>123</v>
      </c>
      <c r="C397" s="28">
        <v>400617</v>
      </c>
      <c r="D397" s="28" t="s">
        <v>1481</v>
      </c>
      <c r="E397" s="27" t="s">
        <v>32</v>
      </c>
      <c r="F397" s="6" t="s">
        <v>1095</v>
      </c>
      <c r="G397" s="28" t="s">
        <v>48</v>
      </c>
      <c r="H397" s="28" t="s">
        <v>129</v>
      </c>
      <c r="I397" s="116">
        <v>89</v>
      </c>
      <c r="J397" s="27"/>
      <c r="K397" s="40"/>
      <c r="L397" s="29" t="s">
        <v>126</v>
      </c>
      <c r="M397" s="29" t="s">
        <v>126</v>
      </c>
      <c r="N397" s="29" t="s">
        <v>126</v>
      </c>
    </row>
    <row r="398" spans="2:14" x14ac:dyDescent="0.25">
      <c r="B398" s="27" t="s">
        <v>123</v>
      </c>
      <c r="C398" s="28">
        <v>500190</v>
      </c>
      <c r="D398" s="28" t="s">
        <v>1482</v>
      </c>
      <c r="E398" s="27" t="s">
        <v>32</v>
      </c>
      <c r="F398" s="6" t="s">
        <v>1095</v>
      </c>
      <c r="G398" s="28" t="s">
        <v>48</v>
      </c>
      <c r="H398" s="28" t="s">
        <v>129</v>
      </c>
      <c r="I398" s="116">
        <v>89</v>
      </c>
      <c r="J398" s="27"/>
      <c r="K398" s="40"/>
      <c r="L398" s="29" t="s">
        <v>126</v>
      </c>
      <c r="M398" s="29" t="s">
        <v>126</v>
      </c>
      <c r="N398" s="29" t="s">
        <v>126</v>
      </c>
    </row>
    <row r="399" spans="2:14" x14ac:dyDescent="0.25">
      <c r="B399" s="27" t="s">
        <v>123</v>
      </c>
      <c r="C399" s="28">
        <v>561773</v>
      </c>
      <c r="D399" s="28" t="s">
        <v>1483</v>
      </c>
      <c r="E399" s="27" t="s">
        <v>32</v>
      </c>
      <c r="F399" s="6" t="s">
        <v>1095</v>
      </c>
      <c r="G399" s="28" t="s">
        <v>48</v>
      </c>
      <c r="H399" s="28" t="s">
        <v>129</v>
      </c>
      <c r="I399" s="116">
        <v>89</v>
      </c>
      <c r="J399" s="27"/>
      <c r="K399" s="40"/>
      <c r="L399" s="29" t="s">
        <v>126</v>
      </c>
      <c r="M399" s="29" t="s">
        <v>126</v>
      </c>
      <c r="N399" s="29" t="s">
        <v>126</v>
      </c>
    </row>
    <row r="400" spans="2:14" x14ac:dyDescent="0.25">
      <c r="B400" s="27" t="s">
        <v>123</v>
      </c>
      <c r="C400" s="28">
        <v>495844</v>
      </c>
      <c r="D400" s="28" t="s">
        <v>1484</v>
      </c>
      <c r="E400" s="27" t="s">
        <v>32</v>
      </c>
      <c r="F400" s="6" t="s">
        <v>1095</v>
      </c>
      <c r="G400" s="28" t="s">
        <v>48</v>
      </c>
      <c r="H400" s="28" t="s">
        <v>129</v>
      </c>
      <c r="I400" s="116">
        <v>99</v>
      </c>
      <c r="J400" s="27"/>
      <c r="K400" s="40"/>
      <c r="L400" s="29" t="s">
        <v>126</v>
      </c>
      <c r="M400" s="29" t="s">
        <v>126</v>
      </c>
      <c r="N400" s="29" t="s">
        <v>126</v>
      </c>
    </row>
    <row r="401" spans="2:14" x14ac:dyDescent="0.25">
      <c r="B401" s="27" t="s">
        <v>123</v>
      </c>
      <c r="C401" s="28">
        <v>495843</v>
      </c>
      <c r="D401" s="28" t="s">
        <v>1485</v>
      </c>
      <c r="E401" s="27" t="s">
        <v>32</v>
      </c>
      <c r="F401" s="6" t="s">
        <v>1095</v>
      </c>
      <c r="G401" s="28" t="s">
        <v>48</v>
      </c>
      <c r="H401" s="28" t="s">
        <v>129</v>
      </c>
      <c r="I401" s="116">
        <v>99</v>
      </c>
      <c r="J401" s="27"/>
      <c r="K401" s="40"/>
      <c r="L401" s="29" t="s">
        <v>126</v>
      </c>
      <c r="M401" s="29" t="s">
        <v>126</v>
      </c>
      <c r="N401" s="29" t="s">
        <v>126</v>
      </c>
    </row>
    <row r="402" spans="2:14" x14ac:dyDescent="0.25">
      <c r="B402" s="27" t="s">
        <v>123</v>
      </c>
      <c r="C402" s="28">
        <v>474140</v>
      </c>
      <c r="D402" s="28" t="s">
        <v>1486</v>
      </c>
      <c r="E402" s="27" t="s">
        <v>32</v>
      </c>
      <c r="F402" s="6" t="s">
        <v>1095</v>
      </c>
      <c r="G402" s="28" t="s">
        <v>48</v>
      </c>
      <c r="H402" s="28" t="s">
        <v>129</v>
      </c>
      <c r="I402" s="116">
        <v>95</v>
      </c>
      <c r="J402" s="27"/>
      <c r="K402" s="40"/>
      <c r="L402" s="29" t="s">
        <v>126</v>
      </c>
      <c r="M402" s="29" t="s">
        <v>126</v>
      </c>
      <c r="N402" s="29" t="s">
        <v>126</v>
      </c>
    </row>
    <row r="403" spans="2:14" x14ac:dyDescent="0.25">
      <c r="B403" s="27" t="s">
        <v>123</v>
      </c>
      <c r="C403" s="28">
        <v>474141</v>
      </c>
      <c r="D403" s="28" t="s">
        <v>1487</v>
      </c>
      <c r="E403" s="27" t="s">
        <v>32</v>
      </c>
      <c r="F403" s="6" t="s">
        <v>1095</v>
      </c>
      <c r="G403" s="28" t="s">
        <v>48</v>
      </c>
      <c r="H403" s="28" t="s">
        <v>129</v>
      </c>
      <c r="I403" s="116">
        <v>95</v>
      </c>
      <c r="J403" s="27"/>
      <c r="K403" s="40"/>
      <c r="L403" s="29" t="s">
        <v>126</v>
      </c>
      <c r="M403" s="29" t="s">
        <v>126</v>
      </c>
      <c r="N403" s="29" t="s">
        <v>126</v>
      </c>
    </row>
    <row r="404" spans="2:14" x14ac:dyDescent="0.25">
      <c r="B404" s="27" t="s">
        <v>123</v>
      </c>
      <c r="C404" s="28">
        <v>474142</v>
      </c>
      <c r="D404" s="28" t="s">
        <v>1488</v>
      </c>
      <c r="E404" s="27" t="s">
        <v>32</v>
      </c>
      <c r="F404" s="6" t="s">
        <v>1095</v>
      </c>
      <c r="G404" s="28" t="s">
        <v>48</v>
      </c>
      <c r="H404" s="28" t="s">
        <v>129</v>
      </c>
      <c r="I404" s="116">
        <v>95</v>
      </c>
      <c r="J404" s="27"/>
      <c r="K404" s="40"/>
      <c r="L404" s="29" t="s">
        <v>126</v>
      </c>
      <c r="M404" s="29" t="s">
        <v>126</v>
      </c>
      <c r="N404" s="29" t="s">
        <v>126</v>
      </c>
    </row>
    <row r="405" spans="2:14" x14ac:dyDescent="0.25">
      <c r="B405" s="27" t="s">
        <v>123</v>
      </c>
      <c r="C405" s="28">
        <v>567667</v>
      </c>
      <c r="D405" s="28" t="s">
        <v>1489</v>
      </c>
      <c r="E405" s="27" t="s">
        <v>32</v>
      </c>
      <c r="F405" s="6" t="s">
        <v>1095</v>
      </c>
      <c r="G405" s="28" t="s">
        <v>48</v>
      </c>
      <c r="H405" s="28" t="s">
        <v>129</v>
      </c>
      <c r="I405" s="116">
        <v>95</v>
      </c>
      <c r="J405" s="27"/>
      <c r="K405" s="40"/>
      <c r="L405" s="29" t="s">
        <v>126</v>
      </c>
      <c r="M405" s="29" t="s">
        <v>126</v>
      </c>
      <c r="N405" s="29" t="s">
        <v>126</v>
      </c>
    </row>
    <row r="406" spans="2:14" x14ac:dyDescent="0.25">
      <c r="B406" s="27" t="s">
        <v>123</v>
      </c>
      <c r="C406" s="28">
        <v>342321</v>
      </c>
      <c r="D406" s="28" t="s">
        <v>1490</v>
      </c>
      <c r="E406" s="27" t="s">
        <v>32</v>
      </c>
      <c r="F406" s="6" t="s">
        <v>1095</v>
      </c>
      <c r="G406" s="28" t="s">
        <v>48</v>
      </c>
      <c r="H406" s="28" t="s">
        <v>129</v>
      </c>
      <c r="I406" s="116">
        <v>99</v>
      </c>
      <c r="J406" s="27"/>
      <c r="K406" s="40"/>
      <c r="L406" s="29" t="s">
        <v>126</v>
      </c>
      <c r="M406" s="29" t="s">
        <v>126</v>
      </c>
      <c r="N406" s="29" t="s">
        <v>126</v>
      </c>
    </row>
    <row r="407" spans="2:14" x14ac:dyDescent="0.25">
      <c r="B407" s="27" t="s">
        <v>123</v>
      </c>
      <c r="C407" s="28">
        <v>369070</v>
      </c>
      <c r="D407" s="28" t="s">
        <v>1491</v>
      </c>
      <c r="E407" s="27" t="s">
        <v>32</v>
      </c>
      <c r="F407" s="6" t="s">
        <v>1095</v>
      </c>
      <c r="G407" s="28" t="s">
        <v>48</v>
      </c>
      <c r="H407" s="28" t="s">
        <v>129</v>
      </c>
      <c r="I407" s="116">
        <v>99</v>
      </c>
      <c r="J407" s="27"/>
      <c r="K407" s="40"/>
      <c r="L407" s="29" t="s">
        <v>126</v>
      </c>
      <c r="M407" s="29" t="s">
        <v>126</v>
      </c>
      <c r="N407" s="29" t="s">
        <v>126</v>
      </c>
    </row>
    <row r="408" spans="2:14" x14ac:dyDescent="0.25">
      <c r="B408" s="27" t="s">
        <v>123</v>
      </c>
      <c r="C408" s="28">
        <v>370889</v>
      </c>
      <c r="D408" s="28" t="s">
        <v>1492</v>
      </c>
      <c r="E408" s="27" t="s">
        <v>32</v>
      </c>
      <c r="F408" s="6" t="s">
        <v>1095</v>
      </c>
      <c r="G408" s="28" t="s">
        <v>48</v>
      </c>
      <c r="H408" s="28" t="s">
        <v>129</v>
      </c>
      <c r="I408" s="116">
        <v>99</v>
      </c>
      <c r="J408" s="27"/>
      <c r="K408" s="40"/>
      <c r="L408" s="29" t="s">
        <v>126</v>
      </c>
      <c r="M408" s="29" t="s">
        <v>126</v>
      </c>
      <c r="N408" s="29" t="s">
        <v>126</v>
      </c>
    </row>
    <row r="409" spans="2:14" x14ac:dyDescent="0.25">
      <c r="B409" s="27" t="s">
        <v>123</v>
      </c>
      <c r="C409" s="28">
        <v>419442</v>
      </c>
      <c r="D409" s="28" t="s">
        <v>1493</v>
      </c>
      <c r="E409" s="27" t="s">
        <v>32</v>
      </c>
      <c r="F409" s="6" t="s">
        <v>1095</v>
      </c>
      <c r="G409" s="28" t="s">
        <v>48</v>
      </c>
      <c r="H409" s="28" t="s">
        <v>129</v>
      </c>
      <c r="I409" s="116">
        <v>99</v>
      </c>
      <c r="J409" s="27"/>
      <c r="K409" s="40"/>
      <c r="L409" s="29" t="s">
        <v>126</v>
      </c>
      <c r="M409" s="29" t="s">
        <v>126</v>
      </c>
      <c r="N409" s="29" t="s">
        <v>126</v>
      </c>
    </row>
    <row r="410" spans="2:14" x14ac:dyDescent="0.25">
      <c r="B410" s="27" t="s">
        <v>123</v>
      </c>
      <c r="C410" s="28">
        <v>457472</v>
      </c>
      <c r="D410" s="28" t="s">
        <v>1494</v>
      </c>
      <c r="E410" s="27" t="s">
        <v>32</v>
      </c>
      <c r="F410" s="6" t="s">
        <v>1095</v>
      </c>
      <c r="G410" s="28" t="s">
        <v>48</v>
      </c>
      <c r="H410" s="28" t="s">
        <v>129</v>
      </c>
      <c r="I410" s="116">
        <v>99</v>
      </c>
      <c r="J410" s="27"/>
      <c r="K410" s="40"/>
      <c r="L410" s="29" t="s">
        <v>126</v>
      </c>
      <c r="M410" s="29" t="s">
        <v>126</v>
      </c>
      <c r="N410" s="29" t="s">
        <v>126</v>
      </c>
    </row>
    <row r="411" spans="2:14" x14ac:dyDescent="0.25">
      <c r="B411" s="27" t="s">
        <v>123</v>
      </c>
      <c r="C411" s="28">
        <v>542459</v>
      </c>
      <c r="D411" s="28" t="s">
        <v>1495</v>
      </c>
      <c r="E411" s="27" t="s">
        <v>32</v>
      </c>
      <c r="F411" s="6" t="s">
        <v>1095</v>
      </c>
      <c r="G411" s="28" t="s">
        <v>48</v>
      </c>
      <c r="H411" s="28" t="s">
        <v>129</v>
      </c>
      <c r="I411" s="116">
        <v>455</v>
      </c>
      <c r="J411" s="27"/>
      <c r="K411" s="40"/>
      <c r="L411" s="29" t="s">
        <v>126</v>
      </c>
      <c r="M411" s="29" t="s">
        <v>126</v>
      </c>
      <c r="N411" s="29" t="s">
        <v>126</v>
      </c>
    </row>
    <row r="412" spans="2:14" x14ac:dyDescent="0.25">
      <c r="B412" s="27" t="s">
        <v>123</v>
      </c>
      <c r="C412" s="28">
        <v>545467</v>
      </c>
      <c r="D412" s="28" t="s">
        <v>1496</v>
      </c>
      <c r="E412" s="27" t="s">
        <v>32</v>
      </c>
      <c r="F412" s="6" t="s">
        <v>1095</v>
      </c>
      <c r="G412" s="28" t="s">
        <v>48</v>
      </c>
      <c r="H412" s="28" t="s">
        <v>129</v>
      </c>
      <c r="I412" s="116">
        <v>299</v>
      </c>
      <c r="J412" s="27"/>
      <c r="K412" s="40"/>
      <c r="L412" s="29" t="s">
        <v>126</v>
      </c>
      <c r="M412" s="29" t="s">
        <v>126</v>
      </c>
      <c r="N412" s="29" t="s">
        <v>126</v>
      </c>
    </row>
    <row r="413" spans="2:14" x14ac:dyDescent="0.25">
      <c r="B413" s="27" t="s">
        <v>123</v>
      </c>
      <c r="C413" s="28">
        <v>545471</v>
      </c>
      <c r="D413" s="28" t="s">
        <v>1497</v>
      </c>
      <c r="E413" s="27" t="s">
        <v>32</v>
      </c>
      <c r="F413" s="6" t="s">
        <v>1095</v>
      </c>
      <c r="G413" s="28" t="s">
        <v>48</v>
      </c>
      <c r="H413" s="28" t="s">
        <v>129</v>
      </c>
      <c r="I413" s="116">
        <v>299</v>
      </c>
      <c r="J413" s="27"/>
      <c r="K413" s="40"/>
      <c r="L413" s="29" t="s">
        <v>126</v>
      </c>
      <c r="M413" s="29" t="s">
        <v>126</v>
      </c>
      <c r="N413" s="29" t="s">
        <v>126</v>
      </c>
    </row>
    <row r="414" spans="2:14" x14ac:dyDescent="0.25">
      <c r="B414" s="27" t="s">
        <v>123</v>
      </c>
      <c r="C414" s="28">
        <v>545472</v>
      </c>
      <c r="D414" s="28" t="s">
        <v>1498</v>
      </c>
      <c r="E414" s="27" t="s">
        <v>32</v>
      </c>
      <c r="F414" s="6" t="s">
        <v>1095</v>
      </c>
      <c r="G414" s="28" t="s">
        <v>48</v>
      </c>
      <c r="H414" s="28" t="s">
        <v>129</v>
      </c>
      <c r="I414" s="116">
        <v>299</v>
      </c>
      <c r="J414" s="27"/>
      <c r="K414" s="40"/>
      <c r="L414" s="29" t="s">
        <v>126</v>
      </c>
      <c r="M414" s="29" t="s">
        <v>126</v>
      </c>
      <c r="N414" s="29" t="s">
        <v>126</v>
      </c>
    </row>
    <row r="415" spans="2:14" x14ac:dyDescent="0.25">
      <c r="B415" s="27" t="s">
        <v>123</v>
      </c>
      <c r="C415" s="28">
        <v>545473</v>
      </c>
      <c r="D415" s="28" t="s">
        <v>1499</v>
      </c>
      <c r="E415" s="27" t="s">
        <v>32</v>
      </c>
      <c r="F415" s="6" t="s">
        <v>1095</v>
      </c>
      <c r="G415" s="28" t="s">
        <v>48</v>
      </c>
      <c r="H415" s="28" t="s">
        <v>129</v>
      </c>
      <c r="I415" s="116">
        <v>299</v>
      </c>
      <c r="J415" s="27"/>
      <c r="K415" s="40"/>
      <c r="L415" s="29" t="s">
        <v>126</v>
      </c>
      <c r="M415" s="29" t="s">
        <v>126</v>
      </c>
      <c r="N415" s="29" t="s">
        <v>126</v>
      </c>
    </row>
    <row r="416" spans="2:14" x14ac:dyDescent="0.25">
      <c r="B416" s="27" t="s">
        <v>123</v>
      </c>
      <c r="C416" s="28">
        <v>481577</v>
      </c>
      <c r="D416" s="28" t="s">
        <v>1500</v>
      </c>
      <c r="E416" s="27" t="s">
        <v>32</v>
      </c>
      <c r="F416" s="6" t="s">
        <v>1095</v>
      </c>
      <c r="G416" s="28" t="s">
        <v>48</v>
      </c>
      <c r="H416" s="28" t="s">
        <v>129</v>
      </c>
      <c r="I416" s="116">
        <v>169</v>
      </c>
      <c r="J416" s="27"/>
      <c r="K416" s="40"/>
      <c r="L416" s="29" t="s">
        <v>126</v>
      </c>
      <c r="M416" s="29" t="s">
        <v>126</v>
      </c>
      <c r="N416" s="29" t="s">
        <v>126</v>
      </c>
    </row>
    <row r="417" spans="2:14" x14ac:dyDescent="0.25">
      <c r="B417" s="27" t="s">
        <v>123</v>
      </c>
      <c r="C417" s="28">
        <v>568065</v>
      </c>
      <c r="D417" s="28" t="s">
        <v>1501</v>
      </c>
      <c r="E417" s="27" t="s">
        <v>32</v>
      </c>
      <c r="F417" s="6" t="s">
        <v>1095</v>
      </c>
      <c r="G417" s="28" t="s">
        <v>48</v>
      </c>
      <c r="H417" s="28" t="s">
        <v>129</v>
      </c>
      <c r="I417" s="116">
        <v>169</v>
      </c>
      <c r="J417" s="27"/>
      <c r="K417" s="40"/>
      <c r="L417" s="29" t="s">
        <v>126</v>
      </c>
      <c r="M417" s="29" t="s">
        <v>126</v>
      </c>
      <c r="N417" s="29" t="s">
        <v>126</v>
      </c>
    </row>
    <row r="418" spans="2:14" x14ac:dyDescent="0.25">
      <c r="B418" s="27" t="s">
        <v>123</v>
      </c>
      <c r="C418" s="28">
        <v>568066</v>
      </c>
      <c r="D418" s="28" t="s">
        <v>1502</v>
      </c>
      <c r="E418" s="27" t="s">
        <v>32</v>
      </c>
      <c r="F418" s="6" t="s">
        <v>1095</v>
      </c>
      <c r="G418" s="28" t="s">
        <v>48</v>
      </c>
      <c r="H418" s="28" t="s">
        <v>129</v>
      </c>
      <c r="I418" s="116">
        <v>169</v>
      </c>
      <c r="J418" s="27"/>
      <c r="K418" s="40"/>
      <c r="L418" s="29" t="s">
        <v>126</v>
      </c>
      <c r="M418" s="29" t="s">
        <v>126</v>
      </c>
      <c r="N418" s="29" t="s">
        <v>126</v>
      </c>
    </row>
    <row r="419" spans="2:14" x14ac:dyDescent="0.25">
      <c r="B419" s="27" t="s">
        <v>123</v>
      </c>
      <c r="C419" s="28">
        <v>568068</v>
      </c>
      <c r="D419" s="28" t="s">
        <v>1503</v>
      </c>
      <c r="E419" s="27" t="s">
        <v>32</v>
      </c>
      <c r="F419" s="6" t="s">
        <v>1095</v>
      </c>
      <c r="G419" s="28" t="s">
        <v>48</v>
      </c>
      <c r="H419" s="28" t="s">
        <v>129</v>
      </c>
      <c r="I419" s="116">
        <v>169</v>
      </c>
      <c r="J419" s="27"/>
      <c r="K419" s="40"/>
      <c r="L419" s="29" t="s">
        <v>126</v>
      </c>
      <c r="M419" s="29" t="s">
        <v>126</v>
      </c>
      <c r="N419" s="29" t="s">
        <v>126</v>
      </c>
    </row>
    <row r="420" spans="2:14" x14ac:dyDescent="0.25">
      <c r="B420" s="27" t="s">
        <v>123</v>
      </c>
      <c r="C420" s="28">
        <v>565352</v>
      </c>
      <c r="D420" s="28" t="s">
        <v>1504</v>
      </c>
      <c r="E420" s="27" t="s">
        <v>32</v>
      </c>
      <c r="F420" s="6" t="s">
        <v>1095</v>
      </c>
      <c r="G420" s="28" t="s">
        <v>48</v>
      </c>
      <c r="H420" s="28" t="s">
        <v>129</v>
      </c>
      <c r="I420" s="116">
        <v>169</v>
      </c>
      <c r="J420" s="27"/>
      <c r="K420" s="40"/>
      <c r="L420" s="29" t="s">
        <v>126</v>
      </c>
      <c r="M420" s="29" t="s">
        <v>126</v>
      </c>
      <c r="N420" s="29" t="s">
        <v>126</v>
      </c>
    </row>
    <row r="421" spans="2:14" x14ac:dyDescent="0.25">
      <c r="B421" s="27" t="s">
        <v>123</v>
      </c>
      <c r="C421" s="28">
        <v>568067</v>
      </c>
      <c r="D421" s="28" t="s">
        <v>1505</v>
      </c>
      <c r="E421" s="27" t="s">
        <v>32</v>
      </c>
      <c r="F421" s="6" t="s">
        <v>1095</v>
      </c>
      <c r="G421" s="28" t="s">
        <v>48</v>
      </c>
      <c r="H421" s="28" t="s">
        <v>129</v>
      </c>
      <c r="I421" s="116">
        <v>169</v>
      </c>
      <c r="J421" s="27"/>
      <c r="K421" s="40"/>
      <c r="L421" s="29" t="s">
        <v>126</v>
      </c>
      <c r="M421" s="29" t="s">
        <v>126</v>
      </c>
      <c r="N421" s="29" t="s">
        <v>126</v>
      </c>
    </row>
    <row r="422" spans="2:14" x14ac:dyDescent="0.25">
      <c r="B422" s="27" t="s">
        <v>123</v>
      </c>
      <c r="C422" s="28">
        <v>523071</v>
      </c>
      <c r="D422" s="28" t="s">
        <v>1506</v>
      </c>
      <c r="E422" s="27" t="s">
        <v>32</v>
      </c>
      <c r="F422" s="6" t="s">
        <v>1095</v>
      </c>
      <c r="G422" s="28" t="s">
        <v>48</v>
      </c>
      <c r="H422" s="28" t="s">
        <v>129</v>
      </c>
      <c r="I422" s="116">
        <v>199</v>
      </c>
      <c r="J422" s="27"/>
      <c r="K422" s="40"/>
      <c r="L422" s="29" t="s">
        <v>126</v>
      </c>
      <c r="M422" s="29" t="s">
        <v>126</v>
      </c>
      <c r="N422" s="29" t="s">
        <v>126</v>
      </c>
    </row>
    <row r="423" spans="2:14" x14ac:dyDescent="0.25">
      <c r="B423" s="27" t="s">
        <v>123</v>
      </c>
      <c r="C423" s="28">
        <v>523073</v>
      </c>
      <c r="D423" s="28" t="s">
        <v>1507</v>
      </c>
      <c r="E423" s="27" t="s">
        <v>32</v>
      </c>
      <c r="F423" s="6" t="s">
        <v>1095</v>
      </c>
      <c r="G423" s="28" t="s">
        <v>48</v>
      </c>
      <c r="H423" s="28" t="s">
        <v>129</v>
      </c>
      <c r="I423" s="116">
        <v>289</v>
      </c>
      <c r="J423" s="27"/>
      <c r="K423" s="40"/>
      <c r="L423" s="29" t="s">
        <v>126</v>
      </c>
      <c r="M423" s="29" t="s">
        <v>126</v>
      </c>
      <c r="N423" s="29" t="s">
        <v>126</v>
      </c>
    </row>
    <row r="424" spans="2:14" x14ac:dyDescent="0.25">
      <c r="B424" s="27" t="s">
        <v>123</v>
      </c>
      <c r="C424" s="28">
        <v>523069</v>
      </c>
      <c r="D424" s="28" t="s">
        <v>1508</v>
      </c>
      <c r="E424" s="27" t="s">
        <v>32</v>
      </c>
      <c r="F424" s="6" t="s">
        <v>1095</v>
      </c>
      <c r="G424" s="28" t="s">
        <v>48</v>
      </c>
      <c r="H424" s="28" t="s">
        <v>129</v>
      </c>
      <c r="I424" s="116">
        <v>229</v>
      </c>
      <c r="J424" s="27"/>
      <c r="K424" s="40"/>
      <c r="L424" s="29" t="s">
        <v>126</v>
      </c>
      <c r="M424" s="29" t="s">
        <v>126</v>
      </c>
      <c r="N424" s="29" t="s">
        <v>126</v>
      </c>
    </row>
    <row r="425" spans="2:14" x14ac:dyDescent="0.25">
      <c r="B425" s="27" t="s">
        <v>123</v>
      </c>
      <c r="C425" s="28">
        <v>523070</v>
      </c>
      <c r="D425" s="28" t="s">
        <v>1509</v>
      </c>
      <c r="E425" s="27" t="s">
        <v>32</v>
      </c>
      <c r="F425" s="6" t="s">
        <v>1095</v>
      </c>
      <c r="G425" s="28" t="s">
        <v>48</v>
      </c>
      <c r="H425" s="28" t="s">
        <v>129</v>
      </c>
      <c r="I425" s="116">
        <v>169</v>
      </c>
      <c r="J425" s="27"/>
      <c r="K425" s="40"/>
      <c r="L425" s="29" t="s">
        <v>126</v>
      </c>
      <c r="M425" s="29" t="s">
        <v>126</v>
      </c>
      <c r="N425" s="29" t="s">
        <v>126</v>
      </c>
    </row>
    <row r="426" spans="2:14" x14ac:dyDescent="0.25">
      <c r="B426" s="27" t="s">
        <v>123</v>
      </c>
      <c r="C426" s="28">
        <v>564065</v>
      </c>
      <c r="D426" s="28" t="s">
        <v>1510</v>
      </c>
      <c r="E426" s="27" t="s">
        <v>32</v>
      </c>
      <c r="F426" s="6" t="s">
        <v>1095</v>
      </c>
      <c r="G426" s="28" t="s">
        <v>48</v>
      </c>
      <c r="H426" s="28" t="s">
        <v>129</v>
      </c>
      <c r="I426" s="116">
        <v>159</v>
      </c>
      <c r="J426" s="27"/>
      <c r="K426" s="40"/>
      <c r="L426" s="29" t="s">
        <v>126</v>
      </c>
      <c r="M426" s="29" t="s">
        <v>126</v>
      </c>
      <c r="N426" s="29" t="s">
        <v>126</v>
      </c>
    </row>
    <row r="427" spans="2:14" x14ac:dyDescent="0.25">
      <c r="B427" s="27" t="s">
        <v>123</v>
      </c>
      <c r="C427" s="28">
        <v>571767</v>
      </c>
      <c r="D427" s="28" t="s">
        <v>1511</v>
      </c>
      <c r="E427" s="27" t="s">
        <v>32</v>
      </c>
      <c r="F427" s="6" t="s">
        <v>1095</v>
      </c>
      <c r="G427" s="28" t="s">
        <v>48</v>
      </c>
      <c r="H427" s="28" t="s">
        <v>129</v>
      </c>
      <c r="I427" s="116">
        <v>219</v>
      </c>
      <c r="J427" s="27"/>
      <c r="K427" s="40"/>
      <c r="L427" s="29" t="s">
        <v>126</v>
      </c>
      <c r="M427" s="29" t="s">
        <v>126</v>
      </c>
      <c r="N427" s="29" t="s">
        <v>126</v>
      </c>
    </row>
    <row r="428" spans="2:14" x14ac:dyDescent="0.25">
      <c r="B428" s="27" t="s">
        <v>123</v>
      </c>
      <c r="C428" s="28">
        <v>571768</v>
      </c>
      <c r="D428" s="28" t="s">
        <v>1512</v>
      </c>
      <c r="E428" s="27" t="s">
        <v>32</v>
      </c>
      <c r="F428" s="6" t="s">
        <v>1095</v>
      </c>
      <c r="G428" s="28" t="s">
        <v>48</v>
      </c>
      <c r="H428" s="28" t="s">
        <v>129</v>
      </c>
      <c r="I428" s="116">
        <v>189</v>
      </c>
      <c r="J428" s="27"/>
      <c r="K428" s="40"/>
      <c r="L428" s="29" t="s">
        <v>126</v>
      </c>
      <c r="M428" s="29" t="s">
        <v>126</v>
      </c>
      <c r="N428" s="29" t="s">
        <v>126</v>
      </c>
    </row>
    <row r="429" spans="2:14" x14ac:dyDescent="0.25">
      <c r="B429" s="27" t="s">
        <v>123</v>
      </c>
      <c r="C429" s="28">
        <v>454512</v>
      </c>
      <c r="D429" s="28" t="s">
        <v>1513</v>
      </c>
      <c r="E429" s="27" t="s">
        <v>32</v>
      </c>
      <c r="F429" s="6" t="s">
        <v>1095</v>
      </c>
      <c r="G429" s="28" t="s">
        <v>48</v>
      </c>
      <c r="H429" s="28" t="s">
        <v>129</v>
      </c>
      <c r="I429" s="116">
        <v>79</v>
      </c>
      <c r="J429" s="27"/>
      <c r="K429" s="40"/>
      <c r="L429" s="29" t="s">
        <v>126</v>
      </c>
      <c r="M429" s="29" t="s">
        <v>126</v>
      </c>
      <c r="N429" s="29" t="s">
        <v>126</v>
      </c>
    </row>
    <row r="430" spans="2:14" x14ac:dyDescent="0.25">
      <c r="B430" s="27" t="s">
        <v>123</v>
      </c>
      <c r="C430" s="28">
        <v>567470</v>
      </c>
      <c r="D430" s="28" t="s">
        <v>1514</v>
      </c>
      <c r="E430" s="27" t="s">
        <v>32</v>
      </c>
      <c r="F430" s="6" t="s">
        <v>1095</v>
      </c>
      <c r="G430" s="28" t="s">
        <v>48</v>
      </c>
      <c r="H430" s="28" t="s">
        <v>129</v>
      </c>
      <c r="I430" s="116">
        <v>119</v>
      </c>
      <c r="J430" s="27"/>
      <c r="K430" s="40"/>
      <c r="L430" s="29" t="s">
        <v>126</v>
      </c>
      <c r="M430" s="29" t="s">
        <v>126</v>
      </c>
      <c r="N430" s="29" t="s">
        <v>126</v>
      </c>
    </row>
    <row r="431" spans="2:14" x14ac:dyDescent="0.25">
      <c r="B431" s="27" t="s">
        <v>123</v>
      </c>
      <c r="C431" s="28">
        <v>567472</v>
      </c>
      <c r="D431" s="28" t="s">
        <v>1515</v>
      </c>
      <c r="E431" s="27" t="s">
        <v>32</v>
      </c>
      <c r="F431" s="6" t="s">
        <v>1095</v>
      </c>
      <c r="G431" s="28" t="s">
        <v>48</v>
      </c>
      <c r="H431" s="28" t="s">
        <v>129</v>
      </c>
      <c r="I431" s="116">
        <v>89</v>
      </c>
      <c r="J431" s="27"/>
      <c r="K431" s="40"/>
      <c r="L431" s="29" t="s">
        <v>126</v>
      </c>
      <c r="M431" s="29" t="s">
        <v>126</v>
      </c>
      <c r="N431" s="29" t="s">
        <v>126</v>
      </c>
    </row>
    <row r="432" spans="2:14" x14ac:dyDescent="0.25">
      <c r="B432" s="27" t="s">
        <v>123</v>
      </c>
      <c r="C432" s="28">
        <v>525137</v>
      </c>
      <c r="D432" s="28" t="s">
        <v>1516</v>
      </c>
      <c r="E432" s="27" t="s">
        <v>32</v>
      </c>
      <c r="F432" s="6" t="s">
        <v>1095</v>
      </c>
      <c r="G432" s="28" t="s">
        <v>48</v>
      </c>
      <c r="H432" s="28" t="s">
        <v>129</v>
      </c>
      <c r="I432" s="116">
        <v>139</v>
      </c>
      <c r="J432" s="27"/>
      <c r="K432" s="40"/>
      <c r="L432" s="29" t="s">
        <v>126</v>
      </c>
      <c r="M432" s="29" t="s">
        <v>126</v>
      </c>
      <c r="N432" s="29" t="s">
        <v>126</v>
      </c>
    </row>
    <row r="433" spans="2:14" x14ac:dyDescent="0.25">
      <c r="B433" s="27" t="s">
        <v>123</v>
      </c>
      <c r="C433" s="28">
        <v>525181</v>
      </c>
      <c r="D433" s="28" t="s">
        <v>1517</v>
      </c>
      <c r="E433" s="27" t="s">
        <v>32</v>
      </c>
      <c r="F433" s="6" t="s">
        <v>1095</v>
      </c>
      <c r="G433" s="28" t="s">
        <v>48</v>
      </c>
      <c r="H433" s="28" t="s">
        <v>129</v>
      </c>
      <c r="I433" s="116">
        <v>199</v>
      </c>
      <c r="J433" s="27"/>
      <c r="K433" s="40"/>
      <c r="L433" s="29" t="s">
        <v>126</v>
      </c>
      <c r="M433" s="29" t="s">
        <v>126</v>
      </c>
      <c r="N433" s="29" t="s">
        <v>126</v>
      </c>
    </row>
    <row r="434" spans="2:14" x14ac:dyDescent="0.25">
      <c r="B434" s="27" t="s">
        <v>123</v>
      </c>
      <c r="C434" s="28">
        <v>525136</v>
      </c>
      <c r="D434" s="28" t="s">
        <v>1518</v>
      </c>
      <c r="E434" s="27" t="s">
        <v>32</v>
      </c>
      <c r="F434" s="6" t="s">
        <v>1095</v>
      </c>
      <c r="G434" s="28" t="s">
        <v>48</v>
      </c>
      <c r="H434" s="28" t="s">
        <v>129</v>
      </c>
      <c r="I434" s="116">
        <v>139</v>
      </c>
      <c r="J434" s="27"/>
      <c r="K434" s="40"/>
      <c r="L434" s="29" t="s">
        <v>126</v>
      </c>
      <c r="M434" s="29" t="s">
        <v>126</v>
      </c>
      <c r="N434" s="29" t="s">
        <v>126</v>
      </c>
    </row>
    <row r="435" spans="2:14" x14ac:dyDescent="0.25">
      <c r="B435" s="27" t="s">
        <v>123</v>
      </c>
      <c r="C435" s="28">
        <v>559829</v>
      </c>
      <c r="D435" s="28" t="s">
        <v>1519</v>
      </c>
      <c r="E435" s="27" t="s">
        <v>32</v>
      </c>
      <c r="F435" s="6" t="s">
        <v>1095</v>
      </c>
      <c r="G435" s="28" t="s">
        <v>48</v>
      </c>
      <c r="H435" s="28" t="s">
        <v>129</v>
      </c>
      <c r="I435" s="116">
        <v>84</v>
      </c>
      <c r="J435" s="27"/>
      <c r="K435" s="40"/>
      <c r="L435" s="29" t="s">
        <v>126</v>
      </c>
      <c r="M435" s="29" t="s">
        <v>126</v>
      </c>
      <c r="N435" s="29" t="s">
        <v>126</v>
      </c>
    </row>
    <row r="436" spans="2:14" x14ac:dyDescent="0.25">
      <c r="B436" s="27" t="s">
        <v>123</v>
      </c>
      <c r="C436" s="28">
        <v>584932</v>
      </c>
      <c r="D436" s="28" t="s">
        <v>1520</v>
      </c>
      <c r="E436" s="27" t="s">
        <v>32</v>
      </c>
      <c r="F436" s="6" t="s">
        <v>1095</v>
      </c>
      <c r="G436" s="28" t="s">
        <v>48</v>
      </c>
      <c r="H436" s="28" t="s">
        <v>129</v>
      </c>
      <c r="I436" s="116">
        <v>56</v>
      </c>
      <c r="J436" s="27"/>
      <c r="K436" s="40"/>
      <c r="L436" s="29" t="s">
        <v>126</v>
      </c>
      <c r="M436" s="29" t="s">
        <v>126</v>
      </c>
      <c r="N436" s="29" t="s">
        <v>126</v>
      </c>
    </row>
    <row r="437" spans="2:14" x14ac:dyDescent="0.25">
      <c r="B437" s="27" t="s">
        <v>123</v>
      </c>
      <c r="C437" s="28">
        <v>584931</v>
      </c>
      <c r="D437" s="28" t="s">
        <v>1521</v>
      </c>
      <c r="E437" s="27" t="s">
        <v>32</v>
      </c>
      <c r="F437" s="6" t="s">
        <v>1095</v>
      </c>
      <c r="G437" s="28" t="s">
        <v>48</v>
      </c>
      <c r="H437" s="28" t="s">
        <v>129</v>
      </c>
      <c r="I437" s="116">
        <v>56</v>
      </c>
      <c r="J437" s="27"/>
      <c r="K437" s="40"/>
      <c r="L437" s="29" t="s">
        <v>126</v>
      </c>
      <c r="M437" s="29" t="s">
        <v>126</v>
      </c>
      <c r="N437" s="29" t="s">
        <v>126</v>
      </c>
    </row>
    <row r="438" spans="2:14" x14ac:dyDescent="0.25">
      <c r="B438" s="27" t="s">
        <v>123</v>
      </c>
      <c r="C438" s="28">
        <v>559838</v>
      </c>
      <c r="D438" s="28" t="s">
        <v>1522</v>
      </c>
      <c r="E438" s="27" t="s">
        <v>32</v>
      </c>
      <c r="F438" s="6" t="s">
        <v>1095</v>
      </c>
      <c r="G438" s="28" t="s">
        <v>48</v>
      </c>
      <c r="H438" s="28" t="s">
        <v>129</v>
      </c>
      <c r="I438" s="116">
        <v>84</v>
      </c>
      <c r="J438" s="27"/>
      <c r="K438" s="40"/>
      <c r="L438" s="29" t="s">
        <v>126</v>
      </c>
      <c r="M438" s="29" t="s">
        <v>126</v>
      </c>
      <c r="N438" s="29" t="s">
        <v>126</v>
      </c>
    </row>
    <row r="439" spans="2:14" x14ac:dyDescent="0.25">
      <c r="B439" s="27" t="s">
        <v>123</v>
      </c>
      <c r="C439" s="28">
        <v>559837</v>
      </c>
      <c r="D439" s="28" t="s">
        <v>1523</v>
      </c>
      <c r="E439" s="27" t="s">
        <v>32</v>
      </c>
      <c r="F439" s="6" t="s">
        <v>1095</v>
      </c>
      <c r="G439" s="28" t="s">
        <v>48</v>
      </c>
      <c r="H439" s="28" t="s">
        <v>129</v>
      </c>
      <c r="I439" s="116">
        <v>84</v>
      </c>
      <c r="J439" s="27"/>
      <c r="K439" s="40"/>
      <c r="L439" s="29" t="s">
        <v>126</v>
      </c>
      <c r="M439" s="29" t="s">
        <v>126</v>
      </c>
      <c r="N439" s="29" t="s">
        <v>126</v>
      </c>
    </row>
    <row r="440" spans="2:14" x14ac:dyDescent="0.25">
      <c r="B440" s="27" t="s">
        <v>123</v>
      </c>
      <c r="C440" s="28">
        <v>463220</v>
      </c>
      <c r="D440" s="28" t="s">
        <v>1524</v>
      </c>
      <c r="E440" s="27" t="s">
        <v>32</v>
      </c>
      <c r="F440" s="6" t="s">
        <v>1095</v>
      </c>
      <c r="G440" s="28" t="s">
        <v>48</v>
      </c>
      <c r="H440" s="28" t="s">
        <v>129</v>
      </c>
      <c r="I440" s="116">
        <v>129</v>
      </c>
      <c r="J440" s="27"/>
      <c r="K440" s="40"/>
      <c r="L440" s="29" t="s">
        <v>126</v>
      </c>
      <c r="M440" s="29" t="s">
        <v>126</v>
      </c>
      <c r="N440" s="29" t="s">
        <v>126</v>
      </c>
    </row>
    <row r="441" spans="2:14" x14ac:dyDescent="0.25">
      <c r="B441" s="27" t="s">
        <v>123</v>
      </c>
      <c r="C441" s="28">
        <v>471273</v>
      </c>
      <c r="D441" s="28" t="s">
        <v>1525</v>
      </c>
      <c r="E441" s="27" t="s">
        <v>32</v>
      </c>
      <c r="F441" s="6" t="s">
        <v>1095</v>
      </c>
      <c r="G441" s="28" t="s">
        <v>48</v>
      </c>
      <c r="H441" s="28" t="s">
        <v>129</v>
      </c>
      <c r="I441" s="116">
        <v>129</v>
      </c>
      <c r="J441" s="27"/>
      <c r="K441" s="40"/>
      <c r="L441" s="29" t="s">
        <v>126</v>
      </c>
      <c r="M441" s="29" t="s">
        <v>126</v>
      </c>
      <c r="N441" s="29" t="s">
        <v>126</v>
      </c>
    </row>
    <row r="442" spans="2:14" x14ac:dyDescent="0.25">
      <c r="B442" s="27" t="s">
        <v>123</v>
      </c>
      <c r="C442" s="28">
        <v>463222</v>
      </c>
      <c r="D442" s="28" t="s">
        <v>1526</v>
      </c>
      <c r="E442" s="27" t="s">
        <v>32</v>
      </c>
      <c r="F442" s="6" t="s">
        <v>1095</v>
      </c>
      <c r="G442" s="28" t="s">
        <v>48</v>
      </c>
      <c r="H442" s="28" t="s">
        <v>129</v>
      </c>
      <c r="I442" s="116">
        <v>139</v>
      </c>
      <c r="J442" s="27"/>
      <c r="K442" s="40"/>
      <c r="L442" s="29" t="s">
        <v>126</v>
      </c>
      <c r="M442" s="29" t="s">
        <v>126</v>
      </c>
      <c r="N442" s="29" t="s">
        <v>126</v>
      </c>
    </row>
    <row r="443" spans="2:14" x14ac:dyDescent="0.25">
      <c r="B443" s="27" t="s">
        <v>123</v>
      </c>
      <c r="C443" s="28">
        <v>463221</v>
      </c>
      <c r="D443" s="28" t="s">
        <v>1527</v>
      </c>
      <c r="E443" s="27" t="s">
        <v>32</v>
      </c>
      <c r="F443" s="6" t="s">
        <v>1095</v>
      </c>
      <c r="G443" s="28" t="s">
        <v>48</v>
      </c>
      <c r="H443" s="28" t="s">
        <v>129</v>
      </c>
      <c r="I443" s="116">
        <v>139</v>
      </c>
      <c r="J443" s="27"/>
      <c r="K443" s="40"/>
      <c r="L443" s="29" t="s">
        <v>126</v>
      </c>
      <c r="M443" s="29" t="s">
        <v>126</v>
      </c>
      <c r="N443" s="29" t="s">
        <v>126</v>
      </c>
    </row>
    <row r="444" spans="2:14" x14ac:dyDescent="0.25">
      <c r="B444" s="27" t="s">
        <v>123</v>
      </c>
      <c r="C444" s="28">
        <v>84816</v>
      </c>
      <c r="D444" s="28" t="s">
        <v>1528</v>
      </c>
      <c r="E444" s="27" t="s">
        <v>32</v>
      </c>
      <c r="F444" s="6" t="s">
        <v>1095</v>
      </c>
      <c r="G444" s="28" t="s">
        <v>48</v>
      </c>
      <c r="H444" s="28" t="s">
        <v>129</v>
      </c>
      <c r="I444" s="116">
        <v>92</v>
      </c>
      <c r="J444" s="27"/>
      <c r="K444" s="40"/>
      <c r="L444" s="29" t="s">
        <v>126</v>
      </c>
      <c r="M444" s="29" t="s">
        <v>126</v>
      </c>
      <c r="N444" s="29" t="s">
        <v>126</v>
      </c>
    </row>
    <row r="445" spans="2:14" x14ac:dyDescent="0.25">
      <c r="B445" s="27" t="s">
        <v>123</v>
      </c>
      <c r="C445" s="28">
        <v>329041</v>
      </c>
      <c r="D445" s="28" t="s">
        <v>1529</v>
      </c>
      <c r="E445" s="27" t="s">
        <v>32</v>
      </c>
      <c r="F445" s="6" t="s">
        <v>1095</v>
      </c>
      <c r="G445" s="28" t="s">
        <v>48</v>
      </c>
      <c r="H445" s="28" t="s">
        <v>129</v>
      </c>
      <c r="I445" s="116">
        <v>94</v>
      </c>
      <c r="J445" s="27"/>
      <c r="K445" s="40"/>
      <c r="L445" s="29" t="s">
        <v>126</v>
      </c>
      <c r="M445" s="29" t="s">
        <v>126</v>
      </c>
      <c r="N445" s="29" t="s">
        <v>126</v>
      </c>
    </row>
    <row r="446" spans="2:14" x14ac:dyDescent="0.25">
      <c r="B446" s="27" t="s">
        <v>123</v>
      </c>
      <c r="C446" s="28">
        <v>84815</v>
      </c>
      <c r="D446" s="28" t="s">
        <v>1530</v>
      </c>
      <c r="E446" s="27" t="s">
        <v>32</v>
      </c>
      <c r="F446" s="6" t="s">
        <v>1095</v>
      </c>
      <c r="G446" s="28" t="s">
        <v>48</v>
      </c>
      <c r="H446" s="28" t="s">
        <v>129</v>
      </c>
      <c r="I446" s="116">
        <v>99</v>
      </c>
      <c r="J446" s="27"/>
      <c r="K446" s="40"/>
      <c r="L446" s="29" t="s">
        <v>126</v>
      </c>
      <c r="M446" s="29" t="s">
        <v>126</v>
      </c>
      <c r="N446" s="29" t="s">
        <v>126</v>
      </c>
    </row>
    <row r="447" spans="2:14" x14ac:dyDescent="0.25">
      <c r="B447" s="27" t="s">
        <v>123</v>
      </c>
      <c r="C447" s="28">
        <v>561065</v>
      </c>
      <c r="D447" s="28" t="s">
        <v>1531</v>
      </c>
      <c r="E447" s="27" t="s">
        <v>32</v>
      </c>
      <c r="F447" s="6" t="s">
        <v>1095</v>
      </c>
      <c r="G447" s="28" t="s">
        <v>48</v>
      </c>
      <c r="H447" s="28" t="s">
        <v>129</v>
      </c>
      <c r="I447" s="116">
        <v>239</v>
      </c>
      <c r="J447" s="27"/>
      <c r="K447" s="40"/>
      <c r="L447" s="29" t="s">
        <v>126</v>
      </c>
      <c r="M447" s="29" t="s">
        <v>126</v>
      </c>
      <c r="N447" s="29" t="s">
        <v>126</v>
      </c>
    </row>
    <row r="448" spans="2:14" x14ac:dyDescent="0.25">
      <c r="B448" s="27" t="s">
        <v>123</v>
      </c>
      <c r="C448" s="28">
        <v>561066</v>
      </c>
      <c r="D448" s="28" t="s">
        <v>1532</v>
      </c>
      <c r="E448" s="27" t="s">
        <v>32</v>
      </c>
      <c r="F448" s="6" t="s">
        <v>1095</v>
      </c>
      <c r="G448" s="28" t="s">
        <v>48</v>
      </c>
      <c r="H448" s="28" t="s">
        <v>129</v>
      </c>
      <c r="I448" s="116">
        <v>219</v>
      </c>
      <c r="J448" s="27"/>
      <c r="K448" s="40"/>
      <c r="L448" s="29" t="s">
        <v>126</v>
      </c>
      <c r="M448" s="29" t="s">
        <v>126</v>
      </c>
      <c r="N448" s="29" t="s">
        <v>126</v>
      </c>
    </row>
    <row r="449" spans="2:14" x14ac:dyDescent="0.25">
      <c r="B449" s="27" t="s">
        <v>123</v>
      </c>
      <c r="C449" s="28">
        <v>408190</v>
      </c>
      <c r="D449" s="28" t="s">
        <v>1533</v>
      </c>
      <c r="E449" s="27" t="s">
        <v>32</v>
      </c>
      <c r="F449" s="6" t="s">
        <v>1095</v>
      </c>
      <c r="G449" s="28" t="s">
        <v>48</v>
      </c>
      <c r="H449" s="28" t="s">
        <v>129</v>
      </c>
      <c r="I449" s="116">
        <v>149</v>
      </c>
      <c r="J449" s="27"/>
      <c r="K449" s="40"/>
      <c r="L449" s="29" t="s">
        <v>126</v>
      </c>
      <c r="M449" s="29" t="s">
        <v>126</v>
      </c>
      <c r="N449" s="29" t="s">
        <v>126</v>
      </c>
    </row>
    <row r="450" spans="2:14" x14ac:dyDescent="0.25">
      <c r="B450" s="27" t="s">
        <v>123</v>
      </c>
      <c r="C450" s="28">
        <v>408189</v>
      </c>
      <c r="D450" s="28" t="s">
        <v>1534</v>
      </c>
      <c r="E450" s="27" t="s">
        <v>32</v>
      </c>
      <c r="F450" s="6" t="s">
        <v>1095</v>
      </c>
      <c r="G450" s="28" t="s">
        <v>48</v>
      </c>
      <c r="H450" s="28" t="s">
        <v>129</v>
      </c>
      <c r="I450" s="116">
        <v>149</v>
      </c>
      <c r="J450" s="27"/>
      <c r="K450" s="40"/>
      <c r="L450" s="29" t="s">
        <v>126</v>
      </c>
      <c r="M450" s="29" t="s">
        <v>126</v>
      </c>
      <c r="N450" s="29" t="s">
        <v>126</v>
      </c>
    </row>
    <row r="451" spans="2:14" x14ac:dyDescent="0.25">
      <c r="B451" s="27" t="s">
        <v>123</v>
      </c>
      <c r="C451" s="28">
        <v>60428</v>
      </c>
      <c r="D451" s="28" t="s">
        <v>1535</v>
      </c>
      <c r="E451" s="27" t="s">
        <v>32</v>
      </c>
      <c r="F451" s="6" t="s">
        <v>1095</v>
      </c>
      <c r="G451" s="28" t="s">
        <v>48</v>
      </c>
      <c r="H451" s="28" t="s">
        <v>129</v>
      </c>
      <c r="I451" s="116">
        <v>149</v>
      </c>
      <c r="J451" s="27"/>
      <c r="K451" s="40"/>
      <c r="L451" s="29" t="s">
        <v>126</v>
      </c>
      <c r="M451" s="29" t="s">
        <v>126</v>
      </c>
      <c r="N451" s="29" t="s">
        <v>126</v>
      </c>
    </row>
    <row r="452" spans="2:14" x14ac:dyDescent="0.25">
      <c r="B452" s="27" t="s">
        <v>123</v>
      </c>
      <c r="C452" s="28">
        <v>417948</v>
      </c>
      <c r="D452" s="28" t="s">
        <v>1536</v>
      </c>
      <c r="E452" s="27" t="s">
        <v>32</v>
      </c>
      <c r="F452" s="6" t="s">
        <v>1095</v>
      </c>
      <c r="G452" s="28" t="s">
        <v>48</v>
      </c>
      <c r="H452" s="28" t="s">
        <v>129</v>
      </c>
      <c r="I452" s="116">
        <v>89</v>
      </c>
      <c r="J452" s="27"/>
      <c r="K452" s="40"/>
      <c r="L452" s="29" t="s">
        <v>126</v>
      </c>
      <c r="M452" s="29" t="s">
        <v>126</v>
      </c>
      <c r="N452" s="29" t="s">
        <v>126</v>
      </c>
    </row>
    <row r="453" spans="2:14" x14ac:dyDescent="0.25">
      <c r="B453" s="27" t="s">
        <v>123</v>
      </c>
      <c r="C453" s="28">
        <v>417947</v>
      </c>
      <c r="D453" s="28" t="s">
        <v>1537</v>
      </c>
      <c r="E453" s="27" t="s">
        <v>32</v>
      </c>
      <c r="F453" s="6" t="s">
        <v>1095</v>
      </c>
      <c r="G453" s="28" t="s">
        <v>48</v>
      </c>
      <c r="H453" s="28" t="s">
        <v>129</v>
      </c>
      <c r="I453" s="116">
        <v>89</v>
      </c>
      <c r="J453" s="27"/>
      <c r="K453" s="40"/>
      <c r="L453" s="29" t="s">
        <v>126</v>
      </c>
      <c r="M453" s="29" t="s">
        <v>126</v>
      </c>
      <c r="N453" s="29" t="s">
        <v>126</v>
      </c>
    </row>
    <row r="454" spans="2:14" x14ac:dyDescent="0.25">
      <c r="B454" s="27" t="s">
        <v>123</v>
      </c>
      <c r="C454" s="28">
        <v>227195</v>
      </c>
      <c r="D454" s="28" t="s">
        <v>1538</v>
      </c>
      <c r="E454" s="27" t="s">
        <v>32</v>
      </c>
      <c r="F454" s="6" t="s">
        <v>1095</v>
      </c>
      <c r="G454" s="28" t="s">
        <v>48</v>
      </c>
      <c r="H454" s="28" t="s">
        <v>129</v>
      </c>
      <c r="I454" s="116">
        <v>299</v>
      </c>
      <c r="J454" s="27"/>
      <c r="K454" s="40"/>
      <c r="L454" s="29" t="s">
        <v>126</v>
      </c>
      <c r="M454" s="29" t="s">
        <v>126</v>
      </c>
      <c r="N454" s="29" t="s">
        <v>126</v>
      </c>
    </row>
    <row r="455" spans="2:14" x14ac:dyDescent="0.25">
      <c r="B455" s="27" t="s">
        <v>123</v>
      </c>
      <c r="C455" s="28">
        <v>389889</v>
      </c>
      <c r="D455" s="28" t="s">
        <v>1539</v>
      </c>
      <c r="E455" s="27" t="s">
        <v>32</v>
      </c>
      <c r="F455" s="6" t="s">
        <v>1095</v>
      </c>
      <c r="G455" s="28" t="s">
        <v>48</v>
      </c>
      <c r="H455" s="28" t="s">
        <v>129</v>
      </c>
      <c r="I455" s="116">
        <v>164</v>
      </c>
      <c r="J455" s="27"/>
      <c r="K455" s="40"/>
      <c r="L455" s="29" t="s">
        <v>126</v>
      </c>
      <c r="M455" s="29" t="s">
        <v>126</v>
      </c>
      <c r="N455" s="29" t="s">
        <v>126</v>
      </c>
    </row>
    <row r="456" spans="2:14" x14ac:dyDescent="0.25">
      <c r="B456" s="27" t="s">
        <v>123</v>
      </c>
      <c r="C456" s="28">
        <v>569791</v>
      </c>
      <c r="D456" s="28" t="s">
        <v>1540</v>
      </c>
      <c r="E456" s="27" t="s">
        <v>32</v>
      </c>
      <c r="F456" s="6" t="s">
        <v>1095</v>
      </c>
      <c r="G456" s="28" t="s">
        <v>48</v>
      </c>
      <c r="H456" s="28" t="s">
        <v>129</v>
      </c>
      <c r="I456" s="116">
        <v>289</v>
      </c>
      <c r="J456" s="27"/>
      <c r="K456" s="40"/>
      <c r="L456" s="29" t="s">
        <v>126</v>
      </c>
      <c r="M456" s="29" t="s">
        <v>126</v>
      </c>
      <c r="N456" s="29" t="s">
        <v>126</v>
      </c>
    </row>
    <row r="457" spans="2:14" x14ac:dyDescent="0.25">
      <c r="B457" s="27" t="s">
        <v>123</v>
      </c>
      <c r="C457" s="28">
        <v>522880</v>
      </c>
      <c r="D457" s="28" t="s">
        <v>1541</v>
      </c>
      <c r="E457" s="27" t="s">
        <v>32</v>
      </c>
      <c r="F457" s="6" t="s">
        <v>1095</v>
      </c>
      <c r="G457" s="28" t="s">
        <v>48</v>
      </c>
      <c r="H457" s="28" t="s">
        <v>129</v>
      </c>
      <c r="I457" s="116">
        <v>190</v>
      </c>
      <c r="J457" s="27"/>
      <c r="K457" s="40"/>
      <c r="L457" s="29" t="s">
        <v>126</v>
      </c>
      <c r="M457" s="29" t="s">
        <v>126</v>
      </c>
      <c r="N457" s="29" t="s">
        <v>126</v>
      </c>
    </row>
    <row r="458" spans="2:14" x14ac:dyDescent="0.25">
      <c r="B458" s="27" t="s">
        <v>123</v>
      </c>
      <c r="C458" s="28">
        <v>17228</v>
      </c>
      <c r="D458" s="28" t="s">
        <v>1542</v>
      </c>
      <c r="E458" s="27" t="s">
        <v>32</v>
      </c>
      <c r="F458" s="6" t="s">
        <v>1095</v>
      </c>
      <c r="G458" s="28" t="s">
        <v>48</v>
      </c>
      <c r="H458" s="28" t="s">
        <v>129</v>
      </c>
      <c r="I458" s="116">
        <v>99</v>
      </c>
      <c r="J458" s="27"/>
      <c r="K458" s="40"/>
      <c r="L458" s="29" t="s">
        <v>126</v>
      </c>
      <c r="M458" s="29" t="s">
        <v>126</v>
      </c>
      <c r="N458" s="29" t="s">
        <v>126</v>
      </c>
    </row>
    <row r="459" spans="2:14" x14ac:dyDescent="0.25">
      <c r="B459" s="27" t="s">
        <v>123</v>
      </c>
      <c r="C459" s="28">
        <v>524545</v>
      </c>
      <c r="D459" s="28" t="s">
        <v>1543</v>
      </c>
      <c r="E459" s="27" t="s">
        <v>32</v>
      </c>
      <c r="F459" s="6" t="s">
        <v>1095</v>
      </c>
      <c r="G459" s="28" t="s">
        <v>48</v>
      </c>
      <c r="H459" s="28" t="s">
        <v>193</v>
      </c>
      <c r="I459" s="116">
        <v>299</v>
      </c>
      <c r="J459" s="27"/>
      <c r="K459" s="40"/>
      <c r="L459" s="29" t="s">
        <v>126</v>
      </c>
      <c r="M459" s="29" t="s">
        <v>126</v>
      </c>
      <c r="N459" s="29" t="s">
        <v>126</v>
      </c>
    </row>
    <row r="460" spans="2:14" x14ac:dyDescent="0.25">
      <c r="B460" s="27" t="s">
        <v>123</v>
      </c>
      <c r="C460" s="28">
        <v>523815</v>
      </c>
      <c r="D460" s="28" t="s">
        <v>1544</v>
      </c>
      <c r="E460" s="27" t="s">
        <v>32</v>
      </c>
      <c r="F460" s="6" t="s">
        <v>1095</v>
      </c>
      <c r="G460" s="28" t="s">
        <v>48</v>
      </c>
      <c r="H460" s="28" t="s">
        <v>193</v>
      </c>
      <c r="I460" s="116">
        <v>199</v>
      </c>
      <c r="J460" s="27"/>
      <c r="K460" s="40"/>
      <c r="L460" s="29" t="s">
        <v>126</v>
      </c>
      <c r="M460" s="29" t="s">
        <v>126</v>
      </c>
      <c r="N460" s="29" t="s">
        <v>126</v>
      </c>
    </row>
    <row r="461" spans="2:14" x14ac:dyDescent="0.25">
      <c r="B461" s="27" t="s">
        <v>123</v>
      </c>
      <c r="C461" s="28">
        <v>523731</v>
      </c>
      <c r="D461" s="28" t="s">
        <v>1545</v>
      </c>
      <c r="E461" s="27" t="s">
        <v>32</v>
      </c>
      <c r="F461" s="6" t="s">
        <v>1095</v>
      </c>
      <c r="G461" s="28" t="s">
        <v>48</v>
      </c>
      <c r="H461" s="28" t="s">
        <v>193</v>
      </c>
      <c r="I461" s="116">
        <v>135</v>
      </c>
      <c r="J461" s="27"/>
      <c r="K461" s="40"/>
      <c r="L461" s="29" t="s">
        <v>126</v>
      </c>
      <c r="M461" s="29" t="s">
        <v>126</v>
      </c>
      <c r="N461" s="29" t="s">
        <v>126</v>
      </c>
    </row>
    <row r="462" spans="2:14" x14ac:dyDescent="0.25">
      <c r="B462" s="27" t="s">
        <v>123</v>
      </c>
      <c r="C462" s="28">
        <v>523734</v>
      </c>
      <c r="D462" s="28" t="s">
        <v>1546</v>
      </c>
      <c r="E462" s="27" t="s">
        <v>32</v>
      </c>
      <c r="F462" s="6" t="s">
        <v>1095</v>
      </c>
      <c r="G462" s="28" t="s">
        <v>48</v>
      </c>
      <c r="H462" s="28" t="s">
        <v>193</v>
      </c>
      <c r="I462" s="116">
        <v>239</v>
      </c>
      <c r="J462" s="27"/>
      <c r="K462" s="40"/>
      <c r="L462" s="29" t="s">
        <v>126</v>
      </c>
      <c r="M462" s="29" t="s">
        <v>126</v>
      </c>
      <c r="N462" s="29" t="s">
        <v>126</v>
      </c>
    </row>
    <row r="463" spans="2:14" x14ac:dyDescent="0.25">
      <c r="B463" s="27" t="s">
        <v>123</v>
      </c>
      <c r="C463" s="28">
        <v>596611</v>
      </c>
      <c r="D463" s="28" t="s">
        <v>1547</v>
      </c>
      <c r="E463" s="27" t="s">
        <v>32</v>
      </c>
      <c r="F463" s="6" t="s">
        <v>1095</v>
      </c>
      <c r="G463" s="28" t="s">
        <v>48</v>
      </c>
      <c r="H463" s="28" t="s">
        <v>193</v>
      </c>
      <c r="I463" s="116">
        <v>249</v>
      </c>
      <c r="J463" s="27"/>
      <c r="K463" s="40"/>
      <c r="L463" s="29" t="s">
        <v>126</v>
      </c>
      <c r="M463" s="29" t="s">
        <v>126</v>
      </c>
      <c r="N463" s="29" t="s">
        <v>126</v>
      </c>
    </row>
    <row r="464" spans="2:14" x14ac:dyDescent="0.25">
      <c r="B464" s="27" t="s">
        <v>123</v>
      </c>
      <c r="C464" s="28">
        <v>596612</v>
      </c>
      <c r="D464" s="28" t="s">
        <v>1548</v>
      </c>
      <c r="E464" s="27" t="s">
        <v>32</v>
      </c>
      <c r="F464" s="6" t="s">
        <v>1095</v>
      </c>
      <c r="G464" s="28" t="s">
        <v>48</v>
      </c>
      <c r="H464" s="28" t="s">
        <v>193</v>
      </c>
      <c r="I464" s="116">
        <v>399</v>
      </c>
      <c r="J464" s="27"/>
      <c r="K464" s="40"/>
      <c r="L464" s="29" t="s">
        <v>126</v>
      </c>
      <c r="M464" s="29" t="s">
        <v>126</v>
      </c>
      <c r="N464" s="29" t="s">
        <v>126</v>
      </c>
    </row>
    <row r="465" spans="2:14" x14ac:dyDescent="0.25">
      <c r="B465" s="27" t="s">
        <v>123</v>
      </c>
      <c r="C465" s="28">
        <v>603054</v>
      </c>
      <c r="D465" s="28" t="s">
        <v>1549</v>
      </c>
      <c r="E465" s="27" t="s">
        <v>32</v>
      </c>
      <c r="F465" s="6" t="s">
        <v>1095</v>
      </c>
      <c r="G465" s="28" t="s">
        <v>48</v>
      </c>
      <c r="H465" s="28" t="s">
        <v>193</v>
      </c>
      <c r="I465" s="116">
        <v>549</v>
      </c>
      <c r="J465" s="27"/>
      <c r="K465" s="40"/>
      <c r="L465" s="29" t="s">
        <v>126</v>
      </c>
      <c r="M465" s="29" t="s">
        <v>126</v>
      </c>
      <c r="N465" s="29" t="s">
        <v>126</v>
      </c>
    </row>
    <row r="466" spans="2:14" x14ac:dyDescent="0.25">
      <c r="B466" s="27" t="s">
        <v>123</v>
      </c>
      <c r="C466" s="28">
        <v>603052</v>
      </c>
      <c r="D466" s="28" t="s">
        <v>1550</v>
      </c>
      <c r="E466" s="27" t="s">
        <v>32</v>
      </c>
      <c r="F466" s="6" t="s">
        <v>1095</v>
      </c>
      <c r="G466" s="28" t="s">
        <v>48</v>
      </c>
      <c r="H466" s="28" t="s">
        <v>193</v>
      </c>
      <c r="I466" s="116">
        <v>189</v>
      </c>
      <c r="J466" s="27"/>
      <c r="K466" s="40"/>
      <c r="L466" s="29" t="s">
        <v>126</v>
      </c>
      <c r="M466" s="29" t="s">
        <v>126</v>
      </c>
      <c r="N466" s="29" t="s">
        <v>126</v>
      </c>
    </row>
    <row r="467" spans="2:14" x14ac:dyDescent="0.25">
      <c r="B467" s="27" t="s">
        <v>123</v>
      </c>
      <c r="C467" s="28">
        <v>596740</v>
      </c>
      <c r="D467" s="28" t="s">
        <v>1551</v>
      </c>
      <c r="E467" s="27" t="s">
        <v>32</v>
      </c>
      <c r="F467" s="6" t="s">
        <v>1095</v>
      </c>
      <c r="G467" s="28" t="s">
        <v>48</v>
      </c>
      <c r="H467" s="28" t="s">
        <v>193</v>
      </c>
      <c r="I467" s="116">
        <v>629</v>
      </c>
      <c r="J467" s="27"/>
      <c r="K467" s="40"/>
      <c r="L467" s="29" t="s">
        <v>126</v>
      </c>
      <c r="M467" s="29" t="s">
        <v>126</v>
      </c>
      <c r="N467" s="29" t="s">
        <v>126</v>
      </c>
    </row>
    <row r="468" spans="2:14" x14ac:dyDescent="0.25">
      <c r="B468" s="27" t="s">
        <v>123</v>
      </c>
      <c r="C468" s="28">
        <v>596744</v>
      </c>
      <c r="D468" s="28" t="s">
        <v>1552</v>
      </c>
      <c r="E468" s="27" t="s">
        <v>32</v>
      </c>
      <c r="F468" s="6" t="s">
        <v>1095</v>
      </c>
      <c r="G468" s="28" t="s">
        <v>48</v>
      </c>
      <c r="H468" s="28" t="s">
        <v>193</v>
      </c>
      <c r="I468" s="116">
        <v>219</v>
      </c>
      <c r="J468" s="27"/>
      <c r="K468" s="40"/>
      <c r="L468" s="29" t="s">
        <v>126</v>
      </c>
      <c r="M468" s="29" t="s">
        <v>126</v>
      </c>
      <c r="N468" s="29" t="s">
        <v>126</v>
      </c>
    </row>
    <row r="469" spans="2:14" x14ac:dyDescent="0.25">
      <c r="B469" s="27" t="s">
        <v>123</v>
      </c>
      <c r="C469" s="28">
        <v>525774</v>
      </c>
      <c r="D469" s="28" t="s">
        <v>1553</v>
      </c>
      <c r="E469" s="27" t="s">
        <v>32</v>
      </c>
      <c r="F469" s="6" t="s">
        <v>1095</v>
      </c>
      <c r="G469" s="28" t="s">
        <v>48</v>
      </c>
      <c r="H469" s="28" t="s">
        <v>193</v>
      </c>
      <c r="I469" s="116">
        <v>799</v>
      </c>
      <c r="J469" s="27"/>
      <c r="K469" s="40"/>
      <c r="L469" s="29" t="s">
        <v>126</v>
      </c>
      <c r="M469" s="29" t="s">
        <v>126</v>
      </c>
      <c r="N469" s="29" t="s">
        <v>126</v>
      </c>
    </row>
    <row r="470" spans="2:14" x14ac:dyDescent="0.25">
      <c r="B470" s="27" t="s">
        <v>123</v>
      </c>
      <c r="C470" s="28">
        <v>579768</v>
      </c>
      <c r="D470" s="28" t="s">
        <v>1554</v>
      </c>
      <c r="E470" s="27" t="s">
        <v>32</v>
      </c>
      <c r="F470" s="6" t="s">
        <v>1095</v>
      </c>
      <c r="G470" s="28" t="s">
        <v>48</v>
      </c>
      <c r="H470" s="28" t="s">
        <v>193</v>
      </c>
      <c r="I470" s="116">
        <v>549</v>
      </c>
      <c r="J470" s="27"/>
      <c r="K470" s="40"/>
      <c r="L470" s="29" t="s">
        <v>126</v>
      </c>
      <c r="M470" s="29" t="s">
        <v>126</v>
      </c>
      <c r="N470" s="29" t="s">
        <v>126</v>
      </c>
    </row>
    <row r="471" spans="2:14" x14ac:dyDescent="0.25">
      <c r="B471" s="27" t="s">
        <v>123</v>
      </c>
      <c r="C471" s="28">
        <v>563146</v>
      </c>
      <c r="D471" s="28" t="s">
        <v>1555</v>
      </c>
      <c r="E471" s="27" t="s">
        <v>32</v>
      </c>
      <c r="F471" s="6" t="s">
        <v>1095</v>
      </c>
      <c r="G471" s="28" t="s">
        <v>48</v>
      </c>
      <c r="H471" s="28" t="s">
        <v>193</v>
      </c>
      <c r="I471" s="116">
        <v>599</v>
      </c>
      <c r="J471" s="27"/>
      <c r="K471" s="40"/>
      <c r="L471" s="29" t="s">
        <v>126</v>
      </c>
      <c r="M471" s="29" t="s">
        <v>126</v>
      </c>
      <c r="N471" s="29" t="s">
        <v>126</v>
      </c>
    </row>
    <row r="472" spans="2:14" x14ac:dyDescent="0.25">
      <c r="B472" s="27" t="s">
        <v>123</v>
      </c>
      <c r="C472" s="28">
        <v>450109</v>
      </c>
      <c r="D472" s="28" t="s">
        <v>1556</v>
      </c>
      <c r="E472" s="27" t="s">
        <v>32</v>
      </c>
      <c r="F472" s="6" t="s">
        <v>1095</v>
      </c>
      <c r="G472" s="28" t="s">
        <v>48</v>
      </c>
      <c r="H472" s="28" t="s">
        <v>193</v>
      </c>
      <c r="I472" s="116">
        <v>299</v>
      </c>
      <c r="J472" s="27"/>
      <c r="K472" s="40"/>
      <c r="L472" s="29" t="s">
        <v>126</v>
      </c>
      <c r="M472" s="29" t="s">
        <v>126</v>
      </c>
      <c r="N472" s="29" t="s">
        <v>126</v>
      </c>
    </row>
    <row r="473" spans="2:14" x14ac:dyDescent="0.25">
      <c r="B473" s="27" t="s">
        <v>123</v>
      </c>
      <c r="C473" s="28">
        <v>585311</v>
      </c>
      <c r="D473" s="28" t="s">
        <v>1557</v>
      </c>
      <c r="E473" s="27" t="s">
        <v>32</v>
      </c>
      <c r="F473" s="6" t="s">
        <v>1095</v>
      </c>
      <c r="G473" s="28" t="s">
        <v>48</v>
      </c>
      <c r="H473" s="28" t="s">
        <v>193</v>
      </c>
      <c r="I473" s="116">
        <v>649</v>
      </c>
      <c r="J473" s="27"/>
      <c r="K473" s="40"/>
      <c r="L473" s="29" t="s">
        <v>126</v>
      </c>
      <c r="M473" s="29" t="s">
        <v>126</v>
      </c>
      <c r="N473" s="29" t="s">
        <v>126</v>
      </c>
    </row>
    <row r="474" spans="2:14" x14ac:dyDescent="0.25">
      <c r="B474" s="27" t="s">
        <v>123</v>
      </c>
      <c r="C474" s="28">
        <v>562865</v>
      </c>
      <c r="D474" s="28" t="s">
        <v>1558</v>
      </c>
      <c r="E474" s="27" t="s">
        <v>32</v>
      </c>
      <c r="F474" s="6" t="s">
        <v>1095</v>
      </c>
      <c r="G474" s="28" t="s">
        <v>48</v>
      </c>
      <c r="H474" s="28" t="s">
        <v>193</v>
      </c>
      <c r="I474" s="116">
        <v>199</v>
      </c>
      <c r="J474" s="27"/>
      <c r="K474" s="40"/>
      <c r="L474" s="29" t="s">
        <v>126</v>
      </c>
      <c r="M474" s="29" t="s">
        <v>126</v>
      </c>
      <c r="N474" s="29" t="s">
        <v>126</v>
      </c>
    </row>
    <row r="475" spans="2:14" x14ac:dyDescent="0.25">
      <c r="B475" s="27" t="s">
        <v>123</v>
      </c>
      <c r="C475" s="28">
        <v>596382</v>
      </c>
      <c r="D475" s="28" t="s">
        <v>1559</v>
      </c>
      <c r="E475" s="27" t="s">
        <v>32</v>
      </c>
      <c r="F475" s="6" t="s">
        <v>1095</v>
      </c>
      <c r="G475" s="28" t="s">
        <v>48</v>
      </c>
      <c r="H475" s="28" t="s">
        <v>193</v>
      </c>
      <c r="I475" s="116">
        <v>990</v>
      </c>
      <c r="J475" s="27"/>
      <c r="K475" s="40"/>
      <c r="L475" s="29" t="s">
        <v>126</v>
      </c>
      <c r="M475" s="29" t="s">
        <v>126</v>
      </c>
      <c r="N475" s="29" t="s">
        <v>126</v>
      </c>
    </row>
    <row r="476" spans="2:14" x14ac:dyDescent="0.25">
      <c r="B476" s="27" t="s">
        <v>123</v>
      </c>
      <c r="C476" s="28">
        <v>579778</v>
      </c>
      <c r="D476" s="28" t="s">
        <v>1560</v>
      </c>
      <c r="E476" s="27" t="s">
        <v>32</v>
      </c>
      <c r="F476" s="6" t="s">
        <v>1095</v>
      </c>
      <c r="G476" s="28" t="s">
        <v>48</v>
      </c>
      <c r="H476" s="28" t="s">
        <v>193</v>
      </c>
      <c r="I476" s="116">
        <v>1490</v>
      </c>
      <c r="J476" s="27"/>
      <c r="K476" s="40"/>
      <c r="L476" s="29" t="s">
        <v>126</v>
      </c>
      <c r="M476" s="29" t="s">
        <v>126</v>
      </c>
      <c r="N476" s="29" t="s">
        <v>126</v>
      </c>
    </row>
    <row r="477" spans="2:14" x14ac:dyDescent="0.25">
      <c r="B477" s="27" t="s">
        <v>123</v>
      </c>
      <c r="C477" s="28">
        <v>579791</v>
      </c>
      <c r="D477" s="28" t="s">
        <v>1561</v>
      </c>
      <c r="E477" s="27" t="s">
        <v>32</v>
      </c>
      <c r="F477" s="6" t="s">
        <v>1095</v>
      </c>
      <c r="G477" s="28" t="s">
        <v>48</v>
      </c>
      <c r="H477" s="28" t="s">
        <v>193</v>
      </c>
      <c r="I477" s="116">
        <v>790</v>
      </c>
      <c r="J477" s="27"/>
      <c r="K477" s="40"/>
      <c r="L477" s="29" t="s">
        <v>126</v>
      </c>
      <c r="M477" s="29" t="s">
        <v>126</v>
      </c>
      <c r="N477" s="29" t="s">
        <v>126</v>
      </c>
    </row>
    <row r="478" spans="2:14" x14ac:dyDescent="0.25">
      <c r="B478" s="27" t="s">
        <v>123</v>
      </c>
      <c r="C478" s="28">
        <v>482213</v>
      </c>
      <c r="D478" s="28" t="s">
        <v>1562</v>
      </c>
      <c r="E478" s="27" t="s">
        <v>32</v>
      </c>
      <c r="F478" s="6" t="s">
        <v>1095</v>
      </c>
      <c r="G478" s="28" t="s">
        <v>48</v>
      </c>
      <c r="H478" s="28" t="s">
        <v>193</v>
      </c>
      <c r="I478" s="116">
        <v>398.29999999999995</v>
      </c>
      <c r="J478" s="27"/>
      <c r="K478" s="40"/>
      <c r="L478" s="29" t="s">
        <v>126</v>
      </c>
      <c r="M478" s="29" t="s">
        <v>126</v>
      </c>
      <c r="N478" s="29" t="s">
        <v>126</v>
      </c>
    </row>
    <row r="479" spans="2:14" x14ac:dyDescent="0.25">
      <c r="B479" s="27" t="s">
        <v>123</v>
      </c>
      <c r="C479" s="28">
        <v>482531</v>
      </c>
      <c r="D479" s="28" t="s">
        <v>1563</v>
      </c>
      <c r="E479" s="27" t="s">
        <v>32</v>
      </c>
      <c r="F479" s="6" t="s">
        <v>1095</v>
      </c>
      <c r="G479" s="28" t="s">
        <v>48</v>
      </c>
      <c r="H479" s="28" t="s">
        <v>193</v>
      </c>
      <c r="I479" s="116">
        <v>59</v>
      </c>
      <c r="J479" s="27"/>
      <c r="K479" s="40"/>
      <c r="L479" s="29" t="s">
        <v>126</v>
      </c>
      <c r="M479" s="29" t="s">
        <v>126</v>
      </c>
      <c r="N479" s="29" t="s">
        <v>126</v>
      </c>
    </row>
    <row r="480" spans="2:14" x14ac:dyDescent="0.25">
      <c r="B480" s="27" t="s">
        <v>123</v>
      </c>
      <c r="C480" s="28">
        <v>557717</v>
      </c>
      <c r="D480" s="28" t="s">
        <v>1564</v>
      </c>
      <c r="E480" s="27" t="s">
        <v>32</v>
      </c>
      <c r="F480" s="6" t="s">
        <v>1095</v>
      </c>
      <c r="G480" s="28" t="s">
        <v>48</v>
      </c>
      <c r="H480" s="28" t="s">
        <v>193</v>
      </c>
      <c r="I480" s="116">
        <v>89</v>
      </c>
      <c r="J480" s="27"/>
      <c r="K480" s="40"/>
      <c r="L480" s="29" t="s">
        <v>126</v>
      </c>
      <c r="M480" s="29" t="s">
        <v>126</v>
      </c>
      <c r="N480" s="29" t="s">
        <v>126</v>
      </c>
    </row>
    <row r="481" spans="2:14" x14ac:dyDescent="0.25">
      <c r="B481" s="27" t="s">
        <v>123</v>
      </c>
      <c r="C481" s="28">
        <v>569728</v>
      </c>
      <c r="D481" s="28" t="s">
        <v>1565</v>
      </c>
      <c r="E481" s="27" t="s">
        <v>32</v>
      </c>
      <c r="F481" s="6" t="s">
        <v>1095</v>
      </c>
      <c r="G481" s="28" t="s">
        <v>48</v>
      </c>
      <c r="H481" s="28" t="s">
        <v>193</v>
      </c>
      <c r="I481" s="116">
        <v>69</v>
      </c>
      <c r="J481" s="27"/>
      <c r="K481" s="40"/>
      <c r="L481" s="29" t="s">
        <v>126</v>
      </c>
      <c r="M481" s="29" t="s">
        <v>126</v>
      </c>
      <c r="N481" s="29" t="s">
        <v>126</v>
      </c>
    </row>
    <row r="482" spans="2:14" x14ac:dyDescent="0.25">
      <c r="B482" s="27" t="s">
        <v>123</v>
      </c>
      <c r="C482" s="28">
        <v>452666</v>
      </c>
      <c r="D482" s="28" t="s">
        <v>1566</v>
      </c>
      <c r="E482" s="27" t="s">
        <v>32</v>
      </c>
      <c r="F482" s="6" t="s">
        <v>1095</v>
      </c>
      <c r="G482" s="28" t="s">
        <v>48</v>
      </c>
      <c r="H482" s="28" t="s">
        <v>129</v>
      </c>
      <c r="I482" s="116">
        <v>1390</v>
      </c>
      <c r="J482" s="27"/>
      <c r="K482" s="40"/>
      <c r="L482" s="29" t="s">
        <v>126</v>
      </c>
      <c r="M482" s="29" t="s">
        <v>126</v>
      </c>
      <c r="N482" s="29" t="s">
        <v>126</v>
      </c>
    </row>
    <row r="483" spans="2:14" x14ac:dyDescent="0.25">
      <c r="B483" s="27" t="s">
        <v>123</v>
      </c>
      <c r="C483" s="28">
        <v>569729</v>
      </c>
      <c r="D483" s="28" t="s">
        <v>1567</v>
      </c>
      <c r="E483" s="27" t="s">
        <v>32</v>
      </c>
      <c r="F483" s="6" t="s">
        <v>1095</v>
      </c>
      <c r="G483" s="28" t="s">
        <v>48</v>
      </c>
      <c r="H483" s="28" t="s">
        <v>193</v>
      </c>
      <c r="I483" s="116">
        <v>49</v>
      </c>
      <c r="J483" s="27"/>
      <c r="K483" s="40"/>
      <c r="L483" s="29" t="s">
        <v>126</v>
      </c>
      <c r="M483" s="29" t="s">
        <v>126</v>
      </c>
      <c r="N483" s="29" t="s">
        <v>126</v>
      </c>
    </row>
    <row r="484" spans="2:14" x14ac:dyDescent="0.25">
      <c r="B484" s="27" t="s">
        <v>123</v>
      </c>
      <c r="C484" s="28">
        <v>498934</v>
      </c>
      <c r="D484" s="28" t="s">
        <v>1568</v>
      </c>
      <c r="E484" s="27" t="s">
        <v>32</v>
      </c>
      <c r="F484" s="6" t="s">
        <v>1095</v>
      </c>
      <c r="G484" s="28" t="s">
        <v>48</v>
      </c>
      <c r="H484" s="28" t="s">
        <v>193</v>
      </c>
      <c r="I484" s="116">
        <v>46</v>
      </c>
      <c r="J484" s="27"/>
      <c r="K484" s="40"/>
      <c r="L484" s="29" t="s">
        <v>126</v>
      </c>
      <c r="M484" s="29" t="s">
        <v>126</v>
      </c>
      <c r="N484" s="29" t="s">
        <v>126</v>
      </c>
    </row>
    <row r="485" spans="2:14" x14ac:dyDescent="0.25">
      <c r="B485" s="27" t="s">
        <v>123</v>
      </c>
      <c r="C485" s="28">
        <v>589305</v>
      </c>
      <c r="D485" s="28" t="s">
        <v>1569</v>
      </c>
      <c r="E485" s="27" t="s">
        <v>32</v>
      </c>
      <c r="F485" s="6" t="s">
        <v>1095</v>
      </c>
      <c r="G485" s="28" t="s">
        <v>48</v>
      </c>
      <c r="H485" s="28" t="s">
        <v>193</v>
      </c>
      <c r="I485" s="116">
        <v>39</v>
      </c>
      <c r="J485" s="27"/>
      <c r="K485" s="40"/>
      <c r="L485" s="29" t="s">
        <v>126</v>
      </c>
      <c r="M485" s="29" t="s">
        <v>126</v>
      </c>
      <c r="N485" s="29" t="s">
        <v>126</v>
      </c>
    </row>
    <row r="486" spans="2:14" x14ac:dyDescent="0.25">
      <c r="B486" s="27" t="s">
        <v>123</v>
      </c>
      <c r="C486" s="28">
        <v>481986</v>
      </c>
      <c r="D486" s="28" t="s">
        <v>415</v>
      </c>
      <c r="E486" s="27" t="s">
        <v>32</v>
      </c>
      <c r="F486" s="6" t="s">
        <v>1095</v>
      </c>
      <c r="G486" s="28" t="s">
        <v>48</v>
      </c>
      <c r="H486" s="28" t="s">
        <v>129</v>
      </c>
      <c r="I486" s="116">
        <v>790</v>
      </c>
      <c r="J486" s="27"/>
      <c r="K486" s="40"/>
      <c r="L486" s="29" t="s">
        <v>126</v>
      </c>
      <c r="M486" s="29" t="s">
        <v>126</v>
      </c>
      <c r="N486" s="29" t="s">
        <v>126</v>
      </c>
    </row>
    <row r="487" spans="2:14" x14ac:dyDescent="0.25">
      <c r="B487" s="27" t="s">
        <v>123</v>
      </c>
      <c r="C487" s="28">
        <v>600953</v>
      </c>
      <c r="D487" s="28" t="s">
        <v>1570</v>
      </c>
      <c r="E487" s="27" t="s">
        <v>32</v>
      </c>
      <c r="F487" s="6" t="s">
        <v>1095</v>
      </c>
      <c r="G487" s="28" t="s">
        <v>48</v>
      </c>
      <c r="H487" s="28" t="s">
        <v>129</v>
      </c>
      <c r="I487" s="116">
        <v>1190</v>
      </c>
      <c r="J487" s="27"/>
      <c r="K487" s="40"/>
      <c r="L487" s="29" t="s">
        <v>126</v>
      </c>
      <c r="M487" s="29" t="s">
        <v>126</v>
      </c>
      <c r="N487" s="29" t="s">
        <v>126</v>
      </c>
    </row>
    <row r="488" spans="2:14" x14ac:dyDescent="0.25">
      <c r="B488" s="27" t="s">
        <v>123</v>
      </c>
      <c r="C488" s="28">
        <v>512984</v>
      </c>
      <c r="D488" s="28" t="s">
        <v>1571</v>
      </c>
      <c r="E488" s="27" t="s">
        <v>32</v>
      </c>
      <c r="F488" s="6" t="s">
        <v>1095</v>
      </c>
      <c r="G488" s="28" t="s">
        <v>48</v>
      </c>
      <c r="H488" s="28" t="s">
        <v>129</v>
      </c>
      <c r="I488" s="116">
        <v>699</v>
      </c>
      <c r="J488" s="27"/>
      <c r="K488" s="40"/>
      <c r="L488" s="29" t="s">
        <v>126</v>
      </c>
      <c r="M488" s="29" t="s">
        <v>126</v>
      </c>
      <c r="N488" s="29" t="s">
        <v>126</v>
      </c>
    </row>
    <row r="489" spans="2:14" x14ac:dyDescent="0.25">
      <c r="B489" s="27" t="s">
        <v>123</v>
      </c>
      <c r="C489" s="28">
        <v>395593</v>
      </c>
      <c r="D489" s="28" t="s">
        <v>1572</v>
      </c>
      <c r="E489" s="27" t="s">
        <v>32</v>
      </c>
      <c r="F489" s="6" t="s">
        <v>1095</v>
      </c>
      <c r="G489" s="28" t="s">
        <v>48</v>
      </c>
      <c r="H489" s="28" t="s">
        <v>129</v>
      </c>
      <c r="I489" s="116">
        <v>899</v>
      </c>
      <c r="J489" s="27"/>
      <c r="K489" s="40"/>
      <c r="L489" s="29" t="s">
        <v>126</v>
      </c>
      <c r="M489" s="29" t="s">
        <v>126</v>
      </c>
      <c r="N489" s="29" t="s">
        <v>126</v>
      </c>
    </row>
    <row r="490" spans="2:14" x14ac:dyDescent="0.25">
      <c r="B490" s="27" t="s">
        <v>123</v>
      </c>
      <c r="C490" s="28">
        <v>596615</v>
      </c>
      <c r="D490" s="28" t="s">
        <v>1573</v>
      </c>
      <c r="E490" s="27" t="s">
        <v>32</v>
      </c>
      <c r="F490" s="6" t="s">
        <v>1095</v>
      </c>
      <c r="G490" s="28" t="s">
        <v>48</v>
      </c>
      <c r="H490" s="28" t="s">
        <v>193</v>
      </c>
      <c r="I490" s="116">
        <v>129</v>
      </c>
      <c r="J490" s="27"/>
      <c r="K490" s="40"/>
      <c r="L490" s="29" t="s">
        <v>126</v>
      </c>
      <c r="M490" s="29" t="s">
        <v>126</v>
      </c>
      <c r="N490" s="29" t="s">
        <v>126</v>
      </c>
    </row>
    <row r="491" spans="2:14" x14ac:dyDescent="0.25">
      <c r="B491" s="27" t="s">
        <v>123</v>
      </c>
      <c r="C491" s="28">
        <v>583227</v>
      </c>
      <c r="D491" s="28" t="s">
        <v>1574</v>
      </c>
      <c r="E491" s="27" t="s">
        <v>32</v>
      </c>
      <c r="F491" s="6" t="s">
        <v>1095</v>
      </c>
      <c r="G491" s="28" t="s">
        <v>48</v>
      </c>
      <c r="H491" s="28" t="s">
        <v>193</v>
      </c>
      <c r="I491" s="116">
        <v>79</v>
      </c>
      <c r="J491" s="27"/>
      <c r="K491" s="40"/>
      <c r="L491" s="29" t="s">
        <v>126</v>
      </c>
      <c r="M491" s="29" t="s">
        <v>126</v>
      </c>
      <c r="N491" s="29" t="s">
        <v>126</v>
      </c>
    </row>
    <row r="492" spans="2:14" x14ac:dyDescent="0.25">
      <c r="B492" s="27" t="s">
        <v>123</v>
      </c>
      <c r="C492" s="28">
        <v>596852</v>
      </c>
      <c r="D492" s="28" t="s">
        <v>1575</v>
      </c>
      <c r="E492" s="27" t="s">
        <v>32</v>
      </c>
      <c r="F492" s="6" t="s">
        <v>1095</v>
      </c>
      <c r="G492" s="28" t="s">
        <v>48</v>
      </c>
      <c r="H492" s="28" t="s">
        <v>129</v>
      </c>
      <c r="I492" s="116">
        <v>10990</v>
      </c>
      <c r="J492" s="27"/>
      <c r="K492" s="40"/>
      <c r="L492" s="29" t="s">
        <v>126</v>
      </c>
      <c r="M492" s="29" t="s">
        <v>126</v>
      </c>
      <c r="N492" s="29" t="s">
        <v>126</v>
      </c>
    </row>
    <row r="493" spans="2:14" x14ac:dyDescent="0.25">
      <c r="B493" s="27" t="s">
        <v>123</v>
      </c>
      <c r="C493" s="28">
        <v>596857</v>
      </c>
      <c r="D493" s="28" t="s">
        <v>1576</v>
      </c>
      <c r="E493" s="27" t="s">
        <v>32</v>
      </c>
      <c r="F493" s="6" t="s">
        <v>1095</v>
      </c>
      <c r="G493" s="28" t="s">
        <v>48</v>
      </c>
      <c r="H493" s="28" t="s">
        <v>129</v>
      </c>
      <c r="I493" s="116">
        <v>28990</v>
      </c>
      <c r="J493" s="27"/>
      <c r="K493" s="40"/>
      <c r="L493" s="29" t="s">
        <v>126</v>
      </c>
      <c r="M493" s="29" t="s">
        <v>126</v>
      </c>
      <c r="N493" s="29" t="s">
        <v>126</v>
      </c>
    </row>
    <row r="494" spans="2:14" x14ac:dyDescent="0.25">
      <c r="B494" s="27" t="s">
        <v>123</v>
      </c>
      <c r="C494" s="28">
        <v>596854</v>
      </c>
      <c r="D494" s="28" t="s">
        <v>1577</v>
      </c>
      <c r="E494" s="27" t="s">
        <v>32</v>
      </c>
      <c r="F494" s="6" t="s">
        <v>1095</v>
      </c>
      <c r="G494" s="28" t="s">
        <v>48</v>
      </c>
      <c r="H494" s="28" t="s">
        <v>129</v>
      </c>
      <c r="I494" s="116">
        <v>12990</v>
      </c>
      <c r="J494" s="27"/>
      <c r="K494" s="40"/>
      <c r="L494" s="29" t="s">
        <v>126</v>
      </c>
      <c r="M494" s="29" t="s">
        <v>126</v>
      </c>
      <c r="N494" s="29" t="s">
        <v>126</v>
      </c>
    </row>
    <row r="495" spans="2:14" x14ac:dyDescent="0.25">
      <c r="B495" s="27" t="s">
        <v>123</v>
      </c>
      <c r="C495" s="28">
        <v>596853</v>
      </c>
      <c r="D495" s="28" t="s">
        <v>1578</v>
      </c>
      <c r="E495" s="27" t="s">
        <v>32</v>
      </c>
      <c r="F495" s="6" t="s">
        <v>1095</v>
      </c>
      <c r="G495" s="28" t="s">
        <v>48</v>
      </c>
      <c r="H495" s="28" t="s">
        <v>129</v>
      </c>
      <c r="I495" s="116">
        <v>11490</v>
      </c>
      <c r="J495" s="27"/>
      <c r="K495" s="40"/>
      <c r="L495" s="29" t="s">
        <v>126</v>
      </c>
      <c r="M495" s="29" t="s">
        <v>126</v>
      </c>
      <c r="N495" s="29" t="s">
        <v>126</v>
      </c>
    </row>
    <row r="496" spans="2:14" x14ac:dyDescent="0.25">
      <c r="B496" s="27" t="s">
        <v>123</v>
      </c>
      <c r="C496" s="28">
        <v>596856</v>
      </c>
      <c r="D496" s="28" t="s">
        <v>1579</v>
      </c>
      <c r="E496" s="27" t="s">
        <v>32</v>
      </c>
      <c r="F496" s="6" t="s">
        <v>1095</v>
      </c>
      <c r="G496" s="28" t="s">
        <v>48</v>
      </c>
      <c r="H496" s="28" t="s">
        <v>129</v>
      </c>
      <c r="I496" s="116">
        <v>18990</v>
      </c>
      <c r="J496" s="27"/>
      <c r="K496" s="40"/>
      <c r="L496" s="29" t="s">
        <v>126</v>
      </c>
      <c r="M496" s="29" t="s">
        <v>126</v>
      </c>
      <c r="N496" s="29" t="s">
        <v>126</v>
      </c>
    </row>
    <row r="497" spans="2:14" x14ac:dyDescent="0.25">
      <c r="B497" s="27" t="s">
        <v>123</v>
      </c>
      <c r="C497" s="28">
        <v>492942</v>
      </c>
      <c r="D497" s="28" t="s">
        <v>1580</v>
      </c>
      <c r="E497" s="27" t="s">
        <v>32</v>
      </c>
      <c r="F497" s="6" t="s">
        <v>1095</v>
      </c>
      <c r="G497" s="28" t="s">
        <v>48</v>
      </c>
      <c r="H497" s="28" t="s">
        <v>129</v>
      </c>
      <c r="I497" s="116">
        <v>1590</v>
      </c>
      <c r="J497" s="27"/>
      <c r="K497" s="40"/>
      <c r="L497" s="29" t="s">
        <v>126</v>
      </c>
      <c r="M497" s="29" t="s">
        <v>126</v>
      </c>
      <c r="N497" s="29" t="s">
        <v>126</v>
      </c>
    </row>
    <row r="498" spans="2:14" x14ac:dyDescent="0.25">
      <c r="B498" s="27" t="s">
        <v>123</v>
      </c>
      <c r="C498" s="28">
        <v>596075</v>
      </c>
      <c r="D498" s="28" t="s">
        <v>1581</v>
      </c>
      <c r="E498" s="27" t="s">
        <v>32</v>
      </c>
      <c r="F498" s="6" t="s">
        <v>1095</v>
      </c>
      <c r="G498" s="28" t="s">
        <v>48</v>
      </c>
      <c r="H498" s="28" t="s">
        <v>129</v>
      </c>
      <c r="I498" s="116">
        <v>1790</v>
      </c>
      <c r="J498" s="27"/>
      <c r="K498" s="40"/>
      <c r="L498" s="29" t="s">
        <v>126</v>
      </c>
      <c r="M498" s="29" t="s">
        <v>126</v>
      </c>
      <c r="N498" s="29" t="s">
        <v>126</v>
      </c>
    </row>
    <row r="499" spans="2:14" x14ac:dyDescent="0.25">
      <c r="B499" s="27" t="s">
        <v>123</v>
      </c>
      <c r="C499" s="28">
        <v>492933</v>
      </c>
      <c r="D499" s="28" t="s">
        <v>183</v>
      </c>
      <c r="E499" s="27" t="s">
        <v>32</v>
      </c>
      <c r="F499" s="6" t="s">
        <v>1095</v>
      </c>
      <c r="G499" s="28" t="s">
        <v>48</v>
      </c>
      <c r="H499" s="28" t="s">
        <v>129</v>
      </c>
      <c r="I499" s="116">
        <v>990</v>
      </c>
      <c r="J499" s="27"/>
      <c r="K499" s="40"/>
      <c r="L499" s="29" t="s">
        <v>126</v>
      </c>
      <c r="M499" s="29" t="s">
        <v>126</v>
      </c>
      <c r="N499" s="29" t="s">
        <v>126</v>
      </c>
    </row>
    <row r="500" spans="2:14" x14ac:dyDescent="0.25">
      <c r="B500" s="27" t="s">
        <v>123</v>
      </c>
      <c r="C500" s="28">
        <v>554000</v>
      </c>
      <c r="D500" s="28" t="s">
        <v>1582</v>
      </c>
      <c r="E500" s="27" t="s">
        <v>32</v>
      </c>
      <c r="F500" s="6" t="s">
        <v>1095</v>
      </c>
      <c r="G500" s="28" t="s">
        <v>48</v>
      </c>
      <c r="H500" s="28" t="s">
        <v>129</v>
      </c>
      <c r="I500" s="116">
        <v>1790</v>
      </c>
      <c r="J500" s="27"/>
      <c r="K500" s="40"/>
      <c r="L500" s="29" t="s">
        <v>126</v>
      </c>
      <c r="M500" s="29" t="s">
        <v>126</v>
      </c>
      <c r="N500" s="29" t="s">
        <v>126</v>
      </c>
    </row>
    <row r="501" spans="2:14" x14ac:dyDescent="0.25">
      <c r="B501" s="27" t="s">
        <v>123</v>
      </c>
      <c r="C501" s="28">
        <v>596077</v>
      </c>
      <c r="D501" s="28" t="s">
        <v>1583</v>
      </c>
      <c r="E501" s="27" t="s">
        <v>32</v>
      </c>
      <c r="F501" s="6" t="s">
        <v>1095</v>
      </c>
      <c r="G501" s="28" t="s">
        <v>48</v>
      </c>
      <c r="H501" s="28" t="s">
        <v>129</v>
      </c>
      <c r="I501" s="116">
        <v>1690</v>
      </c>
      <c r="J501" s="27"/>
      <c r="K501" s="40"/>
      <c r="L501" s="29" t="s">
        <v>126</v>
      </c>
      <c r="M501" s="29" t="s">
        <v>126</v>
      </c>
      <c r="N501" s="29" t="s">
        <v>126</v>
      </c>
    </row>
    <row r="502" spans="2:14" x14ac:dyDescent="0.25">
      <c r="B502" s="27" t="s">
        <v>123</v>
      </c>
      <c r="C502" s="28">
        <v>596076</v>
      </c>
      <c r="D502" s="28" t="s">
        <v>1584</v>
      </c>
      <c r="E502" s="27" t="s">
        <v>32</v>
      </c>
      <c r="F502" s="6" t="s">
        <v>1095</v>
      </c>
      <c r="G502" s="28" t="s">
        <v>48</v>
      </c>
      <c r="H502" s="28" t="s">
        <v>129</v>
      </c>
      <c r="I502" s="116">
        <v>1290</v>
      </c>
      <c r="J502" s="27"/>
      <c r="K502" s="40"/>
      <c r="L502" s="29" t="s">
        <v>126</v>
      </c>
      <c r="M502" s="29" t="s">
        <v>126</v>
      </c>
      <c r="N502" s="29" t="s">
        <v>126</v>
      </c>
    </row>
    <row r="503" spans="2:14" x14ac:dyDescent="0.25">
      <c r="B503" s="27" t="s">
        <v>123</v>
      </c>
      <c r="C503" s="28">
        <v>578896</v>
      </c>
      <c r="D503" s="28" t="s">
        <v>1585</v>
      </c>
      <c r="E503" s="27" t="s">
        <v>32</v>
      </c>
      <c r="F503" s="6" t="s">
        <v>1095</v>
      </c>
      <c r="G503" s="28" t="s">
        <v>48</v>
      </c>
      <c r="H503" s="28" t="s">
        <v>129</v>
      </c>
      <c r="I503" s="116">
        <v>1390</v>
      </c>
      <c r="J503" s="27"/>
      <c r="K503" s="40"/>
      <c r="L503" s="29" t="s">
        <v>126</v>
      </c>
      <c r="M503" s="29" t="s">
        <v>126</v>
      </c>
      <c r="N503" s="29" t="s">
        <v>126</v>
      </c>
    </row>
    <row r="504" spans="2:14" x14ac:dyDescent="0.25">
      <c r="B504" s="27" t="s">
        <v>123</v>
      </c>
      <c r="C504" s="28">
        <v>578878</v>
      </c>
      <c r="D504" s="28" t="s">
        <v>1586</v>
      </c>
      <c r="E504" s="27" t="s">
        <v>32</v>
      </c>
      <c r="F504" s="6" t="s">
        <v>1095</v>
      </c>
      <c r="G504" s="28" t="s">
        <v>48</v>
      </c>
      <c r="H504" s="28" t="s">
        <v>129</v>
      </c>
      <c r="I504" s="116">
        <v>1290</v>
      </c>
      <c r="J504" s="27"/>
      <c r="K504" s="40"/>
      <c r="L504" s="29" t="s">
        <v>126</v>
      </c>
      <c r="M504" s="29" t="s">
        <v>126</v>
      </c>
      <c r="N504" s="29" t="s">
        <v>126</v>
      </c>
    </row>
    <row r="505" spans="2:14" x14ac:dyDescent="0.25">
      <c r="B505" s="27" t="s">
        <v>123</v>
      </c>
      <c r="C505" s="28">
        <v>603933</v>
      </c>
      <c r="D505" s="28" t="s">
        <v>1587</v>
      </c>
      <c r="E505" s="27" t="s">
        <v>32</v>
      </c>
      <c r="F505" s="6" t="s">
        <v>1095</v>
      </c>
      <c r="G505" s="28" t="s">
        <v>48</v>
      </c>
      <c r="H505" s="28" t="s">
        <v>193</v>
      </c>
      <c r="I505" s="116">
        <v>169</v>
      </c>
      <c r="J505" s="27"/>
      <c r="K505" s="40"/>
      <c r="L505" s="29" t="s">
        <v>126</v>
      </c>
      <c r="M505" s="29" t="s">
        <v>126</v>
      </c>
      <c r="N505" s="29" t="s">
        <v>126</v>
      </c>
    </row>
    <row r="506" spans="2:14" x14ac:dyDescent="0.25">
      <c r="B506" s="27" t="s">
        <v>123</v>
      </c>
      <c r="C506" s="28">
        <v>601839</v>
      </c>
      <c r="D506" s="28" t="s">
        <v>1588</v>
      </c>
      <c r="E506" s="27" t="s">
        <v>32</v>
      </c>
      <c r="F506" s="6" t="s">
        <v>1095</v>
      </c>
      <c r="G506" s="28" t="s">
        <v>48</v>
      </c>
      <c r="H506" s="28" t="s">
        <v>193</v>
      </c>
      <c r="I506" s="116">
        <v>329</v>
      </c>
      <c r="J506" s="27"/>
      <c r="K506" s="40"/>
      <c r="L506" s="29" t="s">
        <v>126</v>
      </c>
      <c r="M506" s="29" t="s">
        <v>126</v>
      </c>
      <c r="N506" s="29" t="s">
        <v>126</v>
      </c>
    </row>
    <row r="507" spans="2:14" x14ac:dyDescent="0.25">
      <c r="B507" s="27" t="s">
        <v>123</v>
      </c>
      <c r="C507" s="28">
        <v>600996</v>
      </c>
      <c r="D507" s="28" t="s">
        <v>1589</v>
      </c>
      <c r="E507" s="27" t="s">
        <v>32</v>
      </c>
      <c r="F507" s="6" t="s">
        <v>1095</v>
      </c>
      <c r="G507" s="28" t="s">
        <v>48</v>
      </c>
      <c r="H507" s="28" t="s">
        <v>193</v>
      </c>
      <c r="I507" s="116">
        <v>619</v>
      </c>
      <c r="J507" s="27"/>
      <c r="K507" s="40"/>
      <c r="L507" s="29" t="s">
        <v>126</v>
      </c>
      <c r="M507" s="29" t="s">
        <v>126</v>
      </c>
      <c r="N507" s="29" t="s">
        <v>126</v>
      </c>
    </row>
    <row r="508" spans="2:14" x14ac:dyDescent="0.25">
      <c r="B508" s="27" t="s">
        <v>123</v>
      </c>
      <c r="C508" s="28">
        <v>596855</v>
      </c>
      <c r="D508" s="28" t="s">
        <v>1590</v>
      </c>
      <c r="E508" s="27" t="s">
        <v>32</v>
      </c>
      <c r="F508" s="6" t="s">
        <v>1095</v>
      </c>
      <c r="G508" s="28" t="s">
        <v>48</v>
      </c>
      <c r="H508" s="28" t="s">
        <v>129</v>
      </c>
      <c r="I508" s="116">
        <v>13190</v>
      </c>
      <c r="J508" s="27"/>
      <c r="K508" s="40"/>
      <c r="L508" s="29" t="s">
        <v>126</v>
      </c>
      <c r="M508" s="29" t="s">
        <v>126</v>
      </c>
      <c r="N508" s="29" t="s">
        <v>126</v>
      </c>
    </row>
    <row r="509" spans="2:14" x14ac:dyDescent="0.25">
      <c r="B509" s="27" t="s">
        <v>123</v>
      </c>
      <c r="C509" s="28">
        <v>581021</v>
      </c>
      <c r="D509" s="28" t="s">
        <v>1591</v>
      </c>
      <c r="E509" s="27" t="s">
        <v>32</v>
      </c>
      <c r="F509" s="6" t="s">
        <v>1095</v>
      </c>
      <c r="G509" s="28" t="s">
        <v>48</v>
      </c>
      <c r="H509" s="28" t="s">
        <v>129</v>
      </c>
      <c r="I509" s="116">
        <v>1190</v>
      </c>
      <c r="J509" s="27"/>
      <c r="K509" s="40"/>
      <c r="L509" s="29" t="s">
        <v>126</v>
      </c>
      <c r="M509" s="29" t="s">
        <v>126</v>
      </c>
      <c r="N509" s="29" t="s">
        <v>126</v>
      </c>
    </row>
    <row r="510" spans="2:14" x14ac:dyDescent="0.25">
      <c r="B510" s="27" t="s">
        <v>123</v>
      </c>
      <c r="C510" s="28">
        <v>495637</v>
      </c>
      <c r="D510" s="28" t="s">
        <v>1592</v>
      </c>
      <c r="E510" s="27" t="s">
        <v>32</v>
      </c>
      <c r="F510" s="6" t="s">
        <v>1095</v>
      </c>
      <c r="G510" s="28" t="s">
        <v>48</v>
      </c>
      <c r="H510" s="28" t="s">
        <v>129</v>
      </c>
      <c r="I510" s="116">
        <v>2490</v>
      </c>
      <c r="J510" s="27"/>
      <c r="K510" s="40"/>
      <c r="L510" s="29" t="s">
        <v>126</v>
      </c>
      <c r="M510" s="29" t="s">
        <v>126</v>
      </c>
      <c r="N510" s="29" t="s">
        <v>126</v>
      </c>
    </row>
    <row r="511" spans="2:14" x14ac:dyDescent="0.25">
      <c r="B511" s="27" t="s">
        <v>123</v>
      </c>
      <c r="C511" s="28">
        <v>495639</v>
      </c>
      <c r="D511" s="28" t="s">
        <v>1593</v>
      </c>
      <c r="E511" s="27" t="s">
        <v>32</v>
      </c>
      <c r="F511" s="6" t="s">
        <v>1095</v>
      </c>
      <c r="G511" s="28" t="s">
        <v>48</v>
      </c>
      <c r="H511" s="28" t="s">
        <v>129</v>
      </c>
      <c r="I511" s="116">
        <v>2290</v>
      </c>
      <c r="J511" s="27"/>
      <c r="K511" s="40"/>
      <c r="L511" s="29" t="s">
        <v>126</v>
      </c>
      <c r="M511" s="29" t="s">
        <v>126</v>
      </c>
      <c r="N511" s="29" t="s">
        <v>126</v>
      </c>
    </row>
    <row r="512" spans="2:14" x14ac:dyDescent="0.25">
      <c r="B512" s="27" t="s">
        <v>123</v>
      </c>
      <c r="C512" s="28">
        <v>550880</v>
      </c>
      <c r="D512" s="28" t="s">
        <v>1594</v>
      </c>
      <c r="E512" s="27" t="s">
        <v>32</v>
      </c>
      <c r="F512" s="6" t="s">
        <v>1095</v>
      </c>
      <c r="G512" s="28" t="s">
        <v>48</v>
      </c>
      <c r="H512" s="28" t="s">
        <v>129</v>
      </c>
      <c r="I512" s="116">
        <v>2490</v>
      </c>
      <c r="J512" s="27"/>
      <c r="K512" s="40"/>
      <c r="L512" s="29" t="s">
        <v>126</v>
      </c>
      <c r="M512" s="29" t="s">
        <v>126</v>
      </c>
      <c r="N512" s="29" t="s">
        <v>126</v>
      </c>
    </row>
    <row r="513" spans="2:14" x14ac:dyDescent="0.25">
      <c r="B513" s="27" t="s">
        <v>123</v>
      </c>
      <c r="C513" s="28">
        <v>550883</v>
      </c>
      <c r="D513" s="28" t="s">
        <v>1595</v>
      </c>
      <c r="E513" s="27" t="s">
        <v>32</v>
      </c>
      <c r="F513" s="6" t="s">
        <v>1095</v>
      </c>
      <c r="G513" s="28" t="s">
        <v>48</v>
      </c>
      <c r="H513" s="28" t="s">
        <v>129</v>
      </c>
      <c r="I513" s="116">
        <v>1349</v>
      </c>
      <c r="J513" s="27"/>
      <c r="K513" s="40"/>
      <c r="L513" s="29" t="s">
        <v>126</v>
      </c>
      <c r="M513" s="29" t="s">
        <v>126</v>
      </c>
      <c r="N513" s="29" t="s">
        <v>126</v>
      </c>
    </row>
    <row r="514" spans="2:14" x14ac:dyDescent="0.25">
      <c r="B514" s="27" t="s">
        <v>123</v>
      </c>
      <c r="C514" s="28">
        <v>581022</v>
      </c>
      <c r="D514" s="28" t="s">
        <v>1596</v>
      </c>
      <c r="E514" s="27" t="s">
        <v>32</v>
      </c>
      <c r="F514" s="6" t="s">
        <v>1095</v>
      </c>
      <c r="G514" s="28" t="s">
        <v>48</v>
      </c>
      <c r="H514" s="28" t="s">
        <v>129</v>
      </c>
      <c r="I514" s="116">
        <v>1890</v>
      </c>
      <c r="J514" s="27"/>
      <c r="K514" s="40"/>
      <c r="L514" s="29" t="s">
        <v>126</v>
      </c>
      <c r="M514" s="29" t="s">
        <v>126</v>
      </c>
      <c r="N514" s="29" t="s">
        <v>126</v>
      </c>
    </row>
    <row r="515" spans="2:14" x14ac:dyDescent="0.25">
      <c r="B515" s="27" t="s">
        <v>123</v>
      </c>
      <c r="C515" s="28">
        <v>596633</v>
      </c>
      <c r="D515" s="28" t="s">
        <v>1597</v>
      </c>
      <c r="E515" s="27" t="s">
        <v>32</v>
      </c>
      <c r="F515" s="6" t="s">
        <v>1095</v>
      </c>
      <c r="G515" s="28" t="s">
        <v>48</v>
      </c>
      <c r="H515" s="28" t="s">
        <v>129</v>
      </c>
      <c r="I515" s="116">
        <v>499</v>
      </c>
      <c r="J515" s="27"/>
      <c r="K515" s="40"/>
      <c r="L515" s="29" t="s">
        <v>126</v>
      </c>
      <c r="M515" s="29" t="s">
        <v>126</v>
      </c>
      <c r="N515" s="29" t="s">
        <v>126</v>
      </c>
    </row>
    <row r="516" spans="2:14" x14ac:dyDescent="0.25">
      <c r="B516" s="27" t="s">
        <v>123</v>
      </c>
      <c r="C516" s="28">
        <v>596634</v>
      </c>
      <c r="D516" s="28" t="s">
        <v>1598</v>
      </c>
      <c r="E516" s="27" t="s">
        <v>32</v>
      </c>
      <c r="F516" s="6" t="s">
        <v>1095</v>
      </c>
      <c r="G516" s="28" t="s">
        <v>48</v>
      </c>
      <c r="H516" s="28" t="s">
        <v>129</v>
      </c>
      <c r="I516" s="116">
        <v>599</v>
      </c>
      <c r="J516" s="27"/>
      <c r="K516" s="40"/>
      <c r="L516" s="29" t="s">
        <v>126</v>
      </c>
      <c r="M516" s="29" t="s">
        <v>126</v>
      </c>
      <c r="N516" s="29" t="s">
        <v>126</v>
      </c>
    </row>
    <row r="517" spans="2:14" x14ac:dyDescent="0.25">
      <c r="B517" s="27" t="s">
        <v>123</v>
      </c>
      <c r="C517" s="28">
        <v>598599</v>
      </c>
      <c r="D517" s="28" t="s">
        <v>1599</v>
      </c>
      <c r="E517" s="27" t="s">
        <v>32</v>
      </c>
      <c r="F517" s="6" t="s">
        <v>1095</v>
      </c>
      <c r="G517" s="28" t="s">
        <v>48</v>
      </c>
      <c r="H517" s="28" t="s">
        <v>129</v>
      </c>
      <c r="I517" s="116">
        <v>4990</v>
      </c>
      <c r="J517" s="27"/>
      <c r="K517" s="40"/>
      <c r="L517" s="29" t="s">
        <v>126</v>
      </c>
      <c r="M517" s="29" t="s">
        <v>126</v>
      </c>
      <c r="N517" s="29" t="s">
        <v>126</v>
      </c>
    </row>
    <row r="518" spans="2:14" x14ac:dyDescent="0.25">
      <c r="B518" s="27" t="s">
        <v>123</v>
      </c>
      <c r="C518" s="28">
        <v>495640</v>
      </c>
      <c r="D518" s="28" t="s">
        <v>1600</v>
      </c>
      <c r="E518" s="27" t="s">
        <v>32</v>
      </c>
      <c r="F518" s="6" t="s">
        <v>1095</v>
      </c>
      <c r="G518" s="28" t="s">
        <v>48</v>
      </c>
      <c r="H518" s="28" t="s">
        <v>129</v>
      </c>
      <c r="I518" s="116">
        <v>990</v>
      </c>
      <c r="J518" s="27"/>
      <c r="K518" s="40"/>
      <c r="L518" s="29" t="s">
        <v>126</v>
      </c>
      <c r="M518" s="29" t="s">
        <v>126</v>
      </c>
      <c r="N518" s="29" t="s">
        <v>126</v>
      </c>
    </row>
    <row r="519" spans="2:14" x14ac:dyDescent="0.25">
      <c r="B519" s="27" t="s">
        <v>123</v>
      </c>
      <c r="C519" s="28">
        <v>133491</v>
      </c>
      <c r="D519" s="28" t="s">
        <v>1601</v>
      </c>
      <c r="E519" s="27" t="s">
        <v>32</v>
      </c>
      <c r="F519" s="6" t="s">
        <v>1095</v>
      </c>
      <c r="G519" s="28" t="s">
        <v>48</v>
      </c>
      <c r="H519" s="28" t="s">
        <v>129</v>
      </c>
      <c r="I519" s="116">
        <v>399</v>
      </c>
      <c r="J519" s="27"/>
      <c r="K519" s="40"/>
      <c r="L519" s="29" t="s">
        <v>126</v>
      </c>
      <c r="M519" s="29" t="s">
        <v>126</v>
      </c>
      <c r="N519" s="29" t="s">
        <v>126</v>
      </c>
    </row>
    <row r="520" spans="2:14" x14ac:dyDescent="0.25">
      <c r="B520" s="27" t="s">
        <v>123</v>
      </c>
      <c r="C520" s="28">
        <v>133503</v>
      </c>
      <c r="D520" s="28" t="s">
        <v>1602</v>
      </c>
      <c r="E520" s="27" t="s">
        <v>32</v>
      </c>
      <c r="F520" s="6" t="s">
        <v>1095</v>
      </c>
      <c r="G520" s="28" t="s">
        <v>48</v>
      </c>
      <c r="H520" s="28" t="s">
        <v>129</v>
      </c>
      <c r="I520" s="116">
        <v>399</v>
      </c>
      <c r="J520" s="27"/>
      <c r="K520" s="40"/>
      <c r="L520" s="29" t="s">
        <v>126</v>
      </c>
      <c r="M520" s="29" t="s">
        <v>126</v>
      </c>
      <c r="N520" s="29" t="s">
        <v>126</v>
      </c>
    </row>
    <row r="521" spans="2:14" x14ac:dyDescent="0.25">
      <c r="B521" s="27" t="s">
        <v>123</v>
      </c>
      <c r="C521" s="28">
        <v>210140</v>
      </c>
      <c r="D521" s="28" t="s">
        <v>1603</v>
      </c>
      <c r="E521" s="27" t="s">
        <v>32</v>
      </c>
      <c r="F521" s="6" t="s">
        <v>1095</v>
      </c>
      <c r="G521" s="28" t="s">
        <v>48</v>
      </c>
      <c r="H521" s="28" t="s">
        <v>129</v>
      </c>
      <c r="I521" s="116">
        <v>399</v>
      </c>
      <c r="J521" s="27"/>
      <c r="K521" s="40"/>
      <c r="L521" s="29" t="s">
        <v>126</v>
      </c>
      <c r="M521" s="29" t="s">
        <v>126</v>
      </c>
      <c r="N521" s="29" t="s">
        <v>126</v>
      </c>
    </row>
    <row r="522" spans="2:14" x14ac:dyDescent="0.25">
      <c r="B522" s="27" t="s">
        <v>123</v>
      </c>
      <c r="C522" s="28">
        <v>341526</v>
      </c>
      <c r="D522" s="28" t="s">
        <v>1604</v>
      </c>
      <c r="E522" s="27" t="s">
        <v>32</v>
      </c>
      <c r="F522" s="6" t="s">
        <v>1095</v>
      </c>
      <c r="G522" s="28" t="s">
        <v>48</v>
      </c>
      <c r="H522" s="28" t="s">
        <v>129</v>
      </c>
      <c r="I522" s="116">
        <v>399</v>
      </c>
      <c r="J522" s="27"/>
      <c r="K522" s="40"/>
      <c r="L522" s="29" t="s">
        <v>126</v>
      </c>
      <c r="M522" s="29" t="s">
        <v>126</v>
      </c>
      <c r="N522" s="29" t="s">
        <v>126</v>
      </c>
    </row>
    <row r="523" spans="2:14" x14ac:dyDescent="0.25">
      <c r="B523" s="27" t="s">
        <v>123</v>
      </c>
      <c r="C523" s="28">
        <v>502970</v>
      </c>
      <c r="D523" s="28" t="s">
        <v>1605</v>
      </c>
      <c r="E523" s="27" t="s">
        <v>32</v>
      </c>
      <c r="F523" s="6" t="s">
        <v>1095</v>
      </c>
      <c r="G523" s="28" t="s">
        <v>48</v>
      </c>
      <c r="H523" s="28" t="s">
        <v>129</v>
      </c>
      <c r="I523" s="116">
        <v>399</v>
      </c>
      <c r="J523" s="27"/>
      <c r="K523" s="40"/>
      <c r="L523" s="29" t="s">
        <v>126</v>
      </c>
      <c r="M523" s="29" t="s">
        <v>126</v>
      </c>
      <c r="N523" s="29" t="s">
        <v>126</v>
      </c>
    </row>
    <row r="524" spans="2:14" x14ac:dyDescent="0.25">
      <c r="B524" s="27" t="s">
        <v>123</v>
      </c>
      <c r="C524" s="28">
        <v>535194</v>
      </c>
      <c r="D524" s="28" t="s">
        <v>1606</v>
      </c>
      <c r="E524" s="27" t="s">
        <v>32</v>
      </c>
      <c r="F524" s="6" t="s">
        <v>1095</v>
      </c>
      <c r="G524" s="28" t="s">
        <v>48</v>
      </c>
      <c r="H524" s="28" t="s">
        <v>129</v>
      </c>
      <c r="I524" s="116">
        <v>399</v>
      </c>
      <c r="J524" s="27"/>
      <c r="K524" s="40"/>
      <c r="L524" s="29" t="s">
        <v>126</v>
      </c>
      <c r="M524" s="29" t="s">
        <v>126</v>
      </c>
      <c r="N524" s="29" t="s">
        <v>126</v>
      </c>
    </row>
    <row r="525" spans="2:14" x14ac:dyDescent="0.25">
      <c r="B525" s="27" t="s">
        <v>123</v>
      </c>
      <c r="C525" s="28">
        <v>563933</v>
      </c>
      <c r="D525" s="28" t="s">
        <v>1607</v>
      </c>
      <c r="E525" s="27" t="s">
        <v>32</v>
      </c>
      <c r="F525" s="6" t="s">
        <v>1095</v>
      </c>
      <c r="G525" s="28" t="s">
        <v>48</v>
      </c>
      <c r="H525" s="28" t="s">
        <v>129</v>
      </c>
      <c r="I525" s="116">
        <v>399</v>
      </c>
      <c r="J525" s="27"/>
      <c r="K525" s="40"/>
      <c r="L525" s="29" t="s">
        <v>126</v>
      </c>
      <c r="M525" s="29" t="s">
        <v>126</v>
      </c>
      <c r="N525" s="29" t="s">
        <v>126</v>
      </c>
    </row>
    <row r="526" spans="2:14" x14ac:dyDescent="0.25">
      <c r="B526" s="27" t="s">
        <v>123</v>
      </c>
      <c r="C526" s="28">
        <v>582688</v>
      </c>
      <c r="D526" s="28" t="s">
        <v>1608</v>
      </c>
      <c r="E526" s="27" t="s">
        <v>32</v>
      </c>
      <c r="F526" s="6" t="s">
        <v>1095</v>
      </c>
      <c r="G526" s="28" t="s">
        <v>48</v>
      </c>
      <c r="H526" s="28" t="s">
        <v>129</v>
      </c>
      <c r="I526" s="116">
        <v>399</v>
      </c>
      <c r="J526" s="27"/>
      <c r="K526" s="40"/>
      <c r="L526" s="29" t="s">
        <v>126</v>
      </c>
      <c r="M526" s="29" t="s">
        <v>126</v>
      </c>
      <c r="N526" s="29" t="s">
        <v>126</v>
      </c>
    </row>
    <row r="527" spans="2:14" x14ac:dyDescent="0.25">
      <c r="B527" s="27" t="s">
        <v>123</v>
      </c>
      <c r="C527" s="28">
        <v>599705</v>
      </c>
      <c r="D527" s="28" t="s">
        <v>1609</v>
      </c>
      <c r="E527" s="27" t="s">
        <v>32</v>
      </c>
      <c r="F527" s="6" t="s">
        <v>1095</v>
      </c>
      <c r="G527" s="28" t="s">
        <v>48</v>
      </c>
      <c r="H527" s="28" t="s">
        <v>129</v>
      </c>
      <c r="I527" s="115">
        <v>399</v>
      </c>
      <c r="J527" s="27"/>
      <c r="K527" s="40"/>
      <c r="L527" s="29" t="s">
        <v>126</v>
      </c>
      <c r="M527" s="29" t="s">
        <v>126</v>
      </c>
      <c r="N527" s="29" t="s">
        <v>126</v>
      </c>
    </row>
    <row r="528" spans="2:14" x14ac:dyDescent="0.25">
      <c r="B528" s="27" t="s">
        <v>123</v>
      </c>
      <c r="C528" s="28">
        <v>535192</v>
      </c>
      <c r="D528" s="28" t="s">
        <v>1610</v>
      </c>
      <c r="E528" s="27" t="s">
        <v>32</v>
      </c>
      <c r="F528" s="6" t="s">
        <v>1095</v>
      </c>
      <c r="G528" s="28" t="s">
        <v>48</v>
      </c>
      <c r="H528" s="28" t="s">
        <v>129</v>
      </c>
      <c r="I528" s="115">
        <v>399</v>
      </c>
      <c r="J528" s="27"/>
      <c r="K528" s="40"/>
      <c r="L528" s="29" t="s">
        <v>126</v>
      </c>
      <c r="M528" s="29" t="s">
        <v>126</v>
      </c>
      <c r="N528" s="29" t="s">
        <v>126</v>
      </c>
    </row>
    <row r="529" spans="2:14" x14ac:dyDescent="0.25">
      <c r="B529" s="27" t="s">
        <v>123</v>
      </c>
      <c r="C529" s="28">
        <v>133488</v>
      </c>
      <c r="D529" s="28" t="s">
        <v>1611</v>
      </c>
      <c r="E529" s="27" t="s">
        <v>32</v>
      </c>
      <c r="F529" s="6" t="s">
        <v>1095</v>
      </c>
      <c r="G529" s="28" t="s">
        <v>48</v>
      </c>
      <c r="H529" s="28" t="s">
        <v>129</v>
      </c>
      <c r="I529" s="115">
        <v>399</v>
      </c>
      <c r="J529" s="27"/>
      <c r="K529" s="40"/>
      <c r="L529" s="29" t="s">
        <v>126</v>
      </c>
      <c r="M529" s="29" t="s">
        <v>126</v>
      </c>
      <c r="N529" s="29" t="s">
        <v>126</v>
      </c>
    </row>
    <row r="530" spans="2:14" x14ac:dyDescent="0.25">
      <c r="B530" s="27" t="s">
        <v>123</v>
      </c>
      <c r="C530" s="28">
        <v>133500</v>
      </c>
      <c r="D530" s="28" t="s">
        <v>1612</v>
      </c>
      <c r="E530" s="27" t="s">
        <v>32</v>
      </c>
      <c r="F530" s="6" t="s">
        <v>1095</v>
      </c>
      <c r="G530" s="28" t="s">
        <v>48</v>
      </c>
      <c r="H530" s="28" t="s">
        <v>129</v>
      </c>
      <c r="I530" s="115">
        <v>399</v>
      </c>
      <c r="J530" s="27"/>
      <c r="K530" s="40"/>
      <c r="L530" s="29" t="s">
        <v>126</v>
      </c>
      <c r="M530" s="29" t="s">
        <v>126</v>
      </c>
      <c r="N530" s="29" t="s">
        <v>126</v>
      </c>
    </row>
    <row r="531" spans="2:14" x14ac:dyDescent="0.25">
      <c r="B531" s="27" t="s">
        <v>123</v>
      </c>
      <c r="C531" s="28">
        <v>210137</v>
      </c>
      <c r="D531" s="28" t="s">
        <v>1613</v>
      </c>
      <c r="E531" s="27" t="s">
        <v>32</v>
      </c>
      <c r="F531" s="6" t="s">
        <v>1095</v>
      </c>
      <c r="G531" s="28" t="s">
        <v>48</v>
      </c>
      <c r="H531" s="28" t="s">
        <v>129</v>
      </c>
      <c r="I531" s="115">
        <v>399</v>
      </c>
      <c r="J531" s="27"/>
      <c r="K531" s="40"/>
      <c r="L531" s="29" t="s">
        <v>126</v>
      </c>
      <c r="M531" s="29" t="s">
        <v>126</v>
      </c>
      <c r="N531" s="29" t="s">
        <v>126</v>
      </c>
    </row>
    <row r="532" spans="2:14" x14ac:dyDescent="0.25">
      <c r="B532" s="27" t="s">
        <v>123</v>
      </c>
      <c r="C532" s="28">
        <v>341522</v>
      </c>
      <c r="D532" s="28" t="s">
        <v>1614</v>
      </c>
      <c r="E532" s="27" t="s">
        <v>32</v>
      </c>
      <c r="F532" s="6" t="s">
        <v>1095</v>
      </c>
      <c r="G532" s="28" t="s">
        <v>48</v>
      </c>
      <c r="H532" s="28" t="s">
        <v>129</v>
      </c>
      <c r="I532" s="115">
        <v>399</v>
      </c>
      <c r="J532" s="27"/>
      <c r="K532" s="40"/>
      <c r="L532" s="29" t="s">
        <v>126</v>
      </c>
      <c r="M532" s="29" t="s">
        <v>126</v>
      </c>
      <c r="N532" s="29" t="s">
        <v>126</v>
      </c>
    </row>
    <row r="533" spans="2:14" x14ac:dyDescent="0.25">
      <c r="B533" s="27" t="s">
        <v>123</v>
      </c>
      <c r="C533" s="28">
        <v>459802</v>
      </c>
      <c r="D533" s="28" t="s">
        <v>1615</v>
      </c>
      <c r="E533" s="27" t="s">
        <v>32</v>
      </c>
      <c r="F533" s="6" t="s">
        <v>1095</v>
      </c>
      <c r="G533" s="28" t="s">
        <v>48</v>
      </c>
      <c r="H533" s="28" t="s">
        <v>129</v>
      </c>
      <c r="I533" s="115">
        <v>399</v>
      </c>
      <c r="J533" s="27"/>
      <c r="K533" s="40"/>
      <c r="L533" s="29" t="s">
        <v>126</v>
      </c>
      <c r="M533" s="29" t="s">
        <v>126</v>
      </c>
      <c r="N533" s="29" t="s">
        <v>126</v>
      </c>
    </row>
    <row r="534" spans="2:14" x14ac:dyDescent="0.25">
      <c r="B534" s="27" t="s">
        <v>123</v>
      </c>
      <c r="C534" s="28">
        <v>502971</v>
      </c>
      <c r="D534" s="28" t="s">
        <v>1616</v>
      </c>
      <c r="E534" s="27" t="s">
        <v>32</v>
      </c>
      <c r="F534" s="6" t="s">
        <v>1095</v>
      </c>
      <c r="G534" s="28" t="s">
        <v>48</v>
      </c>
      <c r="H534" s="28" t="s">
        <v>129</v>
      </c>
      <c r="I534" s="115">
        <v>399</v>
      </c>
      <c r="J534" s="27"/>
      <c r="K534" s="40"/>
      <c r="L534" s="29" t="s">
        <v>126</v>
      </c>
      <c r="M534" s="29" t="s">
        <v>126</v>
      </c>
      <c r="N534" s="29" t="s">
        <v>126</v>
      </c>
    </row>
    <row r="535" spans="2:14" x14ac:dyDescent="0.25">
      <c r="B535" s="27" t="s">
        <v>123</v>
      </c>
      <c r="C535" s="28">
        <v>563931</v>
      </c>
      <c r="D535" s="28" t="s">
        <v>1617</v>
      </c>
      <c r="E535" s="27" t="s">
        <v>32</v>
      </c>
      <c r="F535" s="6" t="s">
        <v>1095</v>
      </c>
      <c r="G535" s="28" t="s">
        <v>48</v>
      </c>
      <c r="H535" s="28" t="s">
        <v>129</v>
      </c>
      <c r="I535" s="115">
        <v>399</v>
      </c>
      <c r="J535" s="27"/>
      <c r="K535" s="40"/>
      <c r="L535" s="29" t="s">
        <v>126</v>
      </c>
      <c r="M535" s="29" t="s">
        <v>126</v>
      </c>
      <c r="N535" s="29" t="s">
        <v>126</v>
      </c>
    </row>
    <row r="536" spans="2:14" x14ac:dyDescent="0.25">
      <c r="B536" s="27" t="s">
        <v>123</v>
      </c>
      <c r="C536" s="28">
        <v>582687</v>
      </c>
      <c r="D536" s="28" t="s">
        <v>1618</v>
      </c>
      <c r="E536" s="27" t="s">
        <v>32</v>
      </c>
      <c r="F536" s="6" t="s">
        <v>1095</v>
      </c>
      <c r="G536" s="28" t="s">
        <v>48</v>
      </c>
      <c r="H536" s="28" t="s">
        <v>129</v>
      </c>
      <c r="I536" s="115">
        <v>399</v>
      </c>
      <c r="J536" s="27"/>
      <c r="K536" s="40"/>
      <c r="L536" s="29" t="s">
        <v>126</v>
      </c>
      <c r="M536" s="29" t="s">
        <v>126</v>
      </c>
      <c r="N536" s="29" t="s">
        <v>126</v>
      </c>
    </row>
    <row r="537" spans="2:14" x14ac:dyDescent="0.25">
      <c r="B537" s="27" t="s">
        <v>123</v>
      </c>
      <c r="C537" s="28">
        <v>599704</v>
      </c>
      <c r="D537" s="28" t="s">
        <v>1619</v>
      </c>
      <c r="E537" s="27" t="s">
        <v>32</v>
      </c>
      <c r="F537" s="6" t="s">
        <v>1095</v>
      </c>
      <c r="G537" s="28" t="s">
        <v>48</v>
      </c>
      <c r="H537" s="28" t="s">
        <v>129</v>
      </c>
      <c r="I537" s="115">
        <v>399</v>
      </c>
      <c r="J537" s="27"/>
      <c r="K537" s="40"/>
      <c r="L537" s="29" t="s">
        <v>126</v>
      </c>
      <c r="M537" s="29" t="s">
        <v>126</v>
      </c>
      <c r="N537" s="29" t="s">
        <v>126</v>
      </c>
    </row>
    <row r="538" spans="2:14" x14ac:dyDescent="0.25">
      <c r="B538" s="27" t="s">
        <v>123</v>
      </c>
      <c r="C538" s="28">
        <v>67074</v>
      </c>
      <c r="D538" s="28" t="s">
        <v>1620</v>
      </c>
      <c r="E538" s="27" t="s">
        <v>32</v>
      </c>
      <c r="F538" s="6" t="s">
        <v>1095</v>
      </c>
      <c r="G538" s="28" t="s">
        <v>48</v>
      </c>
      <c r="H538" s="28" t="s">
        <v>129</v>
      </c>
      <c r="I538" s="115">
        <v>489</v>
      </c>
      <c r="J538" s="27"/>
      <c r="K538" s="40"/>
      <c r="L538" s="29" t="s">
        <v>126</v>
      </c>
      <c r="M538" s="29" t="s">
        <v>126</v>
      </c>
      <c r="N538" s="29" t="s">
        <v>126</v>
      </c>
    </row>
    <row r="539" spans="2:14" x14ac:dyDescent="0.25">
      <c r="B539" s="27" t="s">
        <v>123</v>
      </c>
      <c r="C539" s="28">
        <v>546435</v>
      </c>
      <c r="D539" s="28" t="s">
        <v>1621</v>
      </c>
      <c r="E539" s="27" t="s">
        <v>32</v>
      </c>
      <c r="F539" s="6" t="s">
        <v>1095</v>
      </c>
      <c r="G539" s="28" t="s">
        <v>48</v>
      </c>
      <c r="H539" s="28" t="s">
        <v>129</v>
      </c>
      <c r="I539" s="115">
        <v>489</v>
      </c>
      <c r="J539" s="27"/>
      <c r="K539" s="40"/>
      <c r="L539" s="29" t="s">
        <v>126</v>
      </c>
      <c r="M539" s="29" t="s">
        <v>126</v>
      </c>
      <c r="N539" s="29" t="s">
        <v>126</v>
      </c>
    </row>
    <row r="540" spans="2:14" x14ac:dyDescent="0.25">
      <c r="B540" s="27" t="s">
        <v>123</v>
      </c>
      <c r="C540" s="28">
        <v>557558</v>
      </c>
      <c r="D540" s="28" t="s">
        <v>1622</v>
      </c>
      <c r="E540" s="27" t="s">
        <v>32</v>
      </c>
      <c r="F540" s="6" t="s">
        <v>1095</v>
      </c>
      <c r="G540" s="28" t="s">
        <v>48</v>
      </c>
      <c r="H540" s="28" t="s">
        <v>129</v>
      </c>
      <c r="I540" s="115">
        <v>335</v>
      </c>
      <c r="J540" s="27"/>
      <c r="K540" s="40"/>
      <c r="L540" s="29" t="s">
        <v>126</v>
      </c>
      <c r="M540" s="29" t="s">
        <v>126</v>
      </c>
      <c r="N540" s="29" t="s">
        <v>126</v>
      </c>
    </row>
    <row r="541" spans="2:14" x14ac:dyDescent="0.25">
      <c r="B541" s="27" t="s">
        <v>123</v>
      </c>
      <c r="C541" s="28">
        <v>557559</v>
      </c>
      <c r="D541" s="28" t="s">
        <v>1623</v>
      </c>
      <c r="E541" s="27" t="s">
        <v>32</v>
      </c>
      <c r="F541" s="6" t="s">
        <v>1095</v>
      </c>
      <c r="G541" s="28" t="s">
        <v>48</v>
      </c>
      <c r="H541" s="28" t="s">
        <v>129</v>
      </c>
      <c r="I541" s="115">
        <v>335</v>
      </c>
      <c r="J541" s="27"/>
      <c r="K541" s="40"/>
      <c r="L541" s="29" t="s">
        <v>126</v>
      </c>
      <c r="M541" s="29" t="s">
        <v>126</v>
      </c>
      <c r="N541" s="29" t="s">
        <v>126</v>
      </c>
    </row>
    <row r="542" spans="2:14" x14ac:dyDescent="0.25">
      <c r="B542" s="27" t="s">
        <v>123</v>
      </c>
      <c r="C542" s="28">
        <v>598111</v>
      </c>
      <c r="D542" s="28" t="s">
        <v>1624</v>
      </c>
      <c r="E542" s="27" t="s">
        <v>32</v>
      </c>
      <c r="F542" s="6" t="s">
        <v>1095</v>
      </c>
      <c r="G542" s="28" t="s">
        <v>48</v>
      </c>
      <c r="H542" s="28" t="s">
        <v>129</v>
      </c>
      <c r="I542" s="115">
        <v>489</v>
      </c>
      <c r="J542" s="27"/>
      <c r="K542" s="40"/>
      <c r="L542" s="29" t="s">
        <v>126</v>
      </c>
      <c r="M542" s="29" t="s">
        <v>126</v>
      </c>
      <c r="N542" s="29" t="s">
        <v>126</v>
      </c>
    </row>
    <row r="543" spans="2:14" x14ac:dyDescent="0.25">
      <c r="B543" s="27" t="s">
        <v>123</v>
      </c>
      <c r="C543" s="28">
        <v>599819</v>
      </c>
      <c r="D543" s="28" t="s">
        <v>1625</v>
      </c>
      <c r="E543" s="27" t="s">
        <v>32</v>
      </c>
      <c r="F543" s="6" t="s">
        <v>1095</v>
      </c>
      <c r="G543" s="28" t="s">
        <v>48</v>
      </c>
      <c r="H543" s="28" t="s">
        <v>129</v>
      </c>
      <c r="I543" s="115">
        <v>299</v>
      </c>
      <c r="J543" s="27"/>
      <c r="K543" s="40"/>
      <c r="L543" s="29" t="s">
        <v>126</v>
      </c>
      <c r="M543" s="29" t="s">
        <v>126</v>
      </c>
      <c r="N543" s="29" t="s">
        <v>126</v>
      </c>
    </row>
    <row r="544" spans="2:14" x14ac:dyDescent="0.25">
      <c r="B544" s="27" t="s">
        <v>123</v>
      </c>
      <c r="C544" s="28">
        <v>599820</v>
      </c>
      <c r="D544" s="28" t="s">
        <v>1626</v>
      </c>
      <c r="E544" s="27" t="s">
        <v>32</v>
      </c>
      <c r="F544" s="6" t="s">
        <v>1095</v>
      </c>
      <c r="G544" s="28" t="s">
        <v>48</v>
      </c>
      <c r="H544" s="28" t="s">
        <v>129</v>
      </c>
      <c r="I544" s="115">
        <v>299</v>
      </c>
      <c r="J544" s="27"/>
      <c r="K544" s="40"/>
      <c r="L544" s="29" t="s">
        <v>126</v>
      </c>
      <c r="M544" s="29" t="s">
        <v>126</v>
      </c>
      <c r="N544" s="29" t="s">
        <v>126</v>
      </c>
    </row>
    <row r="545" spans="2:14" x14ac:dyDescent="0.25">
      <c r="B545" s="27" t="s">
        <v>123</v>
      </c>
      <c r="C545" s="28">
        <v>6541</v>
      </c>
      <c r="D545" s="28" t="s">
        <v>1627</v>
      </c>
      <c r="E545" s="27" t="s">
        <v>32</v>
      </c>
      <c r="F545" s="6" t="s">
        <v>1095</v>
      </c>
      <c r="G545" s="28" t="s">
        <v>48</v>
      </c>
      <c r="H545" s="28" t="s">
        <v>129</v>
      </c>
      <c r="I545" s="115">
        <v>299</v>
      </c>
      <c r="J545" s="27"/>
      <c r="K545" s="40"/>
      <c r="L545" s="29" t="s">
        <v>126</v>
      </c>
      <c r="M545" s="29" t="s">
        <v>126</v>
      </c>
      <c r="N545" s="29" t="s">
        <v>126</v>
      </c>
    </row>
    <row r="546" spans="2:14" x14ac:dyDescent="0.25">
      <c r="B546" s="27" t="s">
        <v>123</v>
      </c>
      <c r="C546" s="28">
        <v>6566</v>
      </c>
      <c r="D546" s="28" t="s">
        <v>1628</v>
      </c>
      <c r="E546" s="27" t="s">
        <v>32</v>
      </c>
      <c r="F546" s="6" t="s">
        <v>1095</v>
      </c>
      <c r="G546" s="28" t="s">
        <v>48</v>
      </c>
      <c r="H546" s="28" t="s">
        <v>129</v>
      </c>
      <c r="I546" s="115">
        <v>299</v>
      </c>
      <c r="J546" s="27"/>
      <c r="K546" s="40"/>
      <c r="L546" s="29" t="s">
        <v>126</v>
      </c>
      <c r="M546" s="29" t="s">
        <v>126</v>
      </c>
      <c r="N546" s="29" t="s">
        <v>126</v>
      </c>
    </row>
    <row r="547" spans="2:14" x14ac:dyDescent="0.25">
      <c r="B547" s="27" t="s">
        <v>123</v>
      </c>
      <c r="C547" s="28">
        <v>6564</v>
      </c>
      <c r="D547" s="28" t="s">
        <v>1629</v>
      </c>
      <c r="E547" s="27" t="s">
        <v>32</v>
      </c>
      <c r="F547" s="6" t="s">
        <v>1095</v>
      </c>
      <c r="G547" s="28" t="s">
        <v>48</v>
      </c>
      <c r="H547" s="28" t="s">
        <v>129</v>
      </c>
      <c r="I547" s="115">
        <v>299</v>
      </c>
      <c r="J547" s="27"/>
      <c r="K547" s="40"/>
      <c r="L547" s="29" t="s">
        <v>126</v>
      </c>
      <c r="M547" s="29" t="s">
        <v>126</v>
      </c>
      <c r="N547" s="29" t="s">
        <v>126</v>
      </c>
    </row>
    <row r="548" spans="2:14" x14ac:dyDescent="0.25">
      <c r="B548" s="27" t="s">
        <v>123</v>
      </c>
      <c r="C548" s="28">
        <v>6560</v>
      </c>
      <c r="D548" s="28" t="s">
        <v>1630</v>
      </c>
      <c r="E548" s="27" t="s">
        <v>32</v>
      </c>
      <c r="F548" s="6" t="s">
        <v>1095</v>
      </c>
      <c r="G548" s="28" t="s">
        <v>48</v>
      </c>
      <c r="H548" s="28" t="s">
        <v>129</v>
      </c>
      <c r="I548" s="115">
        <v>299</v>
      </c>
      <c r="J548" s="27"/>
      <c r="K548" s="40"/>
      <c r="L548" s="29" t="s">
        <v>126</v>
      </c>
      <c r="M548" s="29" t="s">
        <v>126</v>
      </c>
      <c r="N548" s="29" t="s">
        <v>126</v>
      </c>
    </row>
    <row r="549" spans="2:14" x14ac:dyDescent="0.25">
      <c r="B549" s="27" t="s">
        <v>123</v>
      </c>
      <c r="C549" s="28">
        <v>27616</v>
      </c>
      <c r="D549" s="28" t="s">
        <v>1631</v>
      </c>
      <c r="E549" s="27" t="s">
        <v>32</v>
      </c>
      <c r="F549" s="6" t="s">
        <v>1095</v>
      </c>
      <c r="G549" s="28" t="s">
        <v>48</v>
      </c>
      <c r="H549" s="28" t="s">
        <v>129</v>
      </c>
      <c r="I549" s="115">
        <v>159</v>
      </c>
      <c r="J549" s="27"/>
      <c r="K549" s="40"/>
      <c r="L549" s="29" t="s">
        <v>126</v>
      </c>
      <c r="M549" s="29" t="s">
        <v>126</v>
      </c>
      <c r="N549" s="29" t="s">
        <v>126</v>
      </c>
    </row>
    <row r="550" spans="2:14" x14ac:dyDescent="0.25">
      <c r="B550" s="27" t="s">
        <v>123</v>
      </c>
      <c r="C550" s="28">
        <v>563877</v>
      </c>
      <c r="D550" s="28" t="s">
        <v>1632</v>
      </c>
      <c r="E550" s="27" t="s">
        <v>32</v>
      </c>
      <c r="F550" s="6" t="s">
        <v>1095</v>
      </c>
      <c r="G550" s="28" t="s">
        <v>48</v>
      </c>
      <c r="H550" s="28" t="s">
        <v>129</v>
      </c>
      <c r="I550" s="115">
        <v>159</v>
      </c>
      <c r="J550" s="27"/>
      <c r="K550" s="40"/>
      <c r="L550" s="29" t="s">
        <v>126</v>
      </c>
      <c r="M550" s="29" t="s">
        <v>126</v>
      </c>
      <c r="N550" s="29" t="s">
        <v>126</v>
      </c>
    </row>
    <row r="551" spans="2:14" x14ac:dyDescent="0.25">
      <c r="B551" s="27" t="s">
        <v>123</v>
      </c>
      <c r="C551" s="28">
        <v>42943</v>
      </c>
      <c r="D551" s="28" t="s">
        <v>1633</v>
      </c>
      <c r="E551" s="27" t="s">
        <v>32</v>
      </c>
      <c r="F551" s="6" t="s">
        <v>1095</v>
      </c>
      <c r="G551" s="28" t="s">
        <v>48</v>
      </c>
      <c r="H551" s="28" t="s">
        <v>129</v>
      </c>
      <c r="I551" s="115">
        <v>159</v>
      </c>
      <c r="J551" s="27"/>
      <c r="K551" s="40"/>
      <c r="L551" s="29" t="s">
        <v>126</v>
      </c>
      <c r="M551" s="29" t="s">
        <v>126</v>
      </c>
      <c r="N551" s="29" t="s">
        <v>126</v>
      </c>
    </row>
    <row r="552" spans="2:14" x14ac:dyDescent="0.25">
      <c r="B552" s="27" t="s">
        <v>123</v>
      </c>
      <c r="C552" s="28">
        <v>81801</v>
      </c>
      <c r="D552" s="28" t="s">
        <v>1634</v>
      </c>
      <c r="E552" s="27" t="s">
        <v>32</v>
      </c>
      <c r="F552" s="6" t="s">
        <v>1095</v>
      </c>
      <c r="G552" s="28" t="s">
        <v>48</v>
      </c>
      <c r="H552" s="28" t="s">
        <v>129</v>
      </c>
      <c r="I552" s="115">
        <v>439</v>
      </c>
      <c r="J552" s="27"/>
      <c r="K552" s="40"/>
      <c r="L552" s="29" t="s">
        <v>126</v>
      </c>
      <c r="M552" s="29" t="s">
        <v>126</v>
      </c>
      <c r="N552" s="29" t="s">
        <v>126</v>
      </c>
    </row>
    <row r="553" spans="2:14" x14ac:dyDescent="0.25">
      <c r="B553" s="27" t="s">
        <v>123</v>
      </c>
      <c r="C553" s="28">
        <v>81800</v>
      </c>
      <c r="D553" s="28" t="s">
        <v>1635</v>
      </c>
      <c r="E553" s="27" t="s">
        <v>32</v>
      </c>
      <c r="F553" s="6" t="s">
        <v>1095</v>
      </c>
      <c r="G553" s="28" t="s">
        <v>48</v>
      </c>
      <c r="H553" s="28" t="s">
        <v>129</v>
      </c>
      <c r="I553" s="115">
        <v>439</v>
      </c>
      <c r="J553" s="27"/>
      <c r="K553" s="40"/>
      <c r="L553" s="29" t="s">
        <v>126</v>
      </c>
      <c r="M553" s="29" t="s">
        <v>126</v>
      </c>
      <c r="N553" s="29" t="s">
        <v>126</v>
      </c>
    </row>
    <row r="554" spans="2:14" x14ac:dyDescent="0.25">
      <c r="B554" s="27" t="s">
        <v>123</v>
      </c>
      <c r="C554" s="28">
        <v>588029</v>
      </c>
      <c r="D554" s="28" t="s">
        <v>1636</v>
      </c>
      <c r="E554" s="27" t="s">
        <v>32</v>
      </c>
      <c r="F554" s="6" t="s">
        <v>1095</v>
      </c>
      <c r="G554" s="28" t="s">
        <v>48</v>
      </c>
      <c r="H554" s="28" t="s">
        <v>129</v>
      </c>
      <c r="I554" s="115">
        <v>439</v>
      </c>
      <c r="J554" s="27"/>
      <c r="K554" s="40"/>
      <c r="L554" s="29" t="s">
        <v>126</v>
      </c>
      <c r="M554" s="29" t="s">
        <v>126</v>
      </c>
      <c r="N554" s="29" t="s">
        <v>126</v>
      </c>
    </row>
    <row r="555" spans="2:14" x14ac:dyDescent="0.25">
      <c r="B555" s="27" t="s">
        <v>123</v>
      </c>
      <c r="C555" s="28">
        <v>599816</v>
      </c>
      <c r="D555" s="28" t="s">
        <v>1637</v>
      </c>
      <c r="E555" s="27" t="s">
        <v>32</v>
      </c>
      <c r="F555" s="6" t="s">
        <v>1095</v>
      </c>
      <c r="G555" s="28" t="s">
        <v>48</v>
      </c>
      <c r="H555" s="28" t="s">
        <v>129</v>
      </c>
      <c r="I555" s="115">
        <v>339.15</v>
      </c>
      <c r="J555" s="27"/>
      <c r="K555" s="40"/>
      <c r="L555" s="29" t="s">
        <v>126</v>
      </c>
      <c r="M555" s="29" t="s">
        <v>126</v>
      </c>
      <c r="N555" s="29" t="s">
        <v>126</v>
      </c>
    </row>
    <row r="556" spans="2:14" x14ac:dyDescent="0.25">
      <c r="B556" s="27" t="s">
        <v>123</v>
      </c>
      <c r="C556" s="28">
        <v>599817</v>
      </c>
      <c r="D556" s="28" t="s">
        <v>1638</v>
      </c>
      <c r="E556" s="27" t="s">
        <v>32</v>
      </c>
      <c r="F556" s="6" t="s">
        <v>1095</v>
      </c>
      <c r="G556" s="28" t="s">
        <v>48</v>
      </c>
      <c r="H556" s="28" t="s">
        <v>129</v>
      </c>
      <c r="I556" s="115">
        <v>339.15</v>
      </c>
      <c r="J556" s="27"/>
      <c r="K556" s="40"/>
      <c r="L556" s="29" t="s">
        <v>126</v>
      </c>
      <c r="M556" s="29" t="s">
        <v>126</v>
      </c>
      <c r="N556" s="29" t="s">
        <v>126</v>
      </c>
    </row>
    <row r="557" spans="2:14" x14ac:dyDescent="0.25">
      <c r="B557" s="27" t="s">
        <v>123</v>
      </c>
      <c r="C557" s="28">
        <v>599818</v>
      </c>
      <c r="D557" s="28" t="s">
        <v>1639</v>
      </c>
      <c r="E557" s="27" t="s">
        <v>32</v>
      </c>
      <c r="F557" s="6" t="s">
        <v>1095</v>
      </c>
      <c r="G557" s="28" t="s">
        <v>48</v>
      </c>
      <c r="H557" s="28" t="s">
        <v>129</v>
      </c>
      <c r="I557" s="115">
        <v>339.15</v>
      </c>
      <c r="J557" s="27"/>
      <c r="K557" s="40"/>
      <c r="L557" s="29" t="s">
        <v>126</v>
      </c>
      <c r="M557" s="29" t="s">
        <v>126</v>
      </c>
      <c r="N557" s="29" t="s">
        <v>126</v>
      </c>
    </row>
    <row r="558" spans="2:14" x14ac:dyDescent="0.25">
      <c r="B558" s="27" t="s">
        <v>123</v>
      </c>
      <c r="C558" s="28">
        <v>94344</v>
      </c>
      <c r="D558" s="28" t="s">
        <v>1640</v>
      </c>
      <c r="E558" s="27" t="s">
        <v>32</v>
      </c>
      <c r="F558" s="6" t="s">
        <v>1095</v>
      </c>
      <c r="G558" s="28" t="s">
        <v>48</v>
      </c>
      <c r="H558" s="28" t="s">
        <v>129</v>
      </c>
      <c r="I558" s="115">
        <v>179</v>
      </c>
      <c r="J558" s="27"/>
      <c r="K558" s="40"/>
      <c r="L558" s="29" t="s">
        <v>126</v>
      </c>
      <c r="M558" s="29" t="s">
        <v>126</v>
      </c>
      <c r="N558" s="29" t="s">
        <v>126</v>
      </c>
    </row>
    <row r="559" spans="2:14" x14ac:dyDescent="0.25">
      <c r="B559" s="27" t="s">
        <v>123</v>
      </c>
      <c r="C559" s="28">
        <v>94343</v>
      </c>
      <c r="D559" s="28" t="s">
        <v>1641</v>
      </c>
      <c r="E559" s="27" t="s">
        <v>32</v>
      </c>
      <c r="F559" s="6" t="s">
        <v>1095</v>
      </c>
      <c r="G559" s="28" t="s">
        <v>48</v>
      </c>
      <c r="H559" s="28" t="s">
        <v>129</v>
      </c>
      <c r="I559" s="115">
        <v>179</v>
      </c>
      <c r="J559" s="27"/>
      <c r="K559" s="40"/>
      <c r="L559" s="29" t="s">
        <v>126</v>
      </c>
      <c r="M559" s="29" t="s">
        <v>126</v>
      </c>
      <c r="N559" s="29" t="s">
        <v>126</v>
      </c>
    </row>
    <row r="560" spans="2:14" x14ac:dyDescent="0.25">
      <c r="B560" s="27" t="s">
        <v>123</v>
      </c>
      <c r="C560" s="28">
        <v>596335</v>
      </c>
      <c r="D560" s="28" t="s">
        <v>1642</v>
      </c>
      <c r="E560" s="27" t="s">
        <v>32</v>
      </c>
      <c r="F560" s="6" t="s">
        <v>1095</v>
      </c>
      <c r="G560" s="28" t="s">
        <v>48</v>
      </c>
      <c r="H560" s="28" t="s">
        <v>129</v>
      </c>
      <c r="I560" s="115">
        <v>189</v>
      </c>
      <c r="J560" s="27"/>
      <c r="K560" s="40"/>
      <c r="L560" s="29" t="s">
        <v>126</v>
      </c>
      <c r="M560" s="29" t="s">
        <v>126</v>
      </c>
      <c r="N560" s="29" t="s">
        <v>126</v>
      </c>
    </row>
    <row r="561" spans="2:14" x14ac:dyDescent="0.25">
      <c r="B561" s="27" t="s">
        <v>123</v>
      </c>
      <c r="C561" s="28">
        <v>579111</v>
      </c>
      <c r="D561" s="28" t="s">
        <v>1643</v>
      </c>
      <c r="E561" s="27" t="s">
        <v>32</v>
      </c>
      <c r="F561" s="6" t="s">
        <v>1095</v>
      </c>
      <c r="G561" s="28" t="s">
        <v>48</v>
      </c>
      <c r="H561" s="28" t="s">
        <v>129</v>
      </c>
      <c r="I561" s="115">
        <v>189</v>
      </c>
      <c r="J561" s="27"/>
      <c r="K561" s="40"/>
      <c r="L561" s="29" t="s">
        <v>126</v>
      </c>
      <c r="M561" s="29" t="s">
        <v>126</v>
      </c>
      <c r="N561" s="29" t="s">
        <v>126</v>
      </c>
    </row>
    <row r="562" spans="2:14" x14ac:dyDescent="0.25">
      <c r="B562" s="27" t="s">
        <v>123</v>
      </c>
      <c r="C562" s="28">
        <v>579112</v>
      </c>
      <c r="D562" s="28" t="s">
        <v>1644</v>
      </c>
      <c r="E562" s="27" t="s">
        <v>32</v>
      </c>
      <c r="F562" s="6" t="s">
        <v>1095</v>
      </c>
      <c r="G562" s="28" t="s">
        <v>48</v>
      </c>
      <c r="H562" s="28" t="s">
        <v>129</v>
      </c>
      <c r="I562" s="115">
        <v>189</v>
      </c>
      <c r="J562" s="27"/>
      <c r="K562" s="40"/>
      <c r="L562" s="29" t="s">
        <v>126</v>
      </c>
      <c r="M562" s="29" t="s">
        <v>126</v>
      </c>
      <c r="N562" s="29" t="s">
        <v>126</v>
      </c>
    </row>
    <row r="563" spans="2:14" x14ac:dyDescent="0.25">
      <c r="B563" s="27" t="s">
        <v>123</v>
      </c>
      <c r="C563" s="28">
        <v>579113</v>
      </c>
      <c r="D563" s="28" t="s">
        <v>1645</v>
      </c>
      <c r="E563" s="27" t="s">
        <v>32</v>
      </c>
      <c r="F563" s="6" t="s">
        <v>1095</v>
      </c>
      <c r="G563" s="28" t="s">
        <v>48</v>
      </c>
      <c r="H563" s="28" t="s">
        <v>129</v>
      </c>
      <c r="I563" s="115">
        <v>189</v>
      </c>
      <c r="J563" s="27"/>
      <c r="K563" s="40"/>
      <c r="L563" s="29" t="s">
        <v>126</v>
      </c>
      <c r="M563" s="29" t="s">
        <v>126</v>
      </c>
      <c r="N563" s="29" t="s">
        <v>126</v>
      </c>
    </row>
    <row r="564" spans="2:14" x14ac:dyDescent="0.25">
      <c r="B564" s="27" t="s">
        <v>123</v>
      </c>
      <c r="C564" s="28">
        <v>462946</v>
      </c>
      <c r="D564" s="28" t="s">
        <v>1646</v>
      </c>
      <c r="E564" s="27" t="s">
        <v>32</v>
      </c>
      <c r="F564" s="6" t="s">
        <v>1095</v>
      </c>
      <c r="G564" s="28" t="s">
        <v>48</v>
      </c>
      <c r="H564" s="28" t="s">
        <v>129</v>
      </c>
      <c r="I564" s="115">
        <v>379</v>
      </c>
      <c r="J564" s="27"/>
      <c r="K564" s="40"/>
      <c r="L564" s="29" t="s">
        <v>126</v>
      </c>
      <c r="M564" s="29" t="s">
        <v>126</v>
      </c>
      <c r="N564" s="29" t="s">
        <v>126</v>
      </c>
    </row>
    <row r="565" spans="2:14" x14ac:dyDescent="0.25">
      <c r="B565" s="27" t="s">
        <v>123</v>
      </c>
      <c r="C565" s="28">
        <v>470097</v>
      </c>
      <c r="D565" s="28" t="s">
        <v>1647</v>
      </c>
      <c r="E565" s="27" t="s">
        <v>32</v>
      </c>
      <c r="F565" s="6" t="s">
        <v>1095</v>
      </c>
      <c r="G565" s="28" t="s">
        <v>48</v>
      </c>
      <c r="H565" s="28" t="s">
        <v>129</v>
      </c>
      <c r="I565" s="115">
        <v>379</v>
      </c>
      <c r="J565" s="27"/>
      <c r="K565" s="40"/>
      <c r="L565" s="29" t="s">
        <v>126</v>
      </c>
      <c r="M565" s="29" t="s">
        <v>126</v>
      </c>
      <c r="N565" s="29" t="s">
        <v>126</v>
      </c>
    </row>
    <row r="566" spans="2:14" x14ac:dyDescent="0.25">
      <c r="B566" s="27" t="s">
        <v>123</v>
      </c>
      <c r="C566" s="28">
        <v>495031</v>
      </c>
      <c r="D566" s="28" t="s">
        <v>1648</v>
      </c>
      <c r="E566" s="27" t="s">
        <v>32</v>
      </c>
      <c r="F566" s="6" t="s">
        <v>1095</v>
      </c>
      <c r="G566" s="28" t="s">
        <v>48</v>
      </c>
      <c r="H566" s="28" t="s">
        <v>129</v>
      </c>
      <c r="I566" s="115">
        <v>379</v>
      </c>
      <c r="J566" s="27"/>
      <c r="K566" s="40"/>
      <c r="L566" s="29" t="s">
        <v>126</v>
      </c>
      <c r="M566" s="29" t="s">
        <v>126</v>
      </c>
      <c r="N566" s="29" t="s">
        <v>126</v>
      </c>
    </row>
    <row r="567" spans="2:14" x14ac:dyDescent="0.25">
      <c r="B567" s="27" t="s">
        <v>123</v>
      </c>
      <c r="C567" s="28">
        <v>532639</v>
      </c>
      <c r="D567" s="28" t="s">
        <v>1649</v>
      </c>
      <c r="E567" s="27" t="s">
        <v>32</v>
      </c>
      <c r="F567" s="6" t="s">
        <v>1095</v>
      </c>
      <c r="G567" s="28" t="s">
        <v>48</v>
      </c>
      <c r="H567" s="28" t="s">
        <v>129</v>
      </c>
      <c r="I567" s="115">
        <v>379</v>
      </c>
      <c r="J567" s="27"/>
      <c r="K567" s="40"/>
      <c r="L567" s="29" t="s">
        <v>126</v>
      </c>
      <c r="M567" s="29" t="s">
        <v>126</v>
      </c>
      <c r="N567" s="29" t="s">
        <v>126</v>
      </c>
    </row>
    <row r="568" spans="2:14" x14ac:dyDescent="0.25">
      <c r="B568" s="27" t="s">
        <v>123</v>
      </c>
      <c r="C568" s="28">
        <v>82398</v>
      </c>
      <c r="D568" s="28" t="s">
        <v>1650</v>
      </c>
      <c r="E568" s="27" t="s">
        <v>32</v>
      </c>
      <c r="F568" s="6" t="s">
        <v>1095</v>
      </c>
      <c r="G568" s="28" t="s">
        <v>48</v>
      </c>
      <c r="H568" s="28" t="s">
        <v>129</v>
      </c>
      <c r="I568" s="115">
        <v>215</v>
      </c>
      <c r="J568" s="27"/>
      <c r="K568" s="40"/>
      <c r="L568" s="29" t="s">
        <v>126</v>
      </c>
      <c r="M568" s="29" t="s">
        <v>126</v>
      </c>
      <c r="N568" s="29" t="s">
        <v>126</v>
      </c>
    </row>
    <row r="569" spans="2:14" x14ac:dyDescent="0.25">
      <c r="B569" s="27" t="s">
        <v>123</v>
      </c>
      <c r="C569" s="28">
        <v>180112</v>
      </c>
      <c r="D569" s="28" t="s">
        <v>1651</v>
      </c>
      <c r="E569" s="27" t="s">
        <v>32</v>
      </c>
      <c r="F569" s="6" t="s">
        <v>1095</v>
      </c>
      <c r="G569" s="28" t="s">
        <v>48</v>
      </c>
      <c r="H569" s="28" t="s">
        <v>129</v>
      </c>
      <c r="I569" s="115">
        <v>215</v>
      </c>
      <c r="J569" s="27"/>
      <c r="K569" s="40"/>
      <c r="L569" s="29" t="s">
        <v>126</v>
      </c>
      <c r="M569" s="29" t="s">
        <v>126</v>
      </c>
      <c r="N569" s="29" t="s">
        <v>126</v>
      </c>
    </row>
    <row r="570" spans="2:14" x14ac:dyDescent="0.25">
      <c r="B570" s="27" t="s">
        <v>123</v>
      </c>
      <c r="C570" s="28">
        <v>211851</v>
      </c>
      <c r="D570" s="28" t="s">
        <v>1652</v>
      </c>
      <c r="E570" s="27" t="s">
        <v>32</v>
      </c>
      <c r="F570" s="6" t="s">
        <v>1095</v>
      </c>
      <c r="G570" s="28" t="s">
        <v>48</v>
      </c>
      <c r="H570" s="28" t="s">
        <v>129</v>
      </c>
      <c r="I570" s="115">
        <v>215</v>
      </c>
      <c r="J570" s="27"/>
      <c r="K570" s="40"/>
      <c r="L570" s="29" t="s">
        <v>126</v>
      </c>
      <c r="M570" s="29" t="s">
        <v>126</v>
      </c>
      <c r="N570" s="29" t="s">
        <v>126</v>
      </c>
    </row>
    <row r="571" spans="2:14" x14ac:dyDescent="0.25">
      <c r="B571" s="27" t="s">
        <v>123</v>
      </c>
      <c r="C571" s="28">
        <v>211852</v>
      </c>
      <c r="D571" s="28" t="s">
        <v>1653</v>
      </c>
      <c r="E571" s="27" t="s">
        <v>32</v>
      </c>
      <c r="F571" s="6" t="s">
        <v>1095</v>
      </c>
      <c r="G571" s="28" t="s">
        <v>48</v>
      </c>
      <c r="H571" s="28" t="s">
        <v>129</v>
      </c>
      <c r="I571" s="115">
        <v>215</v>
      </c>
      <c r="J571" s="27"/>
      <c r="K571" s="40"/>
      <c r="L571" s="29" t="s">
        <v>126</v>
      </c>
      <c r="M571" s="29" t="s">
        <v>126</v>
      </c>
      <c r="N571" s="29" t="s">
        <v>126</v>
      </c>
    </row>
    <row r="572" spans="2:14" x14ac:dyDescent="0.25">
      <c r="B572" s="27" t="s">
        <v>123</v>
      </c>
      <c r="C572" s="28">
        <v>413194</v>
      </c>
      <c r="D572" s="28" t="s">
        <v>1654</v>
      </c>
      <c r="E572" s="27" t="s">
        <v>32</v>
      </c>
      <c r="F572" s="6" t="s">
        <v>1095</v>
      </c>
      <c r="G572" s="28" t="s">
        <v>48</v>
      </c>
      <c r="H572" s="28" t="s">
        <v>129</v>
      </c>
      <c r="I572" s="115">
        <v>215</v>
      </c>
      <c r="J572" s="27"/>
      <c r="K572" s="40"/>
      <c r="L572" s="29" t="s">
        <v>126</v>
      </c>
      <c r="M572" s="29" t="s">
        <v>126</v>
      </c>
      <c r="N572" s="29" t="s">
        <v>126</v>
      </c>
    </row>
    <row r="573" spans="2:14" x14ac:dyDescent="0.25">
      <c r="B573" s="27" t="s">
        <v>123</v>
      </c>
      <c r="C573" s="28">
        <v>450069</v>
      </c>
      <c r="D573" s="28" t="s">
        <v>1655</v>
      </c>
      <c r="E573" s="27" t="s">
        <v>32</v>
      </c>
      <c r="F573" s="6" t="s">
        <v>1095</v>
      </c>
      <c r="G573" s="28" t="s">
        <v>48</v>
      </c>
      <c r="H573" s="28" t="s">
        <v>129</v>
      </c>
      <c r="I573" s="115">
        <v>215</v>
      </c>
      <c r="J573" s="27"/>
      <c r="K573" s="40"/>
      <c r="L573" s="29" t="s">
        <v>126</v>
      </c>
      <c r="M573" s="29" t="s">
        <v>126</v>
      </c>
      <c r="N573" s="29" t="s">
        <v>126</v>
      </c>
    </row>
    <row r="574" spans="2:14" x14ac:dyDescent="0.25">
      <c r="B574" s="27" t="s">
        <v>123</v>
      </c>
      <c r="C574" s="28">
        <v>478008</v>
      </c>
      <c r="D574" s="28" t="s">
        <v>1656</v>
      </c>
      <c r="E574" s="27" t="s">
        <v>32</v>
      </c>
      <c r="F574" s="6" t="s">
        <v>1095</v>
      </c>
      <c r="G574" s="28" t="s">
        <v>48</v>
      </c>
      <c r="H574" s="28" t="s">
        <v>129</v>
      </c>
      <c r="I574" s="115">
        <v>215</v>
      </c>
      <c r="J574" s="27"/>
      <c r="K574" s="40"/>
      <c r="L574" s="29" t="s">
        <v>126</v>
      </c>
      <c r="M574" s="29" t="s">
        <v>126</v>
      </c>
      <c r="N574" s="29" t="s">
        <v>126</v>
      </c>
    </row>
    <row r="575" spans="2:14" x14ac:dyDescent="0.25">
      <c r="B575" s="27" t="s">
        <v>123</v>
      </c>
      <c r="C575" s="28">
        <v>597717</v>
      </c>
      <c r="D575" s="28" t="s">
        <v>1657</v>
      </c>
      <c r="E575" s="27" t="s">
        <v>32</v>
      </c>
      <c r="F575" s="6" t="s">
        <v>1095</v>
      </c>
      <c r="G575" s="28" t="s">
        <v>48</v>
      </c>
      <c r="H575" s="28" t="s">
        <v>129</v>
      </c>
      <c r="I575" s="115">
        <v>215</v>
      </c>
      <c r="J575" s="27"/>
      <c r="K575" s="40"/>
      <c r="L575" s="29" t="s">
        <v>126</v>
      </c>
      <c r="M575" s="29" t="s">
        <v>126</v>
      </c>
      <c r="N575" s="29" t="s">
        <v>126</v>
      </c>
    </row>
    <row r="576" spans="2:14" x14ac:dyDescent="0.25">
      <c r="B576" s="27" t="s">
        <v>123</v>
      </c>
      <c r="C576" s="28">
        <v>249696</v>
      </c>
      <c r="D576" s="28" t="s">
        <v>1658</v>
      </c>
      <c r="E576" s="27" t="s">
        <v>32</v>
      </c>
      <c r="F576" s="6" t="s">
        <v>1095</v>
      </c>
      <c r="G576" s="28" t="s">
        <v>48</v>
      </c>
      <c r="H576" s="28" t="s">
        <v>129</v>
      </c>
      <c r="I576" s="115">
        <v>215</v>
      </c>
      <c r="J576" s="27"/>
      <c r="K576" s="40"/>
      <c r="L576" s="29" t="s">
        <v>126</v>
      </c>
      <c r="M576" s="29" t="s">
        <v>126</v>
      </c>
      <c r="N576" s="29" t="s">
        <v>126</v>
      </c>
    </row>
    <row r="577" spans="2:14" x14ac:dyDescent="0.25">
      <c r="B577" s="27" t="s">
        <v>123</v>
      </c>
      <c r="C577" s="28">
        <v>249697</v>
      </c>
      <c r="D577" s="28" t="s">
        <v>1659</v>
      </c>
      <c r="E577" s="27" t="s">
        <v>32</v>
      </c>
      <c r="F577" s="6" t="s">
        <v>1095</v>
      </c>
      <c r="G577" s="28" t="s">
        <v>48</v>
      </c>
      <c r="H577" s="28" t="s">
        <v>129</v>
      </c>
      <c r="I577" s="115">
        <v>215</v>
      </c>
      <c r="J577" s="27"/>
      <c r="K577" s="40"/>
      <c r="L577" s="29" t="s">
        <v>126</v>
      </c>
      <c r="M577" s="29" t="s">
        <v>126</v>
      </c>
      <c r="N577" s="29" t="s">
        <v>126</v>
      </c>
    </row>
    <row r="578" spans="2:14" x14ac:dyDescent="0.25">
      <c r="B578" s="27" t="s">
        <v>123</v>
      </c>
      <c r="C578" s="28">
        <v>332202</v>
      </c>
      <c r="D578" s="28" t="s">
        <v>1660</v>
      </c>
      <c r="E578" s="27" t="s">
        <v>32</v>
      </c>
      <c r="F578" s="6" t="s">
        <v>1095</v>
      </c>
      <c r="G578" s="28" t="s">
        <v>48</v>
      </c>
      <c r="H578" s="28" t="s">
        <v>129</v>
      </c>
      <c r="I578" s="115">
        <v>215</v>
      </c>
      <c r="J578" s="27"/>
      <c r="K578" s="40"/>
      <c r="L578" s="29" t="s">
        <v>126</v>
      </c>
      <c r="M578" s="29" t="s">
        <v>126</v>
      </c>
      <c r="N578" s="29" t="s">
        <v>126</v>
      </c>
    </row>
    <row r="579" spans="2:14" x14ac:dyDescent="0.25">
      <c r="B579" s="27" t="s">
        <v>123</v>
      </c>
      <c r="C579" s="28">
        <v>470098</v>
      </c>
      <c r="D579" s="28" t="s">
        <v>1661</v>
      </c>
      <c r="E579" s="27" t="s">
        <v>32</v>
      </c>
      <c r="F579" s="6" t="s">
        <v>1095</v>
      </c>
      <c r="G579" s="28" t="s">
        <v>48</v>
      </c>
      <c r="H579" s="28" t="s">
        <v>129</v>
      </c>
      <c r="I579" s="115">
        <v>215</v>
      </c>
      <c r="J579" s="27"/>
      <c r="K579" s="40"/>
      <c r="L579" s="29" t="s">
        <v>126</v>
      </c>
      <c r="M579" s="29" t="s">
        <v>126</v>
      </c>
      <c r="N579" s="29" t="s">
        <v>126</v>
      </c>
    </row>
    <row r="580" spans="2:14" x14ac:dyDescent="0.25">
      <c r="B580" s="27" t="s">
        <v>123</v>
      </c>
      <c r="C580" s="28">
        <v>393989</v>
      </c>
      <c r="D580" s="28" t="s">
        <v>1662</v>
      </c>
      <c r="E580" s="27" t="s">
        <v>32</v>
      </c>
      <c r="F580" s="6" t="s">
        <v>1095</v>
      </c>
      <c r="G580" s="28" t="s">
        <v>48</v>
      </c>
      <c r="H580" s="28" t="s">
        <v>129</v>
      </c>
      <c r="I580" s="115">
        <v>315</v>
      </c>
      <c r="J580" s="27"/>
      <c r="K580" s="40"/>
      <c r="L580" s="29" t="s">
        <v>126</v>
      </c>
      <c r="M580" s="29" t="s">
        <v>126</v>
      </c>
      <c r="N580" s="29" t="s">
        <v>126</v>
      </c>
    </row>
    <row r="581" spans="2:14" x14ac:dyDescent="0.25">
      <c r="B581" s="27" t="s">
        <v>123</v>
      </c>
      <c r="C581" s="28">
        <v>396836</v>
      </c>
      <c r="D581" s="28" t="s">
        <v>1663</v>
      </c>
      <c r="E581" s="27" t="s">
        <v>32</v>
      </c>
      <c r="F581" s="6" t="s">
        <v>1095</v>
      </c>
      <c r="G581" s="28" t="s">
        <v>48</v>
      </c>
      <c r="H581" s="28" t="s">
        <v>129</v>
      </c>
      <c r="I581" s="115">
        <v>315</v>
      </c>
      <c r="J581" s="27"/>
      <c r="K581" s="40"/>
      <c r="L581" s="29" t="s">
        <v>126</v>
      </c>
      <c r="M581" s="29" t="s">
        <v>126</v>
      </c>
      <c r="N581" s="29" t="s">
        <v>126</v>
      </c>
    </row>
    <row r="582" spans="2:14" x14ac:dyDescent="0.25">
      <c r="B582" s="27" t="s">
        <v>123</v>
      </c>
      <c r="C582" s="28">
        <v>413021</v>
      </c>
      <c r="D582" s="28" t="s">
        <v>1664</v>
      </c>
      <c r="E582" s="27" t="s">
        <v>32</v>
      </c>
      <c r="F582" s="6" t="s">
        <v>1095</v>
      </c>
      <c r="G582" s="28" t="s">
        <v>48</v>
      </c>
      <c r="H582" s="28" t="s">
        <v>129</v>
      </c>
      <c r="I582" s="115">
        <v>315</v>
      </c>
      <c r="J582" s="27"/>
      <c r="K582" s="40"/>
      <c r="L582" s="29" t="s">
        <v>126</v>
      </c>
      <c r="M582" s="29" t="s">
        <v>126</v>
      </c>
      <c r="N582" s="29" t="s">
        <v>126</v>
      </c>
    </row>
    <row r="583" spans="2:14" x14ac:dyDescent="0.25">
      <c r="B583" s="27" t="s">
        <v>123</v>
      </c>
      <c r="C583" s="28">
        <v>448674</v>
      </c>
      <c r="D583" s="28" t="s">
        <v>1665</v>
      </c>
      <c r="E583" s="27" t="s">
        <v>32</v>
      </c>
      <c r="F583" s="6" t="s">
        <v>1095</v>
      </c>
      <c r="G583" s="28" t="s">
        <v>48</v>
      </c>
      <c r="H583" s="28" t="s">
        <v>129</v>
      </c>
      <c r="I583" s="115">
        <v>315</v>
      </c>
      <c r="J583" s="27"/>
      <c r="K583" s="40"/>
      <c r="L583" s="29" t="s">
        <v>126</v>
      </c>
      <c r="M583" s="29" t="s">
        <v>126</v>
      </c>
      <c r="N583" s="29" t="s">
        <v>126</v>
      </c>
    </row>
    <row r="584" spans="2:14" x14ac:dyDescent="0.25">
      <c r="B584" s="27" t="s">
        <v>123</v>
      </c>
      <c r="C584" s="28">
        <v>458918</v>
      </c>
      <c r="D584" s="28" t="s">
        <v>1666</v>
      </c>
      <c r="E584" s="27" t="s">
        <v>32</v>
      </c>
      <c r="F584" s="6" t="s">
        <v>1095</v>
      </c>
      <c r="G584" s="28" t="s">
        <v>48</v>
      </c>
      <c r="H584" s="28" t="s">
        <v>129</v>
      </c>
      <c r="I584" s="115">
        <v>315</v>
      </c>
      <c r="J584" s="27"/>
      <c r="K584" s="40"/>
      <c r="L584" s="29" t="s">
        <v>126</v>
      </c>
      <c r="M584" s="29" t="s">
        <v>126</v>
      </c>
      <c r="N584" s="29" t="s">
        <v>126</v>
      </c>
    </row>
    <row r="585" spans="2:14" x14ac:dyDescent="0.25">
      <c r="B585" s="27" t="s">
        <v>123</v>
      </c>
      <c r="C585" s="28">
        <v>498706</v>
      </c>
      <c r="D585" s="28" t="s">
        <v>1667</v>
      </c>
      <c r="E585" s="27" t="s">
        <v>32</v>
      </c>
      <c r="F585" s="6" t="s">
        <v>1095</v>
      </c>
      <c r="G585" s="28" t="s">
        <v>48</v>
      </c>
      <c r="H585" s="28" t="s">
        <v>129</v>
      </c>
      <c r="I585" s="115">
        <v>315</v>
      </c>
      <c r="J585" s="27"/>
      <c r="K585" s="40"/>
      <c r="L585" s="29" t="s">
        <v>126</v>
      </c>
      <c r="M585" s="29" t="s">
        <v>126</v>
      </c>
      <c r="N585" s="29" t="s">
        <v>126</v>
      </c>
    </row>
    <row r="586" spans="2:14" x14ac:dyDescent="0.25">
      <c r="B586" s="27" t="s">
        <v>123</v>
      </c>
      <c r="C586" s="28">
        <v>491166</v>
      </c>
      <c r="D586" s="28" t="s">
        <v>1668</v>
      </c>
      <c r="E586" s="27" t="s">
        <v>32</v>
      </c>
      <c r="F586" s="6" t="s">
        <v>1095</v>
      </c>
      <c r="G586" s="28" t="s">
        <v>48</v>
      </c>
      <c r="H586" s="28" t="s">
        <v>129</v>
      </c>
      <c r="I586" s="115">
        <v>935</v>
      </c>
      <c r="J586" s="27"/>
      <c r="K586" s="40"/>
      <c r="L586" s="29" t="s">
        <v>126</v>
      </c>
      <c r="M586" s="29" t="s">
        <v>126</v>
      </c>
      <c r="N586" s="29" t="s">
        <v>126</v>
      </c>
    </row>
    <row r="587" spans="2:14" x14ac:dyDescent="0.25">
      <c r="B587" s="27" t="s">
        <v>123</v>
      </c>
      <c r="C587" s="28">
        <v>491273</v>
      </c>
      <c r="D587" s="28" t="s">
        <v>1669</v>
      </c>
      <c r="E587" s="27" t="s">
        <v>32</v>
      </c>
      <c r="F587" s="6" t="s">
        <v>1095</v>
      </c>
      <c r="G587" s="28" t="s">
        <v>48</v>
      </c>
      <c r="H587" s="28" t="s">
        <v>129</v>
      </c>
      <c r="I587" s="115">
        <v>935</v>
      </c>
      <c r="J587" s="27"/>
      <c r="K587" s="40"/>
      <c r="L587" s="29" t="s">
        <v>126</v>
      </c>
      <c r="M587" s="29" t="s">
        <v>126</v>
      </c>
      <c r="N587" s="29" t="s">
        <v>126</v>
      </c>
    </row>
    <row r="588" spans="2:14" x14ac:dyDescent="0.25">
      <c r="B588" s="27" t="s">
        <v>123</v>
      </c>
      <c r="C588" s="28">
        <v>492292</v>
      </c>
      <c r="D588" s="28" t="s">
        <v>1670</v>
      </c>
      <c r="E588" s="27" t="s">
        <v>32</v>
      </c>
      <c r="F588" s="6" t="s">
        <v>1095</v>
      </c>
      <c r="G588" s="28" t="s">
        <v>48</v>
      </c>
      <c r="H588" s="28" t="s">
        <v>129</v>
      </c>
      <c r="I588" s="115">
        <v>935</v>
      </c>
      <c r="J588" s="27"/>
      <c r="K588" s="40"/>
      <c r="L588" s="29" t="s">
        <v>126</v>
      </c>
      <c r="M588" s="29" t="s">
        <v>126</v>
      </c>
      <c r="N588" s="29" t="s">
        <v>126</v>
      </c>
    </row>
    <row r="589" spans="2:14" x14ac:dyDescent="0.25">
      <c r="B589" s="27" t="s">
        <v>123</v>
      </c>
      <c r="C589" s="28">
        <v>556262</v>
      </c>
      <c r="D589" s="28" t="s">
        <v>1671</v>
      </c>
      <c r="E589" s="27" t="s">
        <v>32</v>
      </c>
      <c r="F589" s="6" t="s">
        <v>1095</v>
      </c>
      <c r="G589" s="28" t="s">
        <v>48</v>
      </c>
      <c r="H589" s="28" t="s">
        <v>129</v>
      </c>
      <c r="I589" s="115">
        <v>475</v>
      </c>
      <c r="J589" s="27"/>
      <c r="K589" s="40"/>
      <c r="L589" s="29" t="s">
        <v>126</v>
      </c>
      <c r="M589" s="29" t="s">
        <v>126</v>
      </c>
      <c r="N589" s="29" t="s">
        <v>126</v>
      </c>
    </row>
    <row r="590" spans="2:14" x14ac:dyDescent="0.25">
      <c r="B590" s="27" t="s">
        <v>123</v>
      </c>
      <c r="C590" s="28">
        <v>594938</v>
      </c>
      <c r="D590" s="28" t="s">
        <v>1672</v>
      </c>
      <c r="E590" s="27" t="s">
        <v>32</v>
      </c>
      <c r="F590" s="6" t="s">
        <v>1095</v>
      </c>
      <c r="G590" s="28" t="s">
        <v>48</v>
      </c>
      <c r="H590" s="28" t="s">
        <v>129</v>
      </c>
      <c r="I590" s="115">
        <v>785</v>
      </c>
      <c r="J590" s="27"/>
      <c r="K590" s="40"/>
      <c r="L590" s="29" t="s">
        <v>126</v>
      </c>
      <c r="M590" s="29" t="s">
        <v>126</v>
      </c>
      <c r="N590" s="29" t="s">
        <v>126</v>
      </c>
    </row>
    <row r="591" spans="2:14" x14ac:dyDescent="0.25">
      <c r="B591" s="27" t="s">
        <v>123</v>
      </c>
      <c r="C591" s="28">
        <v>562998</v>
      </c>
      <c r="D591" s="28" t="s">
        <v>1673</v>
      </c>
      <c r="E591" s="27" t="s">
        <v>32</v>
      </c>
      <c r="F591" s="6" t="s">
        <v>1095</v>
      </c>
      <c r="G591" s="28" t="s">
        <v>48</v>
      </c>
      <c r="H591" s="28" t="s">
        <v>129</v>
      </c>
      <c r="I591" s="115">
        <v>999</v>
      </c>
      <c r="J591" s="27"/>
      <c r="K591" s="40"/>
      <c r="L591" s="29" t="s">
        <v>126</v>
      </c>
      <c r="M591" s="29" t="s">
        <v>126</v>
      </c>
      <c r="N591" s="29" t="s">
        <v>126</v>
      </c>
    </row>
    <row r="592" spans="2:14" x14ac:dyDescent="0.25">
      <c r="B592" s="27" t="s">
        <v>123</v>
      </c>
      <c r="C592" s="28">
        <v>50632</v>
      </c>
      <c r="D592" s="28" t="s">
        <v>1674</v>
      </c>
      <c r="E592" s="27" t="s">
        <v>32</v>
      </c>
      <c r="F592" s="6" t="s">
        <v>1095</v>
      </c>
      <c r="G592" s="28" t="s">
        <v>48</v>
      </c>
      <c r="H592" s="28" t="s">
        <v>129</v>
      </c>
      <c r="I592" s="115">
        <v>429</v>
      </c>
      <c r="J592" s="27"/>
      <c r="K592" s="40"/>
      <c r="L592" s="29" t="s">
        <v>126</v>
      </c>
      <c r="M592" s="29" t="s">
        <v>126</v>
      </c>
      <c r="N592" s="29" t="s">
        <v>126</v>
      </c>
    </row>
    <row r="593" spans="2:14" x14ac:dyDescent="0.25">
      <c r="B593" s="27" t="s">
        <v>123</v>
      </c>
      <c r="C593" s="28">
        <v>53395</v>
      </c>
      <c r="D593" s="28" t="s">
        <v>1675</v>
      </c>
      <c r="E593" s="27" t="s">
        <v>32</v>
      </c>
      <c r="F593" s="6" t="s">
        <v>1095</v>
      </c>
      <c r="G593" s="28" t="s">
        <v>48</v>
      </c>
      <c r="H593" s="28" t="s">
        <v>129</v>
      </c>
      <c r="I593" s="115">
        <v>429</v>
      </c>
      <c r="J593" s="27"/>
      <c r="K593" s="40"/>
      <c r="L593" s="29" t="s">
        <v>126</v>
      </c>
      <c r="M593" s="29" t="s">
        <v>126</v>
      </c>
      <c r="N593" s="29" t="s">
        <v>126</v>
      </c>
    </row>
    <row r="594" spans="2:14" x14ac:dyDescent="0.25">
      <c r="B594" s="27" t="s">
        <v>123</v>
      </c>
      <c r="C594" s="28">
        <v>596588</v>
      </c>
      <c r="D594" s="28" t="s">
        <v>1676</v>
      </c>
      <c r="E594" s="27" t="s">
        <v>32</v>
      </c>
      <c r="F594" s="6" t="s">
        <v>1095</v>
      </c>
      <c r="G594" s="28" t="s">
        <v>48</v>
      </c>
      <c r="H594" s="28" t="s">
        <v>129</v>
      </c>
      <c r="I594" s="115">
        <v>379</v>
      </c>
      <c r="J594" s="27"/>
      <c r="K594" s="40"/>
      <c r="L594" s="29" t="s">
        <v>126</v>
      </c>
      <c r="M594" s="29" t="s">
        <v>126</v>
      </c>
      <c r="N594" s="29" t="s">
        <v>126</v>
      </c>
    </row>
    <row r="595" spans="2:14" x14ac:dyDescent="0.25">
      <c r="B595" s="27" t="s">
        <v>123</v>
      </c>
      <c r="C595" s="28">
        <v>97911</v>
      </c>
      <c r="D595" s="28" t="s">
        <v>1677</v>
      </c>
      <c r="E595" s="27" t="s">
        <v>32</v>
      </c>
      <c r="F595" s="6" t="s">
        <v>1095</v>
      </c>
      <c r="G595" s="28" t="s">
        <v>48</v>
      </c>
      <c r="H595" s="28" t="s">
        <v>129</v>
      </c>
      <c r="I595" s="115">
        <v>229</v>
      </c>
      <c r="J595" s="27"/>
      <c r="K595" s="40"/>
      <c r="L595" s="29" t="s">
        <v>126</v>
      </c>
      <c r="M595" s="29" t="s">
        <v>126</v>
      </c>
      <c r="N595" s="29" t="s">
        <v>126</v>
      </c>
    </row>
    <row r="596" spans="2:14" x14ac:dyDescent="0.25">
      <c r="B596" s="27" t="s">
        <v>123</v>
      </c>
      <c r="C596" s="28">
        <v>12388</v>
      </c>
      <c r="D596" s="28" t="s">
        <v>1678</v>
      </c>
      <c r="E596" s="27" t="s">
        <v>32</v>
      </c>
      <c r="F596" s="6" t="s">
        <v>1095</v>
      </c>
      <c r="G596" s="28" t="s">
        <v>48</v>
      </c>
      <c r="H596" s="28" t="s">
        <v>129</v>
      </c>
      <c r="I596" s="115">
        <v>89</v>
      </c>
      <c r="J596" s="27"/>
      <c r="K596" s="40"/>
      <c r="L596" s="29" t="s">
        <v>126</v>
      </c>
      <c r="M596" s="29" t="s">
        <v>126</v>
      </c>
      <c r="N596" s="29" t="s">
        <v>126</v>
      </c>
    </row>
    <row r="597" spans="2:14" x14ac:dyDescent="0.25">
      <c r="B597" s="27" t="s">
        <v>123</v>
      </c>
      <c r="C597" s="28">
        <v>65882</v>
      </c>
      <c r="D597" s="28" t="s">
        <v>1679</v>
      </c>
      <c r="E597" s="27" t="s">
        <v>32</v>
      </c>
      <c r="F597" s="6" t="s">
        <v>1095</v>
      </c>
      <c r="G597" s="28" t="s">
        <v>48</v>
      </c>
      <c r="H597" s="28" t="s">
        <v>129</v>
      </c>
      <c r="I597" s="115">
        <v>229</v>
      </c>
      <c r="J597" s="27"/>
      <c r="K597" s="40"/>
      <c r="L597" s="29" t="s">
        <v>126</v>
      </c>
      <c r="M597" s="29" t="s">
        <v>126</v>
      </c>
      <c r="N597" s="29" t="s">
        <v>126</v>
      </c>
    </row>
    <row r="598" spans="2:14" x14ac:dyDescent="0.25">
      <c r="B598" s="27" t="s">
        <v>123</v>
      </c>
      <c r="C598" s="28">
        <v>81797</v>
      </c>
      <c r="D598" s="28" t="s">
        <v>1680</v>
      </c>
      <c r="E598" s="27" t="s">
        <v>32</v>
      </c>
      <c r="F598" s="6" t="s">
        <v>1095</v>
      </c>
      <c r="G598" s="28" t="s">
        <v>48</v>
      </c>
      <c r="H598" s="28" t="s">
        <v>129</v>
      </c>
      <c r="I598" s="115">
        <v>199</v>
      </c>
      <c r="J598" s="27"/>
      <c r="K598" s="40"/>
      <c r="L598" s="29" t="s">
        <v>126</v>
      </c>
      <c r="M598" s="29" t="s">
        <v>126</v>
      </c>
      <c r="N598" s="29" t="s">
        <v>126</v>
      </c>
    </row>
    <row r="599" spans="2:14" x14ac:dyDescent="0.25">
      <c r="B599" s="27" t="s">
        <v>123</v>
      </c>
      <c r="C599" s="28">
        <v>584911</v>
      </c>
      <c r="D599" s="28" t="s">
        <v>1681</v>
      </c>
      <c r="E599" s="27" t="s">
        <v>32</v>
      </c>
      <c r="F599" s="6" t="s">
        <v>1095</v>
      </c>
      <c r="G599" s="28" t="s">
        <v>48</v>
      </c>
      <c r="H599" s="28" t="s">
        <v>129</v>
      </c>
      <c r="I599" s="115">
        <v>69</v>
      </c>
      <c r="J599" s="27"/>
      <c r="K599" s="40"/>
      <c r="L599" s="29" t="s">
        <v>126</v>
      </c>
      <c r="M599" s="29" t="s">
        <v>126</v>
      </c>
      <c r="N599" s="29" t="s">
        <v>126</v>
      </c>
    </row>
    <row r="600" spans="2:14" x14ac:dyDescent="0.25">
      <c r="B600" s="27" t="s">
        <v>123</v>
      </c>
      <c r="C600" s="28">
        <v>597293</v>
      </c>
      <c r="D600" s="28" t="s">
        <v>1682</v>
      </c>
      <c r="E600" s="27" t="s">
        <v>32</v>
      </c>
      <c r="F600" s="6" t="s">
        <v>1095</v>
      </c>
      <c r="G600" s="28" t="s">
        <v>48</v>
      </c>
      <c r="H600" s="28" t="s">
        <v>129</v>
      </c>
      <c r="I600" s="115">
        <v>219</v>
      </c>
      <c r="J600" s="27"/>
      <c r="K600" s="40"/>
      <c r="L600" s="29" t="s">
        <v>126</v>
      </c>
      <c r="M600" s="29" t="s">
        <v>126</v>
      </c>
      <c r="N600" s="29" t="s">
        <v>126</v>
      </c>
    </row>
    <row r="601" spans="2:14" x14ac:dyDescent="0.25">
      <c r="B601" s="27" t="s">
        <v>123</v>
      </c>
      <c r="C601" s="28">
        <v>61231</v>
      </c>
      <c r="D601" s="28" t="s">
        <v>1683</v>
      </c>
      <c r="E601" s="27" t="s">
        <v>32</v>
      </c>
      <c r="F601" s="6" t="s">
        <v>1095</v>
      </c>
      <c r="G601" s="28" t="s">
        <v>48</v>
      </c>
      <c r="H601" s="28" t="s">
        <v>129</v>
      </c>
      <c r="I601" s="115">
        <v>189</v>
      </c>
      <c r="J601" s="27"/>
      <c r="K601" s="40"/>
      <c r="L601" s="29" t="s">
        <v>126</v>
      </c>
      <c r="M601" s="29" t="s">
        <v>126</v>
      </c>
      <c r="N601" s="29" t="s">
        <v>126</v>
      </c>
    </row>
    <row r="602" spans="2:14" x14ac:dyDescent="0.25">
      <c r="B602" s="27" t="s">
        <v>123</v>
      </c>
      <c r="C602" s="28">
        <v>602431</v>
      </c>
      <c r="D602" s="28" t="s">
        <v>1684</v>
      </c>
      <c r="E602" s="27" t="s">
        <v>32</v>
      </c>
      <c r="F602" s="6" t="s">
        <v>1095</v>
      </c>
      <c r="G602" s="28" t="s">
        <v>48</v>
      </c>
      <c r="H602" s="28" t="s">
        <v>129</v>
      </c>
      <c r="I602" s="115">
        <v>379</v>
      </c>
      <c r="J602" s="27"/>
      <c r="K602" s="40"/>
      <c r="L602" s="29" t="s">
        <v>126</v>
      </c>
      <c r="M602" s="29" t="s">
        <v>126</v>
      </c>
      <c r="N602" s="29" t="s">
        <v>126</v>
      </c>
    </row>
    <row r="603" spans="2:14" x14ac:dyDescent="0.25">
      <c r="B603" s="27" t="s">
        <v>123</v>
      </c>
      <c r="C603" s="28">
        <v>68052</v>
      </c>
      <c r="D603" s="28" t="s">
        <v>1685</v>
      </c>
      <c r="E603" s="27" t="s">
        <v>32</v>
      </c>
      <c r="F603" s="6" t="s">
        <v>1095</v>
      </c>
      <c r="G603" s="28" t="s">
        <v>48</v>
      </c>
      <c r="H603" s="28" t="s">
        <v>129</v>
      </c>
      <c r="I603" s="115">
        <v>699</v>
      </c>
      <c r="J603" s="27"/>
      <c r="K603" s="40"/>
      <c r="L603" s="29" t="s">
        <v>126</v>
      </c>
      <c r="M603" s="29" t="s">
        <v>126</v>
      </c>
      <c r="N603" s="29" t="s">
        <v>126</v>
      </c>
    </row>
    <row r="604" spans="2:14" x14ac:dyDescent="0.25">
      <c r="B604" s="27" t="s">
        <v>123</v>
      </c>
      <c r="C604" s="28">
        <v>60843</v>
      </c>
      <c r="D604" s="28" t="s">
        <v>1686</v>
      </c>
      <c r="E604" s="27" t="s">
        <v>32</v>
      </c>
      <c r="F604" s="6" t="s">
        <v>1095</v>
      </c>
      <c r="G604" s="28" t="s">
        <v>48</v>
      </c>
      <c r="H604" s="28" t="s">
        <v>129</v>
      </c>
      <c r="I604" s="115">
        <v>999</v>
      </c>
      <c r="J604" s="27"/>
      <c r="K604" s="40"/>
      <c r="L604" s="29" t="s">
        <v>126</v>
      </c>
      <c r="M604" s="29" t="s">
        <v>126</v>
      </c>
      <c r="N604" s="29" t="s">
        <v>126</v>
      </c>
    </row>
    <row r="605" spans="2:14" x14ac:dyDescent="0.25">
      <c r="B605" s="27" t="s">
        <v>123</v>
      </c>
      <c r="C605" s="28">
        <v>76110</v>
      </c>
      <c r="D605" s="28" t="s">
        <v>1687</v>
      </c>
      <c r="E605" s="27" t="s">
        <v>32</v>
      </c>
      <c r="F605" s="6" t="s">
        <v>1095</v>
      </c>
      <c r="G605" s="28" t="s">
        <v>48</v>
      </c>
      <c r="H605" s="28" t="s">
        <v>129</v>
      </c>
      <c r="I605" s="115">
        <v>959.2</v>
      </c>
      <c r="J605" s="27"/>
      <c r="K605" s="40"/>
      <c r="L605" s="29" t="s">
        <v>126</v>
      </c>
      <c r="M605" s="29" t="s">
        <v>126</v>
      </c>
      <c r="N605" s="29" t="s">
        <v>126</v>
      </c>
    </row>
    <row r="606" spans="2:14" x14ac:dyDescent="0.25">
      <c r="B606" s="27" t="s">
        <v>123</v>
      </c>
      <c r="C606" s="28">
        <v>47001</v>
      </c>
      <c r="D606" s="28" t="s">
        <v>1688</v>
      </c>
      <c r="E606" s="27" t="s">
        <v>32</v>
      </c>
      <c r="F606" s="6" t="s">
        <v>1095</v>
      </c>
      <c r="G606" s="28" t="s">
        <v>48</v>
      </c>
      <c r="H606" s="28" t="s">
        <v>129</v>
      </c>
      <c r="I606" s="115">
        <v>399</v>
      </c>
      <c r="J606" s="27"/>
      <c r="K606" s="40"/>
      <c r="L606" s="29" t="s">
        <v>126</v>
      </c>
      <c r="M606" s="29" t="s">
        <v>126</v>
      </c>
      <c r="N606" s="29" t="s">
        <v>126</v>
      </c>
    </row>
    <row r="607" spans="2:14" x14ac:dyDescent="0.25">
      <c r="B607" s="27" t="s">
        <v>123</v>
      </c>
      <c r="C607" s="28">
        <v>96630</v>
      </c>
      <c r="D607" s="28" t="s">
        <v>1689</v>
      </c>
      <c r="E607" s="27" t="s">
        <v>32</v>
      </c>
      <c r="F607" s="6" t="s">
        <v>1095</v>
      </c>
      <c r="G607" s="28" t="s">
        <v>48</v>
      </c>
      <c r="H607" s="28" t="s">
        <v>129</v>
      </c>
      <c r="I607" s="115">
        <v>79</v>
      </c>
      <c r="J607" s="27"/>
      <c r="K607" s="40"/>
      <c r="L607" s="29" t="s">
        <v>126</v>
      </c>
      <c r="M607" s="29" t="s">
        <v>126</v>
      </c>
      <c r="N607" s="29" t="s">
        <v>126</v>
      </c>
    </row>
    <row r="608" spans="2:14" x14ac:dyDescent="0.25">
      <c r="B608" s="27" t="s">
        <v>123</v>
      </c>
      <c r="C608" s="28">
        <v>582913</v>
      </c>
      <c r="D608" s="28" t="s">
        <v>1690</v>
      </c>
      <c r="E608" s="27" t="s">
        <v>32</v>
      </c>
      <c r="F608" s="6" t="s">
        <v>1095</v>
      </c>
      <c r="G608" s="28" t="s">
        <v>48</v>
      </c>
      <c r="H608" s="28" t="s">
        <v>129</v>
      </c>
      <c r="I608" s="115">
        <v>349</v>
      </c>
      <c r="J608" s="27"/>
      <c r="K608" s="40"/>
      <c r="L608" s="29" t="s">
        <v>126</v>
      </c>
      <c r="M608" s="29" t="s">
        <v>126</v>
      </c>
      <c r="N608" s="29" t="s">
        <v>126</v>
      </c>
    </row>
    <row r="609" spans="2:14" x14ac:dyDescent="0.25">
      <c r="B609" s="27" t="s">
        <v>123</v>
      </c>
      <c r="C609" s="28">
        <v>67197</v>
      </c>
      <c r="D609" s="28" t="s">
        <v>1691</v>
      </c>
      <c r="E609" s="27" t="s">
        <v>32</v>
      </c>
      <c r="F609" s="6" t="s">
        <v>1095</v>
      </c>
      <c r="G609" s="28" t="s">
        <v>48</v>
      </c>
      <c r="H609" s="28" t="s">
        <v>129</v>
      </c>
      <c r="I609" s="115">
        <v>239</v>
      </c>
      <c r="J609" s="27"/>
      <c r="K609" s="40"/>
      <c r="L609" s="29" t="s">
        <v>126</v>
      </c>
      <c r="M609" s="29" t="s">
        <v>126</v>
      </c>
      <c r="N609" s="29" t="s">
        <v>126</v>
      </c>
    </row>
    <row r="610" spans="2:14" x14ac:dyDescent="0.25">
      <c r="B610" s="27" t="s">
        <v>123</v>
      </c>
      <c r="C610" s="28">
        <v>481769</v>
      </c>
      <c r="D610" s="28" t="s">
        <v>1692</v>
      </c>
      <c r="E610" s="27" t="s">
        <v>32</v>
      </c>
      <c r="F610" s="6" t="s">
        <v>1095</v>
      </c>
      <c r="G610" s="28" t="s">
        <v>48</v>
      </c>
      <c r="H610" s="28" t="s">
        <v>129</v>
      </c>
      <c r="I610" s="115">
        <v>479</v>
      </c>
      <c r="J610" s="27"/>
      <c r="K610" s="40"/>
      <c r="L610" s="29" t="s">
        <v>126</v>
      </c>
      <c r="M610" s="29" t="s">
        <v>126</v>
      </c>
      <c r="N610" s="29" t="s">
        <v>126</v>
      </c>
    </row>
    <row r="611" spans="2:14" x14ac:dyDescent="0.25">
      <c r="B611" s="27" t="s">
        <v>123</v>
      </c>
      <c r="C611" s="28">
        <v>5373</v>
      </c>
      <c r="D611" s="28" t="s">
        <v>1693</v>
      </c>
      <c r="E611" s="27" t="s">
        <v>32</v>
      </c>
      <c r="F611" s="6" t="s">
        <v>1095</v>
      </c>
      <c r="G611" s="28" t="s">
        <v>48</v>
      </c>
      <c r="H611" s="28" t="s">
        <v>129</v>
      </c>
      <c r="I611" s="115">
        <v>329</v>
      </c>
      <c r="J611" s="27"/>
      <c r="K611" s="40"/>
      <c r="L611" s="29" t="s">
        <v>126</v>
      </c>
      <c r="M611" s="29" t="s">
        <v>126</v>
      </c>
      <c r="N611" s="29" t="s">
        <v>126</v>
      </c>
    </row>
    <row r="612" spans="2:14" x14ac:dyDescent="0.25">
      <c r="B612" s="27" t="s">
        <v>123</v>
      </c>
      <c r="C612" s="28">
        <v>604192</v>
      </c>
      <c r="D612" s="28" t="s">
        <v>1694</v>
      </c>
      <c r="E612" s="27" t="s">
        <v>32</v>
      </c>
      <c r="F612" s="6" t="s">
        <v>1095</v>
      </c>
      <c r="G612" s="28" t="s">
        <v>48</v>
      </c>
      <c r="H612" s="28" t="s">
        <v>129</v>
      </c>
      <c r="I612" s="115">
        <v>125</v>
      </c>
      <c r="J612" s="27"/>
      <c r="K612" s="40"/>
      <c r="L612" s="29" t="s">
        <v>126</v>
      </c>
      <c r="M612" s="29" t="s">
        <v>126</v>
      </c>
      <c r="N612" s="29" t="s">
        <v>126</v>
      </c>
    </row>
    <row r="613" spans="2:14" x14ac:dyDescent="0.25">
      <c r="B613" s="27" t="s">
        <v>123</v>
      </c>
      <c r="C613" s="28">
        <v>604193</v>
      </c>
      <c r="D613" s="28" t="s">
        <v>1695</v>
      </c>
      <c r="E613" s="27" t="s">
        <v>32</v>
      </c>
      <c r="F613" s="6" t="s">
        <v>1095</v>
      </c>
      <c r="G613" s="28" t="s">
        <v>48</v>
      </c>
      <c r="H613" s="28" t="s">
        <v>129</v>
      </c>
      <c r="I613" s="115">
        <v>125</v>
      </c>
      <c r="J613" s="27"/>
      <c r="K613" s="40"/>
      <c r="L613" s="29" t="s">
        <v>126</v>
      </c>
      <c r="M613" s="29" t="s">
        <v>126</v>
      </c>
      <c r="N613" s="29" t="s">
        <v>126</v>
      </c>
    </row>
    <row r="614" spans="2:14" x14ac:dyDescent="0.25">
      <c r="B614" s="27" t="s">
        <v>123</v>
      </c>
      <c r="C614" s="28">
        <v>1632</v>
      </c>
      <c r="D614" s="28" t="s">
        <v>1696</v>
      </c>
      <c r="E614" s="27" t="s">
        <v>32</v>
      </c>
      <c r="F614" s="6" t="s">
        <v>1095</v>
      </c>
      <c r="G614" s="28" t="s">
        <v>48</v>
      </c>
      <c r="H614" s="28" t="s">
        <v>129</v>
      </c>
      <c r="I614" s="115">
        <v>175</v>
      </c>
      <c r="J614" s="27"/>
      <c r="K614" s="40"/>
      <c r="L614" s="29" t="s">
        <v>126</v>
      </c>
      <c r="M614" s="29" t="s">
        <v>126</v>
      </c>
      <c r="N614" s="29" t="s">
        <v>126</v>
      </c>
    </row>
    <row r="615" spans="2:14" x14ac:dyDescent="0.25">
      <c r="B615" s="27" t="s">
        <v>123</v>
      </c>
      <c r="C615" s="28">
        <v>71766</v>
      </c>
      <c r="D615" s="28" t="s">
        <v>1697</v>
      </c>
      <c r="E615" s="27" t="s">
        <v>32</v>
      </c>
      <c r="F615" s="6" t="s">
        <v>1095</v>
      </c>
      <c r="G615" s="28" t="s">
        <v>48</v>
      </c>
      <c r="H615" s="28" t="s">
        <v>129</v>
      </c>
      <c r="I615" s="115">
        <v>175</v>
      </c>
      <c r="J615" s="27"/>
      <c r="K615" s="40"/>
      <c r="L615" s="29" t="s">
        <v>126</v>
      </c>
      <c r="M615" s="29" t="s">
        <v>126</v>
      </c>
      <c r="N615" s="29" t="s">
        <v>126</v>
      </c>
    </row>
    <row r="616" spans="2:14" x14ac:dyDescent="0.25">
      <c r="B616" s="27" t="s">
        <v>123</v>
      </c>
      <c r="C616" s="28">
        <v>71767</v>
      </c>
      <c r="D616" s="28" t="s">
        <v>1698</v>
      </c>
      <c r="E616" s="27" t="s">
        <v>32</v>
      </c>
      <c r="F616" s="6" t="s">
        <v>1095</v>
      </c>
      <c r="G616" s="28" t="s">
        <v>48</v>
      </c>
      <c r="H616" s="28" t="s">
        <v>129</v>
      </c>
      <c r="I616" s="115">
        <v>175</v>
      </c>
      <c r="J616" s="27"/>
      <c r="K616" s="40"/>
      <c r="L616" s="29" t="s">
        <v>126</v>
      </c>
      <c r="M616" s="29" t="s">
        <v>126</v>
      </c>
      <c r="N616" s="29" t="s">
        <v>126</v>
      </c>
    </row>
    <row r="617" spans="2:14" x14ac:dyDescent="0.25">
      <c r="B617" s="27" t="s">
        <v>123</v>
      </c>
      <c r="C617" s="28">
        <v>71769</v>
      </c>
      <c r="D617" s="28" t="s">
        <v>1699</v>
      </c>
      <c r="E617" s="27" t="s">
        <v>32</v>
      </c>
      <c r="F617" s="6" t="s">
        <v>1095</v>
      </c>
      <c r="G617" s="28" t="s">
        <v>48</v>
      </c>
      <c r="H617" s="28" t="s">
        <v>129</v>
      </c>
      <c r="I617" s="115">
        <v>175</v>
      </c>
      <c r="J617" s="27"/>
      <c r="K617" s="40"/>
      <c r="L617" s="29" t="s">
        <v>126</v>
      </c>
      <c r="M617" s="29" t="s">
        <v>126</v>
      </c>
      <c r="N617" s="29" t="s">
        <v>126</v>
      </c>
    </row>
    <row r="618" spans="2:14" x14ac:dyDescent="0.25">
      <c r="B618" s="27" t="s">
        <v>123</v>
      </c>
      <c r="C618" s="28">
        <v>71774</v>
      </c>
      <c r="D618" s="28" t="s">
        <v>1700</v>
      </c>
      <c r="E618" s="27" t="s">
        <v>32</v>
      </c>
      <c r="F618" s="6" t="s">
        <v>1095</v>
      </c>
      <c r="G618" s="28" t="s">
        <v>48</v>
      </c>
      <c r="H618" s="28" t="s">
        <v>129</v>
      </c>
      <c r="I618" s="115">
        <v>479</v>
      </c>
      <c r="J618" s="27"/>
      <c r="K618" s="40"/>
      <c r="L618" s="29" t="s">
        <v>126</v>
      </c>
      <c r="M618" s="29" t="s">
        <v>126</v>
      </c>
      <c r="N618" s="29" t="s">
        <v>126</v>
      </c>
    </row>
    <row r="619" spans="2:14" x14ac:dyDescent="0.25">
      <c r="B619" s="27" t="s">
        <v>123</v>
      </c>
      <c r="C619" s="28">
        <v>79333</v>
      </c>
      <c r="D619" s="28" t="s">
        <v>1701</v>
      </c>
      <c r="E619" s="27" t="s">
        <v>32</v>
      </c>
      <c r="F619" s="6" t="s">
        <v>1095</v>
      </c>
      <c r="G619" s="28" t="s">
        <v>48</v>
      </c>
      <c r="H619" s="28" t="s">
        <v>129</v>
      </c>
      <c r="I619" s="115">
        <v>89</v>
      </c>
      <c r="J619" s="27"/>
      <c r="K619" s="40"/>
      <c r="L619" s="29" t="s">
        <v>126</v>
      </c>
      <c r="M619" s="29" t="s">
        <v>126</v>
      </c>
      <c r="N619" s="29" t="s">
        <v>126</v>
      </c>
    </row>
    <row r="620" spans="2:14" x14ac:dyDescent="0.25">
      <c r="B620" s="27" t="s">
        <v>123</v>
      </c>
      <c r="C620" s="28">
        <v>461110</v>
      </c>
      <c r="D620" s="28" t="s">
        <v>1702</v>
      </c>
      <c r="E620" s="27" t="s">
        <v>32</v>
      </c>
      <c r="F620" s="6" t="s">
        <v>1095</v>
      </c>
      <c r="G620" s="28" t="s">
        <v>48</v>
      </c>
      <c r="H620" s="28" t="s">
        <v>129</v>
      </c>
      <c r="I620" s="115">
        <v>345</v>
      </c>
      <c r="J620" s="27"/>
      <c r="K620" s="40"/>
      <c r="L620" s="29" t="s">
        <v>126</v>
      </c>
      <c r="M620" s="29" t="s">
        <v>126</v>
      </c>
      <c r="N620" s="29" t="s">
        <v>126</v>
      </c>
    </row>
    <row r="621" spans="2:14" x14ac:dyDescent="0.25">
      <c r="B621" s="27" t="s">
        <v>123</v>
      </c>
      <c r="C621" s="28">
        <v>588026</v>
      </c>
      <c r="D621" s="28" t="s">
        <v>1703</v>
      </c>
      <c r="E621" s="27" t="s">
        <v>32</v>
      </c>
      <c r="F621" s="6" t="s">
        <v>1095</v>
      </c>
      <c r="G621" s="28" t="s">
        <v>48</v>
      </c>
      <c r="H621" s="28" t="s">
        <v>129</v>
      </c>
      <c r="I621" s="115">
        <v>255</v>
      </c>
      <c r="J621" s="27"/>
      <c r="K621" s="40"/>
      <c r="L621" s="29" t="s">
        <v>126</v>
      </c>
      <c r="M621" s="29" t="s">
        <v>126</v>
      </c>
      <c r="N621" s="29" t="s">
        <v>126</v>
      </c>
    </row>
    <row r="622" spans="2:14" x14ac:dyDescent="0.25">
      <c r="B622" s="27" t="s">
        <v>123</v>
      </c>
      <c r="C622" s="28">
        <v>520028</v>
      </c>
      <c r="D622" s="28" t="s">
        <v>1704</v>
      </c>
      <c r="E622" s="27" t="s">
        <v>32</v>
      </c>
      <c r="F622" s="6" t="s">
        <v>1095</v>
      </c>
      <c r="G622" s="28" t="s">
        <v>48</v>
      </c>
      <c r="H622" s="28" t="s">
        <v>129</v>
      </c>
      <c r="I622" s="115">
        <v>75</v>
      </c>
      <c r="J622" s="27"/>
      <c r="K622" s="40"/>
      <c r="L622" s="29" t="s">
        <v>126</v>
      </c>
      <c r="M622" s="29" t="s">
        <v>126</v>
      </c>
      <c r="N622" s="29" t="s">
        <v>126</v>
      </c>
    </row>
    <row r="623" spans="2:14" x14ac:dyDescent="0.25">
      <c r="B623" s="27" t="s">
        <v>123</v>
      </c>
      <c r="C623" s="28">
        <v>400429</v>
      </c>
      <c r="D623" s="28" t="s">
        <v>1705</v>
      </c>
      <c r="E623" s="27" t="s">
        <v>32</v>
      </c>
      <c r="F623" s="6" t="s">
        <v>1095</v>
      </c>
      <c r="G623" s="28" t="s">
        <v>48</v>
      </c>
      <c r="H623" s="28" t="s">
        <v>129</v>
      </c>
      <c r="I623" s="115">
        <v>135</v>
      </c>
      <c r="J623" s="27"/>
      <c r="K623" s="40"/>
      <c r="L623" s="29" t="s">
        <v>126</v>
      </c>
      <c r="M623" s="29" t="s">
        <v>126</v>
      </c>
      <c r="N623" s="29" t="s">
        <v>126</v>
      </c>
    </row>
    <row r="624" spans="2:14" x14ac:dyDescent="0.25">
      <c r="B624" s="27" t="s">
        <v>123</v>
      </c>
      <c r="C624" s="28">
        <v>76107</v>
      </c>
      <c r="D624" s="28" t="s">
        <v>1706</v>
      </c>
      <c r="E624" s="27" t="s">
        <v>32</v>
      </c>
      <c r="F624" s="6" t="s">
        <v>1095</v>
      </c>
      <c r="G624" s="28" t="s">
        <v>48</v>
      </c>
      <c r="H624" s="28" t="s">
        <v>129</v>
      </c>
      <c r="I624" s="115">
        <v>169</v>
      </c>
      <c r="J624" s="27"/>
      <c r="K624" s="40"/>
      <c r="L624" s="29" t="s">
        <v>126</v>
      </c>
      <c r="M624" s="29" t="s">
        <v>126</v>
      </c>
      <c r="N624" s="29" t="s">
        <v>126</v>
      </c>
    </row>
    <row r="625" spans="2:14" x14ac:dyDescent="0.25">
      <c r="B625" s="27" t="s">
        <v>123</v>
      </c>
      <c r="C625" s="28">
        <v>57753</v>
      </c>
      <c r="D625" s="28" t="s">
        <v>1707</v>
      </c>
      <c r="E625" s="27" t="s">
        <v>32</v>
      </c>
      <c r="F625" s="6" t="s">
        <v>1095</v>
      </c>
      <c r="G625" s="28" t="s">
        <v>48</v>
      </c>
      <c r="H625" s="28" t="s">
        <v>129</v>
      </c>
      <c r="I625" s="115">
        <v>169</v>
      </c>
      <c r="J625" s="27"/>
      <c r="K625" s="40"/>
      <c r="L625" s="29" t="s">
        <v>126</v>
      </c>
      <c r="M625" s="29" t="s">
        <v>126</v>
      </c>
      <c r="N625" s="29" t="s">
        <v>126</v>
      </c>
    </row>
    <row r="626" spans="2:14" x14ac:dyDescent="0.25">
      <c r="B626" s="27" t="s">
        <v>123</v>
      </c>
      <c r="C626" s="28">
        <v>76136</v>
      </c>
      <c r="D626" s="28" t="s">
        <v>1708</v>
      </c>
      <c r="E626" s="27" t="s">
        <v>32</v>
      </c>
      <c r="F626" s="6" t="s">
        <v>1095</v>
      </c>
      <c r="G626" s="28" t="s">
        <v>48</v>
      </c>
      <c r="H626" s="28" t="s">
        <v>129</v>
      </c>
      <c r="I626" s="115">
        <v>145</v>
      </c>
      <c r="J626" s="27"/>
      <c r="K626" s="40"/>
      <c r="L626" s="29" t="s">
        <v>126</v>
      </c>
      <c r="M626" s="29" t="s">
        <v>126</v>
      </c>
      <c r="N626" s="29" t="s">
        <v>126</v>
      </c>
    </row>
    <row r="627" spans="2:14" x14ac:dyDescent="0.25">
      <c r="B627" s="27" t="s">
        <v>123</v>
      </c>
      <c r="C627" s="28">
        <v>76137</v>
      </c>
      <c r="D627" s="28" t="s">
        <v>1709</v>
      </c>
      <c r="E627" s="27" t="s">
        <v>32</v>
      </c>
      <c r="F627" s="6" t="s">
        <v>1095</v>
      </c>
      <c r="G627" s="28" t="s">
        <v>48</v>
      </c>
      <c r="H627" s="28" t="s">
        <v>129</v>
      </c>
      <c r="I627" s="115">
        <v>145</v>
      </c>
      <c r="J627" s="27"/>
      <c r="K627" s="40"/>
      <c r="L627" s="29" t="s">
        <v>126</v>
      </c>
      <c r="M627" s="29" t="s">
        <v>126</v>
      </c>
      <c r="N627" s="29" t="s">
        <v>126</v>
      </c>
    </row>
    <row r="628" spans="2:14" x14ac:dyDescent="0.25">
      <c r="B628" s="27" t="s">
        <v>123</v>
      </c>
      <c r="C628" s="28">
        <v>76138</v>
      </c>
      <c r="D628" s="28" t="s">
        <v>1710</v>
      </c>
      <c r="E628" s="27" t="s">
        <v>32</v>
      </c>
      <c r="F628" s="6" t="s">
        <v>1095</v>
      </c>
      <c r="G628" s="28" t="s">
        <v>48</v>
      </c>
      <c r="H628" s="28" t="s">
        <v>129</v>
      </c>
      <c r="I628" s="115">
        <v>145</v>
      </c>
      <c r="J628" s="27"/>
      <c r="K628" s="40"/>
      <c r="L628" s="29" t="s">
        <v>126</v>
      </c>
      <c r="M628" s="29" t="s">
        <v>126</v>
      </c>
      <c r="N628" s="29" t="s">
        <v>126</v>
      </c>
    </row>
    <row r="629" spans="2:14" x14ac:dyDescent="0.25">
      <c r="B629" s="27" t="s">
        <v>123</v>
      </c>
      <c r="C629" s="28">
        <v>76139</v>
      </c>
      <c r="D629" s="28" t="s">
        <v>1711</v>
      </c>
      <c r="E629" s="27" t="s">
        <v>32</v>
      </c>
      <c r="F629" s="6" t="s">
        <v>1095</v>
      </c>
      <c r="G629" s="28" t="s">
        <v>48</v>
      </c>
      <c r="H629" s="28" t="s">
        <v>129</v>
      </c>
      <c r="I629" s="115">
        <v>145</v>
      </c>
      <c r="J629" s="27"/>
      <c r="K629" s="40"/>
      <c r="L629" s="29" t="s">
        <v>126</v>
      </c>
      <c r="M629" s="29" t="s">
        <v>126</v>
      </c>
      <c r="N629" s="29" t="s">
        <v>126</v>
      </c>
    </row>
    <row r="630" spans="2:14" x14ac:dyDescent="0.25">
      <c r="B630" s="27" t="s">
        <v>123</v>
      </c>
      <c r="C630" s="28">
        <v>76140</v>
      </c>
      <c r="D630" s="28" t="s">
        <v>1712</v>
      </c>
      <c r="E630" s="27" t="s">
        <v>32</v>
      </c>
      <c r="F630" s="6" t="s">
        <v>1095</v>
      </c>
      <c r="G630" s="28" t="s">
        <v>48</v>
      </c>
      <c r="H630" s="28" t="s">
        <v>129</v>
      </c>
      <c r="I630" s="115">
        <v>145</v>
      </c>
      <c r="J630" s="27"/>
      <c r="K630" s="40"/>
      <c r="L630" s="29" t="s">
        <v>126</v>
      </c>
      <c r="M630" s="29" t="s">
        <v>126</v>
      </c>
      <c r="N630" s="29" t="s">
        <v>126</v>
      </c>
    </row>
    <row r="631" spans="2:14" x14ac:dyDescent="0.25">
      <c r="B631" s="27" t="s">
        <v>123</v>
      </c>
      <c r="C631" s="28">
        <v>502509</v>
      </c>
      <c r="D631" s="28" t="s">
        <v>1713</v>
      </c>
      <c r="E631" s="27" t="s">
        <v>32</v>
      </c>
      <c r="F631" s="6" t="s">
        <v>1095</v>
      </c>
      <c r="G631" s="28" t="s">
        <v>48</v>
      </c>
      <c r="H631" s="28" t="s">
        <v>129</v>
      </c>
      <c r="I631" s="115">
        <v>679.15</v>
      </c>
      <c r="J631" s="27"/>
      <c r="K631" s="40"/>
      <c r="L631" s="29" t="s">
        <v>126</v>
      </c>
      <c r="M631" s="29" t="s">
        <v>126</v>
      </c>
      <c r="N631" s="29" t="s">
        <v>126</v>
      </c>
    </row>
    <row r="632" spans="2:14" x14ac:dyDescent="0.25">
      <c r="B632" s="27" t="s">
        <v>123</v>
      </c>
      <c r="C632" s="28">
        <v>502511</v>
      </c>
      <c r="D632" s="28" t="s">
        <v>1714</v>
      </c>
      <c r="E632" s="27" t="s">
        <v>32</v>
      </c>
      <c r="F632" s="6" t="s">
        <v>1095</v>
      </c>
      <c r="G632" s="28" t="s">
        <v>48</v>
      </c>
      <c r="H632" s="28" t="s">
        <v>129</v>
      </c>
      <c r="I632" s="115">
        <v>1549</v>
      </c>
      <c r="J632" s="27"/>
      <c r="K632" s="40"/>
      <c r="L632" s="29" t="s">
        <v>126</v>
      </c>
      <c r="M632" s="29" t="s">
        <v>126</v>
      </c>
      <c r="N632" s="29" t="s">
        <v>126</v>
      </c>
    </row>
    <row r="633" spans="2:14" x14ac:dyDescent="0.25">
      <c r="B633" s="27" t="s">
        <v>123</v>
      </c>
      <c r="C633" s="28">
        <v>525583</v>
      </c>
      <c r="D633" s="28" t="s">
        <v>1715</v>
      </c>
      <c r="E633" s="27" t="s">
        <v>32</v>
      </c>
      <c r="F633" s="6" t="s">
        <v>1095</v>
      </c>
      <c r="G633" s="28" t="s">
        <v>48</v>
      </c>
      <c r="H633" s="28" t="s">
        <v>129</v>
      </c>
      <c r="I633" s="115">
        <v>1549</v>
      </c>
      <c r="J633" s="27"/>
      <c r="K633" s="40"/>
      <c r="L633" s="29" t="s">
        <v>126</v>
      </c>
      <c r="M633" s="29" t="s">
        <v>126</v>
      </c>
      <c r="N633" s="29" t="s">
        <v>126</v>
      </c>
    </row>
    <row r="634" spans="2:14" x14ac:dyDescent="0.25">
      <c r="B634" s="27" t="s">
        <v>123</v>
      </c>
      <c r="C634" s="28">
        <v>527012</v>
      </c>
      <c r="D634" s="28" t="s">
        <v>1716</v>
      </c>
      <c r="E634" s="27" t="s">
        <v>32</v>
      </c>
      <c r="F634" s="6" t="s">
        <v>1095</v>
      </c>
      <c r="G634" s="28" t="s">
        <v>48</v>
      </c>
      <c r="H634" s="28" t="s">
        <v>129</v>
      </c>
      <c r="I634" s="115">
        <v>1549</v>
      </c>
      <c r="J634" s="27"/>
      <c r="K634" s="40"/>
      <c r="L634" s="29" t="s">
        <v>126</v>
      </c>
      <c r="M634" s="29" t="s">
        <v>126</v>
      </c>
      <c r="N634" s="29" t="s">
        <v>126</v>
      </c>
    </row>
    <row r="635" spans="2:14" x14ac:dyDescent="0.25">
      <c r="B635" s="27" t="s">
        <v>123</v>
      </c>
      <c r="C635" s="28">
        <v>546358</v>
      </c>
      <c r="D635" s="28" t="s">
        <v>1717</v>
      </c>
      <c r="E635" s="27" t="s">
        <v>32</v>
      </c>
      <c r="F635" s="6" t="s">
        <v>1095</v>
      </c>
      <c r="G635" s="28" t="s">
        <v>48</v>
      </c>
      <c r="H635" s="28" t="s">
        <v>129</v>
      </c>
      <c r="I635" s="115">
        <v>1549</v>
      </c>
      <c r="J635" s="27"/>
      <c r="K635" s="40"/>
      <c r="L635" s="29" t="s">
        <v>126</v>
      </c>
      <c r="M635" s="29" t="s">
        <v>126</v>
      </c>
      <c r="N635" s="29" t="s">
        <v>126</v>
      </c>
    </row>
    <row r="636" spans="2:14" x14ac:dyDescent="0.25">
      <c r="B636" s="27" t="s">
        <v>123</v>
      </c>
      <c r="C636" s="28">
        <v>55664</v>
      </c>
      <c r="D636" s="28" t="s">
        <v>1718</v>
      </c>
      <c r="E636" s="27" t="s">
        <v>32</v>
      </c>
      <c r="F636" s="6" t="s">
        <v>1095</v>
      </c>
      <c r="G636" s="28" t="s">
        <v>48</v>
      </c>
      <c r="H636" s="28" t="s">
        <v>129</v>
      </c>
      <c r="I636" s="115">
        <v>125</v>
      </c>
      <c r="J636" s="27"/>
      <c r="K636" s="40"/>
      <c r="L636" s="29" t="s">
        <v>126</v>
      </c>
      <c r="M636" s="29" t="s">
        <v>126</v>
      </c>
      <c r="N636" s="29" t="s">
        <v>126</v>
      </c>
    </row>
    <row r="637" spans="2:14" x14ac:dyDescent="0.25">
      <c r="B637" s="27" t="s">
        <v>123</v>
      </c>
      <c r="C637" s="28">
        <v>570062</v>
      </c>
      <c r="D637" s="28" t="s">
        <v>1719</v>
      </c>
      <c r="E637" s="27" t="s">
        <v>32</v>
      </c>
      <c r="F637" s="6" t="s">
        <v>1095</v>
      </c>
      <c r="G637" s="28" t="s">
        <v>48</v>
      </c>
      <c r="H637" s="28" t="s">
        <v>129</v>
      </c>
      <c r="I637" s="115">
        <v>125</v>
      </c>
      <c r="J637" s="27"/>
      <c r="K637" s="40"/>
      <c r="L637" s="29" t="s">
        <v>126</v>
      </c>
      <c r="M637" s="29" t="s">
        <v>126</v>
      </c>
      <c r="N637" s="29" t="s">
        <v>126</v>
      </c>
    </row>
    <row r="638" spans="2:14" x14ac:dyDescent="0.25">
      <c r="B638" s="27" t="s">
        <v>123</v>
      </c>
      <c r="C638" s="28">
        <v>58744</v>
      </c>
      <c r="D638" s="28" t="s">
        <v>1720</v>
      </c>
      <c r="E638" s="27" t="s">
        <v>32</v>
      </c>
      <c r="F638" s="6" t="s">
        <v>1095</v>
      </c>
      <c r="G638" s="28" t="s">
        <v>48</v>
      </c>
      <c r="H638" s="28" t="s">
        <v>129</v>
      </c>
      <c r="I638" s="115">
        <v>125</v>
      </c>
      <c r="J638" s="27"/>
      <c r="K638" s="40"/>
      <c r="L638" s="29" t="s">
        <v>126</v>
      </c>
      <c r="M638" s="29" t="s">
        <v>126</v>
      </c>
      <c r="N638" s="29" t="s">
        <v>126</v>
      </c>
    </row>
    <row r="639" spans="2:14" x14ac:dyDescent="0.25">
      <c r="B639" s="27" t="s">
        <v>123</v>
      </c>
      <c r="C639" s="28">
        <v>597683</v>
      </c>
      <c r="D639" s="28" t="s">
        <v>1721</v>
      </c>
      <c r="E639" s="27" t="s">
        <v>32</v>
      </c>
      <c r="F639" s="6" t="s">
        <v>1095</v>
      </c>
      <c r="G639" s="28" t="s">
        <v>48</v>
      </c>
      <c r="H639" s="28" t="s">
        <v>129</v>
      </c>
      <c r="I639" s="115">
        <v>125</v>
      </c>
      <c r="J639" s="27"/>
      <c r="K639" s="40"/>
      <c r="L639" s="29" t="s">
        <v>126</v>
      </c>
      <c r="M639" s="29" t="s">
        <v>126</v>
      </c>
      <c r="N639" s="29" t="s">
        <v>126</v>
      </c>
    </row>
    <row r="640" spans="2:14" x14ac:dyDescent="0.25">
      <c r="B640" s="27" t="s">
        <v>123</v>
      </c>
      <c r="C640" s="28">
        <v>62305</v>
      </c>
      <c r="D640" s="28" t="s">
        <v>1722</v>
      </c>
      <c r="E640" s="27" t="s">
        <v>32</v>
      </c>
      <c r="F640" s="6" t="s">
        <v>1095</v>
      </c>
      <c r="G640" s="28" t="s">
        <v>48</v>
      </c>
      <c r="H640" s="28" t="s">
        <v>129</v>
      </c>
      <c r="I640" s="115">
        <v>125</v>
      </c>
      <c r="J640" s="27"/>
      <c r="K640" s="40"/>
      <c r="L640" s="29" t="s">
        <v>126</v>
      </c>
      <c r="M640" s="29" t="s">
        <v>126</v>
      </c>
      <c r="N640" s="29" t="s">
        <v>126</v>
      </c>
    </row>
    <row r="641" spans="2:14" x14ac:dyDescent="0.25">
      <c r="B641" s="27" t="s">
        <v>123</v>
      </c>
      <c r="C641" s="28">
        <v>62838</v>
      </c>
      <c r="D641" s="28" t="s">
        <v>1723</v>
      </c>
      <c r="E641" s="27" t="s">
        <v>32</v>
      </c>
      <c r="F641" s="6" t="s">
        <v>1095</v>
      </c>
      <c r="G641" s="28" t="s">
        <v>48</v>
      </c>
      <c r="H641" s="28" t="s">
        <v>129</v>
      </c>
      <c r="I641" s="115">
        <v>125</v>
      </c>
      <c r="J641" s="27"/>
      <c r="K641" s="40"/>
      <c r="L641" s="29" t="s">
        <v>126</v>
      </c>
      <c r="M641" s="29" t="s">
        <v>126</v>
      </c>
      <c r="N641" s="29" t="s">
        <v>126</v>
      </c>
    </row>
    <row r="642" spans="2:14" x14ac:dyDescent="0.25">
      <c r="B642" s="27" t="s">
        <v>123</v>
      </c>
      <c r="C642" s="28">
        <v>86448</v>
      </c>
      <c r="D642" s="28" t="s">
        <v>1724</v>
      </c>
      <c r="E642" s="27" t="s">
        <v>32</v>
      </c>
      <c r="F642" s="6" t="s">
        <v>1095</v>
      </c>
      <c r="G642" s="28" t="s">
        <v>48</v>
      </c>
      <c r="H642" s="28" t="s">
        <v>129</v>
      </c>
      <c r="I642" s="115">
        <v>125</v>
      </c>
      <c r="J642" s="27"/>
      <c r="K642" s="40"/>
      <c r="L642" s="29" t="s">
        <v>126</v>
      </c>
      <c r="M642" s="29" t="s">
        <v>126</v>
      </c>
      <c r="N642" s="29" t="s">
        <v>126</v>
      </c>
    </row>
    <row r="643" spans="2:14" x14ac:dyDescent="0.25">
      <c r="B643" s="27" t="s">
        <v>123</v>
      </c>
      <c r="C643" s="28">
        <v>218794</v>
      </c>
      <c r="D643" s="28" t="s">
        <v>1725</v>
      </c>
      <c r="E643" s="27" t="s">
        <v>32</v>
      </c>
      <c r="F643" s="6" t="s">
        <v>1095</v>
      </c>
      <c r="G643" s="28" t="s">
        <v>48</v>
      </c>
      <c r="H643" s="28" t="s">
        <v>129</v>
      </c>
      <c r="I643" s="115">
        <v>439</v>
      </c>
      <c r="J643" s="27"/>
      <c r="K643" s="40"/>
      <c r="L643" s="29" t="s">
        <v>126</v>
      </c>
      <c r="M643" s="29" t="s">
        <v>126</v>
      </c>
      <c r="N643" s="29" t="s">
        <v>126</v>
      </c>
    </row>
    <row r="644" spans="2:14" x14ac:dyDescent="0.25">
      <c r="B644" s="27" t="s">
        <v>123</v>
      </c>
      <c r="C644" s="28">
        <v>298833</v>
      </c>
      <c r="D644" s="28" t="s">
        <v>1726</v>
      </c>
      <c r="E644" s="27" t="s">
        <v>32</v>
      </c>
      <c r="F644" s="6" t="s">
        <v>1095</v>
      </c>
      <c r="G644" s="28" t="s">
        <v>48</v>
      </c>
      <c r="H644" s="28" t="s">
        <v>129</v>
      </c>
      <c r="I644" s="115">
        <v>439</v>
      </c>
      <c r="J644" s="27"/>
      <c r="K644" s="40"/>
      <c r="L644" s="29" t="s">
        <v>126</v>
      </c>
      <c r="M644" s="29" t="s">
        <v>126</v>
      </c>
      <c r="N644" s="29" t="s">
        <v>126</v>
      </c>
    </row>
    <row r="645" spans="2:14" x14ac:dyDescent="0.25">
      <c r="B645" s="27" t="s">
        <v>123</v>
      </c>
      <c r="C645" s="28">
        <v>308422</v>
      </c>
      <c r="D645" s="28" t="s">
        <v>1727</v>
      </c>
      <c r="E645" s="27" t="s">
        <v>32</v>
      </c>
      <c r="F645" s="6" t="s">
        <v>1095</v>
      </c>
      <c r="G645" s="28" t="s">
        <v>48</v>
      </c>
      <c r="H645" s="28" t="s">
        <v>129</v>
      </c>
      <c r="I645" s="115">
        <v>439</v>
      </c>
      <c r="J645" s="27"/>
      <c r="K645" s="40"/>
      <c r="L645" s="29" t="s">
        <v>126</v>
      </c>
      <c r="M645" s="29" t="s">
        <v>126</v>
      </c>
      <c r="N645" s="29" t="s">
        <v>126</v>
      </c>
    </row>
    <row r="646" spans="2:14" x14ac:dyDescent="0.25">
      <c r="B646" s="27" t="s">
        <v>123</v>
      </c>
      <c r="C646" s="28">
        <v>323940</v>
      </c>
      <c r="D646" s="28" t="s">
        <v>1728</v>
      </c>
      <c r="E646" s="27" t="s">
        <v>32</v>
      </c>
      <c r="F646" s="6" t="s">
        <v>1095</v>
      </c>
      <c r="G646" s="28" t="s">
        <v>48</v>
      </c>
      <c r="H646" s="28" t="s">
        <v>129</v>
      </c>
      <c r="I646" s="115">
        <v>439</v>
      </c>
      <c r="J646" s="27"/>
      <c r="K646" s="40"/>
      <c r="L646" s="29" t="s">
        <v>126</v>
      </c>
      <c r="M646" s="29" t="s">
        <v>126</v>
      </c>
      <c r="N646" s="29" t="s">
        <v>126</v>
      </c>
    </row>
    <row r="647" spans="2:14" x14ac:dyDescent="0.25">
      <c r="B647" s="27" t="s">
        <v>123</v>
      </c>
      <c r="C647" s="28">
        <v>374523</v>
      </c>
      <c r="D647" s="28" t="s">
        <v>1729</v>
      </c>
      <c r="E647" s="27" t="s">
        <v>32</v>
      </c>
      <c r="F647" s="6" t="s">
        <v>1095</v>
      </c>
      <c r="G647" s="28" t="s">
        <v>48</v>
      </c>
      <c r="H647" s="28" t="s">
        <v>129</v>
      </c>
      <c r="I647" s="115">
        <v>439</v>
      </c>
      <c r="J647" s="27"/>
      <c r="K647" s="40"/>
      <c r="L647" s="29" t="s">
        <v>126</v>
      </c>
      <c r="M647" s="29" t="s">
        <v>126</v>
      </c>
      <c r="N647" s="29" t="s">
        <v>126</v>
      </c>
    </row>
    <row r="648" spans="2:14" x14ac:dyDescent="0.25">
      <c r="B648" s="27" t="s">
        <v>123</v>
      </c>
      <c r="C648" s="28">
        <v>447102</v>
      </c>
      <c r="D648" s="28" t="s">
        <v>1730</v>
      </c>
      <c r="E648" s="27" t="s">
        <v>32</v>
      </c>
      <c r="F648" s="6" t="s">
        <v>1095</v>
      </c>
      <c r="G648" s="28" t="s">
        <v>48</v>
      </c>
      <c r="H648" s="28" t="s">
        <v>129</v>
      </c>
      <c r="I648" s="115">
        <v>439</v>
      </c>
      <c r="J648" s="27"/>
      <c r="K648" s="40"/>
      <c r="L648" s="29" t="s">
        <v>126</v>
      </c>
      <c r="M648" s="29" t="s">
        <v>126</v>
      </c>
      <c r="N648" s="29" t="s">
        <v>126</v>
      </c>
    </row>
    <row r="649" spans="2:14" x14ac:dyDescent="0.25">
      <c r="B649" s="27" t="s">
        <v>123</v>
      </c>
      <c r="C649" s="28">
        <v>454705</v>
      </c>
      <c r="D649" s="28" t="s">
        <v>1731</v>
      </c>
      <c r="E649" s="27" t="s">
        <v>32</v>
      </c>
      <c r="F649" s="6" t="s">
        <v>1095</v>
      </c>
      <c r="G649" s="28" t="s">
        <v>48</v>
      </c>
      <c r="H649" s="28" t="s">
        <v>129</v>
      </c>
      <c r="I649" s="115">
        <v>439</v>
      </c>
      <c r="J649" s="27"/>
      <c r="K649" s="40"/>
      <c r="L649" s="29" t="s">
        <v>126</v>
      </c>
      <c r="M649" s="29" t="s">
        <v>126</v>
      </c>
      <c r="N649" s="29" t="s">
        <v>126</v>
      </c>
    </row>
    <row r="650" spans="2:14" x14ac:dyDescent="0.25">
      <c r="B650" s="27" t="s">
        <v>123</v>
      </c>
      <c r="C650" s="28">
        <v>473377</v>
      </c>
      <c r="D650" s="28" t="s">
        <v>1732</v>
      </c>
      <c r="E650" s="27" t="s">
        <v>32</v>
      </c>
      <c r="F650" s="6" t="s">
        <v>1095</v>
      </c>
      <c r="G650" s="28" t="s">
        <v>48</v>
      </c>
      <c r="H650" s="28" t="s">
        <v>129</v>
      </c>
      <c r="I650" s="115">
        <v>439</v>
      </c>
      <c r="J650" s="27"/>
      <c r="K650" s="40"/>
      <c r="L650" s="29" t="s">
        <v>126</v>
      </c>
      <c r="M650" s="29" t="s">
        <v>126</v>
      </c>
      <c r="N650" s="29" t="s">
        <v>126</v>
      </c>
    </row>
    <row r="651" spans="2:14" x14ac:dyDescent="0.25">
      <c r="B651" s="27" t="s">
        <v>123</v>
      </c>
      <c r="C651" s="28">
        <v>473383</v>
      </c>
      <c r="D651" s="28" t="s">
        <v>1733</v>
      </c>
      <c r="E651" s="27" t="s">
        <v>32</v>
      </c>
      <c r="F651" s="6" t="s">
        <v>1095</v>
      </c>
      <c r="G651" s="28" t="s">
        <v>48</v>
      </c>
      <c r="H651" s="28" t="s">
        <v>129</v>
      </c>
      <c r="I651" s="115">
        <v>439</v>
      </c>
      <c r="J651" s="27"/>
      <c r="K651" s="40"/>
      <c r="L651" s="29" t="s">
        <v>126</v>
      </c>
      <c r="M651" s="29" t="s">
        <v>126</v>
      </c>
      <c r="N651" s="29" t="s">
        <v>126</v>
      </c>
    </row>
    <row r="652" spans="2:14" x14ac:dyDescent="0.25">
      <c r="B652" s="27" t="s">
        <v>123</v>
      </c>
      <c r="C652" s="28">
        <v>484165</v>
      </c>
      <c r="D652" s="28" t="s">
        <v>1734</v>
      </c>
      <c r="E652" s="27" t="s">
        <v>32</v>
      </c>
      <c r="F652" s="6" t="s">
        <v>1095</v>
      </c>
      <c r="G652" s="28" t="s">
        <v>48</v>
      </c>
      <c r="H652" s="28" t="s">
        <v>129</v>
      </c>
      <c r="I652" s="115">
        <v>439</v>
      </c>
      <c r="J652" s="27"/>
      <c r="K652" s="40"/>
      <c r="L652" s="29" t="s">
        <v>126</v>
      </c>
      <c r="M652" s="29" t="s">
        <v>126</v>
      </c>
      <c r="N652" s="29" t="s">
        <v>126</v>
      </c>
    </row>
    <row r="653" spans="2:14" x14ac:dyDescent="0.25">
      <c r="B653" s="27" t="s">
        <v>123</v>
      </c>
      <c r="C653" s="28">
        <v>484169</v>
      </c>
      <c r="D653" s="28" t="s">
        <v>1735</v>
      </c>
      <c r="E653" s="27" t="s">
        <v>32</v>
      </c>
      <c r="F653" s="6" t="s">
        <v>1095</v>
      </c>
      <c r="G653" s="28" t="s">
        <v>48</v>
      </c>
      <c r="H653" s="28" t="s">
        <v>129</v>
      </c>
      <c r="I653" s="115">
        <v>439</v>
      </c>
      <c r="J653" s="27"/>
      <c r="K653" s="40"/>
      <c r="L653" s="29" t="s">
        <v>126</v>
      </c>
      <c r="M653" s="29" t="s">
        <v>126</v>
      </c>
      <c r="N653" s="29" t="s">
        <v>126</v>
      </c>
    </row>
    <row r="654" spans="2:14" x14ac:dyDescent="0.25">
      <c r="B654" s="27" t="s">
        <v>123</v>
      </c>
      <c r="C654" s="28">
        <v>534712</v>
      </c>
      <c r="D654" s="28" t="s">
        <v>1736</v>
      </c>
      <c r="E654" s="27" t="s">
        <v>32</v>
      </c>
      <c r="F654" s="6" t="s">
        <v>1095</v>
      </c>
      <c r="G654" s="28" t="s">
        <v>48</v>
      </c>
      <c r="H654" s="28" t="s">
        <v>129</v>
      </c>
      <c r="I654" s="115">
        <v>439</v>
      </c>
      <c r="J654" s="27"/>
      <c r="K654" s="40"/>
      <c r="L654" s="29" t="s">
        <v>126</v>
      </c>
      <c r="M654" s="29" t="s">
        <v>126</v>
      </c>
      <c r="N654" s="29" t="s">
        <v>126</v>
      </c>
    </row>
    <row r="655" spans="2:14" x14ac:dyDescent="0.25">
      <c r="B655" s="27" t="s">
        <v>123</v>
      </c>
      <c r="C655" s="28">
        <v>557876</v>
      </c>
      <c r="D655" s="28" t="s">
        <v>1737</v>
      </c>
      <c r="E655" s="27" t="s">
        <v>32</v>
      </c>
      <c r="F655" s="6" t="s">
        <v>1095</v>
      </c>
      <c r="G655" s="28" t="s">
        <v>48</v>
      </c>
      <c r="H655" s="28" t="s">
        <v>129</v>
      </c>
      <c r="I655" s="115">
        <v>439</v>
      </c>
      <c r="J655" s="27"/>
      <c r="K655" s="40"/>
      <c r="L655" s="29" t="s">
        <v>126</v>
      </c>
      <c r="M655" s="29" t="s">
        <v>126</v>
      </c>
      <c r="N655" s="29" t="s">
        <v>126</v>
      </c>
    </row>
    <row r="656" spans="2:14" x14ac:dyDescent="0.25">
      <c r="B656" s="27" t="s">
        <v>123</v>
      </c>
      <c r="C656" s="28">
        <v>588554</v>
      </c>
      <c r="D656" s="28" t="s">
        <v>1738</v>
      </c>
      <c r="E656" s="27" t="s">
        <v>32</v>
      </c>
      <c r="F656" s="6" t="s">
        <v>1095</v>
      </c>
      <c r="G656" s="28" t="s">
        <v>48</v>
      </c>
      <c r="H656" s="28" t="s">
        <v>129</v>
      </c>
      <c r="I656" s="115">
        <v>439</v>
      </c>
      <c r="J656" s="27"/>
      <c r="K656" s="40"/>
      <c r="L656" s="29" t="s">
        <v>126</v>
      </c>
      <c r="M656" s="29" t="s">
        <v>126</v>
      </c>
      <c r="N656" s="29" t="s">
        <v>126</v>
      </c>
    </row>
    <row r="657" spans="2:14" x14ac:dyDescent="0.25">
      <c r="B657" s="27" t="s">
        <v>123</v>
      </c>
      <c r="C657" s="28">
        <v>603195</v>
      </c>
      <c r="D657" s="28" t="s">
        <v>1739</v>
      </c>
      <c r="E657" s="27" t="s">
        <v>32</v>
      </c>
      <c r="F657" s="6" t="s">
        <v>1095</v>
      </c>
      <c r="G657" s="28" t="s">
        <v>48</v>
      </c>
      <c r="H657" s="28" t="s">
        <v>129</v>
      </c>
      <c r="I657" s="115">
        <v>439</v>
      </c>
      <c r="J657" s="27"/>
      <c r="K657" s="40"/>
      <c r="L657" s="29" t="s">
        <v>126</v>
      </c>
      <c r="M657" s="29" t="s">
        <v>126</v>
      </c>
      <c r="N657" s="29" t="s">
        <v>126</v>
      </c>
    </row>
    <row r="658" spans="2:14" x14ac:dyDescent="0.25">
      <c r="B658" s="27" t="s">
        <v>123</v>
      </c>
      <c r="C658" s="28">
        <v>603197</v>
      </c>
      <c r="D658" s="28" t="s">
        <v>1740</v>
      </c>
      <c r="E658" s="27" t="s">
        <v>32</v>
      </c>
      <c r="F658" s="6" t="s">
        <v>1095</v>
      </c>
      <c r="G658" s="28" t="s">
        <v>48</v>
      </c>
      <c r="H658" s="28" t="s">
        <v>129</v>
      </c>
      <c r="I658" s="115">
        <v>439</v>
      </c>
      <c r="J658" s="27"/>
      <c r="K658" s="40"/>
      <c r="L658" s="29" t="s">
        <v>126</v>
      </c>
      <c r="M658" s="29" t="s">
        <v>126</v>
      </c>
      <c r="N658" s="29" t="s">
        <v>126</v>
      </c>
    </row>
    <row r="659" spans="2:14" x14ac:dyDescent="0.25">
      <c r="B659" s="27" t="s">
        <v>123</v>
      </c>
      <c r="C659" s="28">
        <v>61023</v>
      </c>
      <c r="D659" s="28" t="s">
        <v>1741</v>
      </c>
      <c r="E659" s="27" t="s">
        <v>32</v>
      </c>
      <c r="F659" s="6" t="s">
        <v>1095</v>
      </c>
      <c r="G659" s="28" t="s">
        <v>48</v>
      </c>
      <c r="H659" s="28" t="s">
        <v>129</v>
      </c>
      <c r="I659" s="115">
        <v>129</v>
      </c>
      <c r="J659" s="27"/>
      <c r="K659" s="40"/>
      <c r="L659" s="29" t="s">
        <v>126</v>
      </c>
      <c r="M659" s="29" t="s">
        <v>126</v>
      </c>
      <c r="N659" s="29" t="s">
        <v>126</v>
      </c>
    </row>
    <row r="660" spans="2:14" x14ac:dyDescent="0.25">
      <c r="B660" s="27" t="s">
        <v>123</v>
      </c>
      <c r="C660" s="28">
        <v>441461</v>
      </c>
      <c r="D660" s="28" t="s">
        <v>1742</v>
      </c>
      <c r="E660" s="27" t="s">
        <v>32</v>
      </c>
      <c r="F660" s="6" t="s">
        <v>1095</v>
      </c>
      <c r="G660" s="28" t="s">
        <v>48</v>
      </c>
      <c r="H660" s="28" t="s">
        <v>193</v>
      </c>
      <c r="I660" s="115">
        <v>159</v>
      </c>
      <c r="J660" s="27"/>
      <c r="K660" s="40"/>
      <c r="L660" s="29" t="s">
        <v>126</v>
      </c>
      <c r="M660" s="29" t="s">
        <v>126</v>
      </c>
      <c r="N660" s="29" t="s">
        <v>126</v>
      </c>
    </row>
    <row r="661" spans="2:14" x14ac:dyDescent="0.25">
      <c r="B661" s="27" t="s">
        <v>123</v>
      </c>
      <c r="C661" s="28">
        <v>504583</v>
      </c>
      <c r="D661" s="28" t="s">
        <v>488</v>
      </c>
      <c r="E661" s="27" t="s">
        <v>32</v>
      </c>
      <c r="F661" s="6" t="s">
        <v>1095</v>
      </c>
      <c r="G661" s="28" t="s">
        <v>48</v>
      </c>
      <c r="H661" s="28" t="s">
        <v>193</v>
      </c>
      <c r="I661" s="115">
        <v>199</v>
      </c>
      <c r="J661" s="27"/>
      <c r="K661" s="40"/>
      <c r="L661" s="29" t="s">
        <v>126</v>
      </c>
      <c r="M661" s="29" t="s">
        <v>126</v>
      </c>
      <c r="N661" s="29" t="s">
        <v>126</v>
      </c>
    </row>
    <row r="662" spans="2:14" x14ac:dyDescent="0.25">
      <c r="B662" s="27" t="s">
        <v>123</v>
      </c>
      <c r="C662" s="28">
        <v>519314</v>
      </c>
      <c r="D662" s="28" t="s">
        <v>442</v>
      </c>
      <c r="E662" s="27" t="s">
        <v>32</v>
      </c>
      <c r="F662" s="6" t="s">
        <v>1095</v>
      </c>
      <c r="G662" s="28" t="s">
        <v>48</v>
      </c>
      <c r="H662" s="28" t="s">
        <v>193</v>
      </c>
      <c r="I662" s="115">
        <v>65</v>
      </c>
      <c r="J662" s="27"/>
      <c r="K662" s="40"/>
      <c r="L662" s="29" t="s">
        <v>126</v>
      </c>
      <c r="M662" s="29" t="s">
        <v>126</v>
      </c>
      <c r="N662" s="29" t="s">
        <v>126</v>
      </c>
    </row>
    <row r="663" spans="2:14" x14ac:dyDescent="0.25">
      <c r="B663" s="27" t="s">
        <v>123</v>
      </c>
      <c r="C663" s="28">
        <v>519316</v>
      </c>
      <c r="D663" s="28" t="s">
        <v>440</v>
      </c>
      <c r="E663" s="27" t="s">
        <v>32</v>
      </c>
      <c r="F663" s="6" t="s">
        <v>1095</v>
      </c>
      <c r="G663" s="28" t="s">
        <v>48</v>
      </c>
      <c r="H663" s="28" t="s">
        <v>193</v>
      </c>
      <c r="I663" s="115">
        <v>65</v>
      </c>
      <c r="J663" s="27"/>
      <c r="K663" s="40"/>
      <c r="L663" s="29" t="s">
        <v>126</v>
      </c>
      <c r="M663" s="29" t="s">
        <v>126</v>
      </c>
      <c r="N663" s="29" t="s">
        <v>126</v>
      </c>
    </row>
    <row r="664" spans="2:14" x14ac:dyDescent="0.25">
      <c r="B664" s="27" t="s">
        <v>123</v>
      </c>
      <c r="C664" s="28">
        <v>519829</v>
      </c>
      <c r="D664" s="28" t="s">
        <v>1743</v>
      </c>
      <c r="E664" s="27" t="s">
        <v>32</v>
      </c>
      <c r="F664" s="6" t="s">
        <v>1095</v>
      </c>
      <c r="G664" s="28" t="s">
        <v>48</v>
      </c>
      <c r="H664" s="28" t="s">
        <v>193</v>
      </c>
      <c r="I664" s="115">
        <v>199</v>
      </c>
      <c r="J664" s="27"/>
      <c r="K664" s="40"/>
      <c r="L664" s="29" t="s">
        <v>126</v>
      </c>
      <c r="M664" s="29" t="s">
        <v>126</v>
      </c>
      <c r="N664" s="29" t="s">
        <v>126</v>
      </c>
    </row>
    <row r="665" spans="2:14" x14ac:dyDescent="0.25">
      <c r="B665" s="27" t="s">
        <v>123</v>
      </c>
      <c r="C665" s="28">
        <v>524848</v>
      </c>
      <c r="D665" s="28" t="s">
        <v>1744</v>
      </c>
      <c r="E665" s="27" t="s">
        <v>32</v>
      </c>
      <c r="F665" s="6" t="s">
        <v>1095</v>
      </c>
      <c r="G665" s="28" t="s">
        <v>48</v>
      </c>
      <c r="H665" s="28" t="s">
        <v>193</v>
      </c>
      <c r="I665" s="115">
        <v>449</v>
      </c>
      <c r="J665" s="27"/>
      <c r="K665" s="40"/>
      <c r="L665" s="29" t="s">
        <v>126</v>
      </c>
      <c r="M665" s="29" t="s">
        <v>126</v>
      </c>
      <c r="N665" s="29" t="s">
        <v>126</v>
      </c>
    </row>
    <row r="666" spans="2:14" x14ac:dyDescent="0.25">
      <c r="B666" s="27" t="s">
        <v>123</v>
      </c>
      <c r="C666" s="28">
        <v>524852</v>
      </c>
      <c r="D666" s="28" t="s">
        <v>1745</v>
      </c>
      <c r="E666" s="27" t="s">
        <v>32</v>
      </c>
      <c r="F666" s="6" t="s">
        <v>1095</v>
      </c>
      <c r="G666" s="28" t="s">
        <v>48</v>
      </c>
      <c r="H666" s="28" t="s">
        <v>193</v>
      </c>
      <c r="I666" s="115">
        <v>69</v>
      </c>
      <c r="J666" s="27"/>
      <c r="K666" s="40"/>
      <c r="L666" s="29" t="s">
        <v>126</v>
      </c>
      <c r="M666" s="29" t="s">
        <v>126</v>
      </c>
      <c r="N666" s="29" t="s">
        <v>126</v>
      </c>
    </row>
    <row r="667" spans="2:14" x14ac:dyDescent="0.25">
      <c r="B667" s="27" t="s">
        <v>123</v>
      </c>
      <c r="C667" s="28">
        <v>524853</v>
      </c>
      <c r="D667" s="28" t="s">
        <v>1746</v>
      </c>
      <c r="E667" s="27" t="s">
        <v>32</v>
      </c>
      <c r="F667" s="6" t="s">
        <v>1095</v>
      </c>
      <c r="G667" s="28" t="s">
        <v>48</v>
      </c>
      <c r="H667" s="28" t="s">
        <v>193</v>
      </c>
      <c r="I667" s="115">
        <v>69</v>
      </c>
      <c r="J667" s="27"/>
      <c r="K667" s="40"/>
      <c r="L667" s="29" t="s">
        <v>126</v>
      </c>
      <c r="M667" s="29" t="s">
        <v>126</v>
      </c>
      <c r="N667" s="29" t="s">
        <v>126</v>
      </c>
    </row>
    <row r="668" spans="2:14" x14ac:dyDescent="0.25">
      <c r="B668" s="27" t="s">
        <v>123</v>
      </c>
      <c r="C668" s="28">
        <v>524854</v>
      </c>
      <c r="D668" s="28" t="s">
        <v>1747</v>
      </c>
      <c r="E668" s="27" t="s">
        <v>32</v>
      </c>
      <c r="F668" s="6" t="s">
        <v>1095</v>
      </c>
      <c r="G668" s="28" t="s">
        <v>48</v>
      </c>
      <c r="H668" s="28" t="s">
        <v>193</v>
      </c>
      <c r="I668" s="115">
        <v>89</v>
      </c>
      <c r="J668" s="27"/>
      <c r="K668" s="40"/>
      <c r="L668" s="29" t="s">
        <v>126</v>
      </c>
      <c r="M668" s="29" t="s">
        <v>126</v>
      </c>
      <c r="N668" s="29" t="s">
        <v>126</v>
      </c>
    </row>
    <row r="669" spans="2:14" x14ac:dyDescent="0.25">
      <c r="B669" s="27" t="s">
        <v>123</v>
      </c>
      <c r="C669" s="28">
        <v>524924</v>
      </c>
      <c r="D669" s="28" t="s">
        <v>1748</v>
      </c>
      <c r="E669" s="27" t="s">
        <v>32</v>
      </c>
      <c r="F669" s="6" t="s">
        <v>1095</v>
      </c>
      <c r="G669" s="28" t="s">
        <v>48</v>
      </c>
      <c r="H669" s="28" t="s">
        <v>193</v>
      </c>
      <c r="I669" s="115">
        <v>149</v>
      </c>
      <c r="J669" s="27"/>
      <c r="K669" s="40"/>
      <c r="L669" s="29" t="s">
        <v>126</v>
      </c>
      <c r="M669" s="29" t="s">
        <v>126</v>
      </c>
      <c r="N669" s="29" t="s">
        <v>126</v>
      </c>
    </row>
    <row r="670" spans="2:14" x14ac:dyDescent="0.25">
      <c r="B670" s="27" t="s">
        <v>123</v>
      </c>
      <c r="C670" s="28">
        <v>543882</v>
      </c>
      <c r="D670" s="28" t="s">
        <v>1749</v>
      </c>
      <c r="E670" s="27" t="s">
        <v>32</v>
      </c>
      <c r="F670" s="6" t="s">
        <v>1095</v>
      </c>
      <c r="G670" s="28" t="s">
        <v>48</v>
      </c>
      <c r="H670" s="28" t="s">
        <v>193</v>
      </c>
      <c r="I670" s="115">
        <v>549</v>
      </c>
      <c r="J670" s="27"/>
      <c r="K670" s="40"/>
      <c r="L670" s="29" t="s">
        <v>126</v>
      </c>
      <c r="M670" s="29" t="s">
        <v>126</v>
      </c>
      <c r="N670" s="29" t="s">
        <v>126</v>
      </c>
    </row>
    <row r="671" spans="2:14" x14ac:dyDescent="0.25">
      <c r="B671" s="27" t="s">
        <v>123</v>
      </c>
      <c r="C671" s="28">
        <v>550261</v>
      </c>
      <c r="D671" s="28" t="s">
        <v>139</v>
      </c>
      <c r="E671" s="27" t="s">
        <v>32</v>
      </c>
      <c r="F671" s="6" t="s">
        <v>1095</v>
      </c>
      <c r="G671" s="28" t="s">
        <v>48</v>
      </c>
      <c r="H671" s="28" t="s">
        <v>193</v>
      </c>
      <c r="I671" s="115">
        <v>16</v>
      </c>
      <c r="J671" s="27"/>
      <c r="K671" s="40"/>
      <c r="L671" s="29" t="s">
        <v>126</v>
      </c>
      <c r="M671" s="29" t="s">
        <v>126</v>
      </c>
      <c r="N671" s="29" t="s">
        <v>126</v>
      </c>
    </row>
    <row r="672" spans="2:14" x14ac:dyDescent="0.25">
      <c r="B672" s="27" t="s">
        <v>123</v>
      </c>
      <c r="C672" s="28">
        <v>550263</v>
      </c>
      <c r="D672" s="28" t="s">
        <v>140</v>
      </c>
      <c r="E672" s="27" t="s">
        <v>32</v>
      </c>
      <c r="F672" s="6" t="s">
        <v>1095</v>
      </c>
      <c r="G672" s="28" t="s">
        <v>48</v>
      </c>
      <c r="H672" s="28" t="s">
        <v>193</v>
      </c>
      <c r="I672" s="115">
        <v>16</v>
      </c>
      <c r="J672" s="27"/>
      <c r="K672" s="40"/>
      <c r="L672" s="29" t="s">
        <v>126</v>
      </c>
      <c r="M672" s="29" t="s">
        <v>126</v>
      </c>
      <c r="N672" s="29" t="s">
        <v>126</v>
      </c>
    </row>
    <row r="673" spans="2:14" x14ac:dyDescent="0.25">
      <c r="B673" s="27" t="s">
        <v>123</v>
      </c>
      <c r="C673" s="28">
        <v>550397</v>
      </c>
      <c r="D673" s="28" t="s">
        <v>138</v>
      </c>
      <c r="E673" s="27" t="s">
        <v>32</v>
      </c>
      <c r="F673" s="6" t="s">
        <v>1095</v>
      </c>
      <c r="G673" s="28" t="s">
        <v>48</v>
      </c>
      <c r="H673" s="28" t="s">
        <v>193</v>
      </c>
      <c r="I673" s="115">
        <v>14</v>
      </c>
      <c r="J673" s="27"/>
      <c r="K673" s="40"/>
      <c r="L673" s="29" t="s">
        <v>126</v>
      </c>
      <c r="M673" s="29" t="s">
        <v>126</v>
      </c>
      <c r="N673" s="29" t="s">
        <v>126</v>
      </c>
    </row>
    <row r="674" spans="2:14" x14ac:dyDescent="0.25">
      <c r="B674" s="27" t="s">
        <v>123</v>
      </c>
      <c r="C674" s="28">
        <v>550398</v>
      </c>
      <c r="D674" s="28" t="s">
        <v>143</v>
      </c>
      <c r="E674" s="27" t="s">
        <v>32</v>
      </c>
      <c r="F674" s="6" t="s">
        <v>1095</v>
      </c>
      <c r="G674" s="28" t="s">
        <v>48</v>
      </c>
      <c r="H674" s="28" t="s">
        <v>193</v>
      </c>
      <c r="I674" s="115">
        <v>16</v>
      </c>
      <c r="J674" s="27"/>
      <c r="K674" s="40"/>
      <c r="L674" s="29" t="s">
        <v>126</v>
      </c>
      <c r="M674" s="29" t="s">
        <v>126</v>
      </c>
      <c r="N674" s="29" t="s">
        <v>126</v>
      </c>
    </row>
    <row r="675" spans="2:14" x14ac:dyDescent="0.25">
      <c r="B675" s="27" t="s">
        <v>123</v>
      </c>
      <c r="C675" s="28">
        <v>550399</v>
      </c>
      <c r="D675" s="28" t="s">
        <v>144</v>
      </c>
      <c r="E675" s="27" t="s">
        <v>32</v>
      </c>
      <c r="F675" s="6" t="s">
        <v>1095</v>
      </c>
      <c r="G675" s="28" t="s">
        <v>48</v>
      </c>
      <c r="H675" s="28" t="s">
        <v>193</v>
      </c>
      <c r="I675" s="115">
        <v>16</v>
      </c>
      <c r="J675" s="27"/>
      <c r="K675" s="40"/>
      <c r="L675" s="29" t="s">
        <v>126</v>
      </c>
      <c r="M675" s="29" t="s">
        <v>126</v>
      </c>
      <c r="N675" s="29" t="s">
        <v>126</v>
      </c>
    </row>
    <row r="676" spans="2:14" x14ac:dyDescent="0.25">
      <c r="B676" s="27" t="s">
        <v>123</v>
      </c>
      <c r="C676" s="28">
        <v>550400</v>
      </c>
      <c r="D676" s="28" t="s">
        <v>142</v>
      </c>
      <c r="E676" s="27" t="s">
        <v>32</v>
      </c>
      <c r="F676" s="6" t="s">
        <v>1095</v>
      </c>
      <c r="G676" s="28" t="s">
        <v>48</v>
      </c>
      <c r="H676" s="28" t="s">
        <v>193</v>
      </c>
      <c r="I676" s="115">
        <v>16</v>
      </c>
      <c r="J676" s="27"/>
      <c r="K676" s="40"/>
      <c r="L676" s="29" t="s">
        <v>126</v>
      </c>
      <c r="M676" s="29" t="s">
        <v>126</v>
      </c>
      <c r="N676" s="29" t="s">
        <v>126</v>
      </c>
    </row>
    <row r="677" spans="2:14" x14ac:dyDescent="0.25">
      <c r="B677" s="27" t="s">
        <v>123</v>
      </c>
      <c r="C677" s="28">
        <v>550401</v>
      </c>
      <c r="D677" s="28" t="s">
        <v>141</v>
      </c>
      <c r="E677" s="27" t="s">
        <v>32</v>
      </c>
      <c r="F677" s="6" t="s">
        <v>1095</v>
      </c>
      <c r="G677" s="28" t="s">
        <v>48</v>
      </c>
      <c r="H677" s="28" t="s">
        <v>193</v>
      </c>
      <c r="I677" s="115">
        <v>16</v>
      </c>
      <c r="J677" s="27"/>
      <c r="K677" s="40"/>
      <c r="L677" s="29" t="s">
        <v>126</v>
      </c>
      <c r="M677" s="29" t="s">
        <v>126</v>
      </c>
      <c r="N677" s="29" t="s">
        <v>126</v>
      </c>
    </row>
    <row r="678" spans="2:14" x14ac:dyDescent="0.25">
      <c r="B678" s="27" t="s">
        <v>123</v>
      </c>
      <c r="C678" s="28">
        <v>561072</v>
      </c>
      <c r="D678" s="28" t="s">
        <v>1750</v>
      </c>
      <c r="E678" s="27" t="s">
        <v>32</v>
      </c>
      <c r="F678" s="6" t="s">
        <v>1095</v>
      </c>
      <c r="G678" s="28" t="s">
        <v>48</v>
      </c>
      <c r="H678" s="28" t="s">
        <v>193</v>
      </c>
      <c r="I678" s="115">
        <v>599</v>
      </c>
      <c r="J678" s="27"/>
      <c r="K678" s="40"/>
      <c r="L678" s="29" t="s">
        <v>126</v>
      </c>
      <c r="M678" s="29" t="s">
        <v>126</v>
      </c>
      <c r="N678" s="29" t="s">
        <v>126</v>
      </c>
    </row>
    <row r="679" spans="2:14" x14ac:dyDescent="0.25">
      <c r="B679" s="27" t="s">
        <v>123</v>
      </c>
      <c r="C679" s="28">
        <v>562340</v>
      </c>
      <c r="D679" s="28" t="s">
        <v>1751</v>
      </c>
      <c r="E679" s="27" t="s">
        <v>32</v>
      </c>
      <c r="F679" s="6" t="s">
        <v>1095</v>
      </c>
      <c r="G679" s="28" t="s">
        <v>48</v>
      </c>
      <c r="H679" s="28" t="s">
        <v>193</v>
      </c>
      <c r="I679" s="115">
        <v>139</v>
      </c>
      <c r="J679" s="27"/>
      <c r="K679" s="40"/>
      <c r="L679" s="29" t="s">
        <v>126</v>
      </c>
      <c r="M679" s="29" t="s">
        <v>126</v>
      </c>
      <c r="N679" s="29" t="s">
        <v>126</v>
      </c>
    </row>
    <row r="680" spans="2:14" x14ac:dyDescent="0.25">
      <c r="B680" s="27" t="s">
        <v>123</v>
      </c>
      <c r="C680" s="28">
        <v>565828</v>
      </c>
      <c r="D680" s="28" t="s">
        <v>1752</v>
      </c>
      <c r="E680" s="27" t="s">
        <v>32</v>
      </c>
      <c r="F680" s="6" t="s">
        <v>1095</v>
      </c>
      <c r="G680" s="28" t="s">
        <v>48</v>
      </c>
      <c r="H680" s="28" t="s">
        <v>193</v>
      </c>
      <c r="I680" s="115">
        <v>559</v>
      </c>
      <c r="J680" s="27"/>
      <c r="K680" s="40"/>
      <c r="L680" s="29" t="s">
        <v>126</v>
      </c>
      <c r="M680" s="29" t="s">
        <v>126</v>
      </c>
      <c r="N680" s="29" t="s">
        <v>126</v>
      </c>
    </row>
    <row r="681" spans="2:14" x14ac:dyDescent="0.25">
      <c r="B681" s="27" t="s">
        <v>123</v>
      </c>
      <c r="C681" s="28">
        <v>575875</v>
      </c>
      <c r="D681" s="28" t="s">
        <v>791</v>
      </c>
      <c r="E681" s="27" t="s">
        <v>32</v>
      </c>
      <c r="F681" s="6" t="s">
        <v>1095</v>
      </c>
      <c r="G681" s="28" t="s">
        <v>48</v>
      </c>
      <c r="H681" s="28" t="s">
        <v>193</v>
      </c>
      <c r="I681" s="115">
        <v>55</v>
      </c>
      <c r="J681" s="27"/>
      <c r="K681" s="40"/>
      <c r="L681" s="29" t="s">
        <v>126</v>
      </c>
      <c r="M681" s="29" t="s">
        <v>126</v>
      </c>
      <c r="N681" s="29" t="s">
        <v>126</v>
      </c>
    </row>
    <row r="682" spans="2:14" x14ac:dyDescent="0.25">
      <c r="B682" s="27" t="s">
        <v>123</v>
      </c>
      <c r="C682" s="28">
        <v>575876</v>
      </c>
      <c r="D682" s="28" t="s">
        <v>789</v>
      </c>
      <c r="E682" s="27" t="s">
        <v>32</v>
      </c>
      <c r="F682" s="6" t="s">
        <v>1095</v>
      </c>
      <c r="G682" s="28" t="s">
        <v>48</v>
      </c>
      <c r="H682" s="28" t="s">
        <v>193</v>
      </c>
      <c r="I682" s="115">
        <v>55</v>
      </c>
      <c r="J682" s="27"/>
      <c r="K682" s="40"/>
      <c r="L682" s="29" t="s">
        <v>126</v>
      </c>
      <c r="M682" s="29" t="s">
        <v>126</v>
      </c>
      <c r="N682" s="29" t="s">
        <v>126</v>
      </c>
    </row>
    <row r="683" spans="2:14" x14ac:dyDescent="0.25">
      <c r="B683" s="27" t="s">
        <v>123</v>
      </c>
      <c r="C683" s="28">
        <v>575877</v>
      </c>
      <c r="D683" s="28" t="s">
        <v>790</v>
      </c>
      <c r="E683" s="27" t="s">
        <v>32</v>
      </c>
      <c r="F683" s="6" t="s">
        <v>1095</v>
      </c>
      <c r="G683" s="28" t="s">
        <v>48</v>
      </c>
      <c r="H683" s="28" t="s">
        <v>193</v>
      </c>
      <c r="I683" s="115">
        <v>55</v>
      </c>
      <c r="J683" s="27"/>
      <c r="K683" s="40"/>
      <c r="L683" s="29" t="s">
        <v>126</v>
      </c>
      <c r="M683" s="29" t="s">
        <v>126</v>
      </c>
      <c r="N683" s="29" t="s">
        <v>126</v>
      </c>
    </row>
    <row r="684" spans="2:14" x14ac:dyDescent="0.25">
      <c r="B684" s="27" t="s">
        <v>123</v>
      </c>
      <c r="C684" s="28">
        <v>579832</v>
      </c>
      <c r="D684" s="28" t="s">
        <v>1753</v>
      </c>
      <c r="E684" s="27" t="s">
        <v>32</v>
      </c>
      <c r="F684" s="6" t="s">
        <v>1095</v>
      </c>
      <c r="G684" s="28" t="s">
        <v>48</v>
      </c>
      <c r="H684" s="28" t="s">
        <v>193</v>
      </c>
      <c r="I684" s="115">
        <v>499</v>
      </c>
      <c r="J684" s="27"/>
      <c r="K684" s="40"/>
      <c r="L684" s="29" t="s">
        <v>126</v>
      </c>
      <c r="M684" s="29" t="s">
        <v>126</v>
      </c>
      <c r="N684" s="29" t="s">
        <v>126</v>
      </c>
    </row>
    <row r="685" spans="2:14" x14ac:dyDescent="0.25">
      <c r="B685" s="27" t="s">
        <v>123</v>
      </c>
      <c r="C685" s="28">
        <v>579834</v>
      </c>
      <c r="D685" s="28" t="s">
        <v>1754</v>
      </c>
      <c r="E685" s="27" t="s">
        <v>32</v>
      </c>
      <c r="F685" s="6" t="s">
        <v>1095</v>
      </c>
      <c r="G685" s="28" t="s">
        <v>48</v>
      </c>
      <c r="H685" s="28" t="s">
        <v>193</v>
      </c>
      <c r="I685" s="115">
        <v>699</v>
      </c>
      <c r="J685" s="27"/>
      <c r="K685" s="40"/>
      <c r="L685" s="29" t="s">
        <v>126</v>
      </c>
      <c r="M685" s="29" t="s">
        <v>126</v>
      </c>
      <c r="N685" s="29" t="s">
        <v>126</v>
      </c>
    </row>
    <row r="686" spans="2:14" x14ac:dyDescent="0.25">
      <c r="B686" s="27" t="s">
        <v>123</v>
      </c>
      <c r="C686" s="28">
        <v>579913</v>
      </c>
      <c r="D686" s="28" t="s">
        <v>1755</v>
      </c>
      <c r="E686" s="27" t="s">
        <v>32</v>
      </c>
      <c r="F686" s="6" t="s">
        <v>1095</v>
      </c>
      <c r="G686" s="28" t="s">
        <v>48</v>
      </c>
      <c r="H686" s="28" t="s">
        <v>193</v>
      </c>
      <c r="I686" s="115">
        <v>159</v>
      </c>
      <c r="J686" s="27"/>
      <c r="K686" s="40"/>
      <c r="L686" s="29" t="s">
        <v>126</v>
      </c>
      <c r="M686" s="29" t="s">
        <v>126</v>
      </c>
      <c r="N686" s="29" t="s">
        <v>126</v>
      </c>
    </row>
    <row r="687" spans="2:14" x14ac:dyDescent="0.25">
      <c r="B687" s="27" t="s">
        <v>123</v>
      </c>
      <c r="C687" s="28">
        <v>581475</v>
      </c>
      <c r="D687" s="28" t="s">
        <v>1756</v>
      </c>
      <c r="E687" s="27" t="s">
        <v>32</v>
      </c>
      <c r="F687" s="6" t="s">
        <v>1095</v>
      </c>
      <c r="G687" s="28" t="s">
        <v>48</v>
      </c>
      <c r="H687" s="28" t="s">
        <v>193</v>
      </c>
      <c r="I687" s="115">
        <v>329</v>
      </c>
      <c r="J687" s="27"/>
      <c r="K687" s="40"/>
      <c r="L687" s="29" t="s">
        <v>126</v>
      </c>
      <c r="M687" s="29" t="s">
        <v>126</v>
      </c>
      <c r="N687" s="29" t="s">
        <v>126</v>
      </c>
    </row>
    <row r="688" spans="2:14" x14ac:dyDescent="0.25">
      <c r="B688" s="27" t="s">
        <v>123</v>
      </c>
      <c r="C688" s="28">
        <v>582022</v>
      </c>
      <c r="D688" s="28" t="s">
        <v>1757</v>
      </c>
      <c r="E688" s="27" t="s">
        <v>32</v>
      </c>
      <c r="F688" s="6" t="s">
        <v>1095</v>
      </c>
      <c r="G688" s="28" t="s">
        <v>48</v>
      </c>
      <c r="H688" s="28" t="s">
        <v>193</v>
      </c>
      <c r="I688" s="115">
        <v>799</v>
      </c>
      <c r="J688" s="27"/>
      <c r="K688" s="40"/>
      <c r="L688" s="29" t="s">
        <v>126</v>
      </c>
      <c r="M688" s="29" t="s">
        <v>126</v>
      </c>
      <c r="N688" s="29" t="s">
        <v>126</v>
      </c>
    </row>
    <row r="689" spans="2:14" x14ac:dyDescent="0.25">
      <c r="B689" s="27" t="s">
        <v>123</v>
      </c>
      <c r="C689" s="28">
        <v>582338</v>
      </c>
      <c r="D689" s="28" t="s">
        <v>800</v>
      </c>
      <c r="E689" s="27" t="s">
        <v>32</v>
      </c>
      <c r="F689" s="6" t="s">
        <v>1095</v>
      </c>
      <c r="G689" s="28" t="s">
        <v>48</v>
      </c>
      <c r="H689" s="28" t="s">
        <v>193</v>
      </c>
      <c r="I689" s="115">
        <v>59</v>
      </c>
      <c r="J689" s="27"/>
      <c r="K689" s="40"/>
      <c r="L689" s="29" t="s">
        <v>126</v>
      </c>
      <c r="M689" s="29" t="s">
        <v>126</v>
      </c>
      <c r="N689" s="29" t="s">
        <v>126</v>
      </c>
    </row>
    <row r="690" spans="2:14" x14ac:dyDescent="0.25">
      <c r="B690" s="27" t="s">
        <v>123</v>
      </c>
      <c r="C690" s="28">
        <v>582734</v>
      </c>
      <c r="D690" s="28" t="s">
        <v>1758</v>
      </c>
      <c r="E690" s="27" t="s">
        <v>32</v>
      </c>
      <c r="F690" s="6" t="s">
        <v>1095</v>
      </c>
      <c r="G690" s="28" t="s">
        <v>48</v>
      </c>
      <c r="H690" s="28" t="s">
        <v>193</v>
      </c>
      <c r="I690" s="115">
        <v>159</v>
      </c>
      <c r="J690" s="27"/>
      <c r="K690" s="40"/>
      <c r="L690" s="29" t="s">
        <v>126</v>
      </c>
      <c r="M690" s="29" t="s">
        <v>126</v>
      </c>
      <c r="N690" s="29" t="s">
        <v>126</v>
      </c>
    </row>
    <row r="691" spans="2:14" x14ac:dyDescent="0.25">
      <c r="B691" s="27" t="s">
        <v>123</v>
      </c>
      <c r="C691" s="28">
        <v>583108</v>
      </c>
      <c r="D691" s="28" t="s">
        <v>1759</v>
      </c>
      <c r="E691" s="27" t="s">
        <v>32</v>
      </c>
      <c r="F691" s="6" t="s">
        <v>1095</v>
      </c>
      <c r="G691" s="28" t="s">
        <v>48</v>
      </c>
      <c r="H691" s="28" t="s">
        <v>193</v>
      </c>
      <c r="I691" s="115">
        <v>599</v>
      </c>
      <c r="J691" s="27"/>
      <c r="K691" s="40"/>
      <c r="L691" s="29" t="s">
        <v>126</v>
      </c>
      <c r="M691" s="29" t="s">
        <v>126</v>
      </c>
      <c r="N691" s="29" t="s">
        <v>126</v>
      </c>
    </row>
    <row r="692" spans="2:14" x14ac:dyDescent="0.25">
      <c r="B692" s="27" t="s">
        <v>123</v>
      </c>
      <c r="C692" s="28">
        <v>583470</v>
      </c>
      <c r="D692" s="28" t="s">
        <v>1760</v>
      </c>
      <c r="E692" s="27" t="s">
        <v>32</v>
      </c>
      <c r="F692" s="6" t="s">
        <v>1095</v>
      </c>
      <c r="G692" s="28" t="s">
        <v>48</v>
      </c>
      <c r="H692" s="28" t="s">
        <v>193</v>
      </c>
      <c r="I692" s="115">
        <v>29</v>
      </c>
      <c r="J692" s="27"/>
      <c r="K692" s="40"/>
      <c r="L692" s="29" t="s">
        <v>126</v>
      </c>
      <c r="M692" s="29" t="s">
        <v>126</v>
      </c>
      <c r="N692" s="29" t="s">
        <v>126</v>
      </c>
    </row>
    <row r="693" spans="2:14" x14ac:dyDescent="0.25">
      <c r="B693" s="27" t="s">
        <v>123</v>
      </c>
      <c r="C693" s="28">
        <v>583473</v>
      </c>
      <c r="D693" s="28" t="s">
        <v>1761</v>
      </c>
      <c r="E693" s="27" t="s">
        <v>32</v>
      </c>
      <c r="F693" s="6" t="s">
        <v>1095</v>
      </c>
      <c r="G693" s="28" t="s">
        <v>48</v>
      </c>
      <c r="H693" s="28" t="s">
        <v>193</v>
      </c>
      <c r="I693" s="115">
        <v>29</v>
      </c>
      <c r="J693" s="27"/>
      <c r="K693" s="40"/>
      <c r="L693" s="29" t="s">
        <v>126</v>
      </c>
      <c r="M693" s="29" t="s">
        <v>126</v>
      </c>
      <c r="N693" s="29" t="s">
        <v>126</v>
      </c>
    </row>
    <row r="694" spans="2:14" x14ac:dyDescent="0.25">
      <c r="B694" s="27" t="s">
        <v>123</v>
      </c>
      <c r="C694" s="28">
        <v>584907</v>
      </c>
      <c r="D694" s="28" t="s">
        <v>1762</v>
      </c>
      <c r="E694" s="27" t="s">
        <v>32</v>
      </c>
      <c r="F694" s="6" t="s">
        <v>1095</v>
      </c>
      <c r="G694" s="28" t="s">
        <v>48</v>
      </c>
      <c r="H694" s="28" t="s">
        <v>193</v>
      </c>
      <c r="I694" s="115">
        <v>569</v>
      </c>
      <c r="J694" s="27"/>
      <c r="K694" s="40"/>
      <c r="L694" s="29" t="s">
        <v>126</v>
      </c>
      <c r="M694" s="29" t="s">
        <v>126</v>
      </c>
      <c r="N694" s="29" t="s">
        <v>126</v>
      </c>
    </row>
    <row r="695" spans="2:14" x14ac:dyDescent="0.25">
      <c r="B695" s="27" t="s">
        <v>123</v>
      </c>
      <c r="C695" s="28">
        <v>585316</v>
      </c>
      <c r="D695" s="28" t="s">
        <v>1763</v>
      </c>
      <c r="E695" s="27" t="s">
        <v>32</v>
      </c>
      <c r="F695" s="6" t="s">
        <v>1095</v>
      </c>
      <c r="G695" s="28" t="s">
        <v>48</v>
      </c>
      <c r="H695" s="28" t="s">
        <v>193</v>
      </c>
      <c r="I695" s="115">
        <v>79</v>
      </c>
      <c r="J695" s="27"/>
      <c r="K695" s="40"/>
      <c r="L695" s="29" t="s">
        <v>126</v>
      </c>
      <c r="M695" s="29" t="s">
        <v>126</v>
      </c>
      <c r="N695" s="29" t="s">
        <v>126</v>
      </c>
    </row>
    <row r="696" spans="2:14" x14ac:dyDescent="0.25">
      <c r="B696" s="27" t="s">
        <v>123</v>
      </c>
      <c r="C696" s="28">
        <v>585338</v>
      </c>
      <c r="D696" s="28" t="s">
        <v>1764</v>
      </c>
      <c r="E696" s="27" t="s">
        <v>32</v>
      </c>
      <c r="F696" s="6" t="s">
        <v>1095</v>
      </c>
      <c r="G696" s="28" t="s">
        <v>48</v>
      </c>
      <c r="H696" s="28" t="s">
        <v>193</v>
      </c>
      <c r="I696" s="115">
        <v>219</v>
      </c>
      <c r="J696" s="27"/>
      <c r="K696" s="40"/>
      <c r="L696" s="29" t="s">
        <v>126</v>
      </c>
      <c r="M696" s="29" t="s">
        <v>126</v>
      </c>
      <c r="N696" s="29" t="s">
        <v>126</v>
      </c>
    </row>
    <row r="697" spans="2:14" x14ac:dyDescent="0.25">
      <c r="B697" s="27" t="s">
        <v>123</v>
      </c>
      <c r="C697" s="28">
        <v>589218</v>
      </c>
      <c r="D697" s="28" t="s">
        <v>1765</v>
      </c>
      <c r="E697" s="27" t="s">
        <v>32</v>
      </c>
      <c r="F697" s="6" t="s">
        <v>1095</v>
      </c>
      <c r="G697" s="28" t="s">
        <v>48</v>
      </c>
      <c r="H697" s="28" t="s">
        <v>193</v>
      </c>
      <c r="I697" s="115">
        <v>529</v>
      </c>
      <c r="J697" s="27"/>
      <c r="K697" s="40"/>
      <c r="L697" s="29" t="s">
        <v>126</v>
      </c>
      <c r="M697" s="29" t="s">
        <v>126</v>
      </c>
      <c r="N697" s="29" t="s">
        <v>126</v>
      </c>
    </row>
    <row r="698" spans="2:14" x14ac:dyDescent="0.25">
      <c r="B698" s="27" t="s">
        <v>123</v>
      </c>
      <c r="C698" s="28">
        <v>589219</v>
      </c>
      <c r="D698" s="28" t="s">
        <v>1766</v>
      </c>
      <c r="E698" s="27" t="s">
        <v>32</v>
      </c>
      <c r="F698" s="6" t="s">
        <v>1095</v>
      </c>
      <c r="G698" s="28" t="s">
        <v>48</v>
      </c>
      <c r="H698" s="28" t="s">
        <v>193</v>
      </c>
      <c r="I698" s="115">
        <v>729</v>
      </c>
      <c r="J698" s="27"/>
      <c r="K698" s="40"/>
      <c r="L698" s="29" t="s">
        <v>126</v>
      </c>
      <c r="M698" s="29" t="s">
        <v>126</v>
      </c>
      <c r="N698" s="29" t="s">
        <v>126</v>
      </c>
    </row>
    <row r="699" spans="2:14" x14ac:dyDescent="0.25">
      <c r="B699" s="27" t="s">
        <v>123</v>
      </c>
      <c r="C699" s="28">
        <v>589222</v>
      </c>
      <c r="D699" s="28" t="s">
        <v>1767</v>
      </c>
      <c r="E699" s="27" t="s">
        <v>32</v>
      </c>
      <c r="F699" s="6" t="s">
        <v>1095</v>
      </c>
      <c r="G699" s="28" t="s">
        <v>48</v>
      </c>
      <c r="H699" s="28" t="s">
        <v>193</v>
      </c>
      <c r="I699" s="115">
        <v>599</v>
      </c>
      <c r="J699" s="27"/>
      <c r="K699" s="40"/>
      <c r="L699" s="29" t="s">
        <v>126</v>
      </c>
      <c r="M699" s="29" t="s">
        <v>126</v>
      </c>
      <c r="N699" s="29" t="s">
        <v>126</v>
      </c>
    </row>
    <row r="700" spans="2:14" x14ac:dyDescent="0.25">
      <c r="B700" s="27" t="s">
        <v>123</v>
      </c>
      <c r="C700" s="28">
        <v>594379</v>
      </c>
      <c r="D700" s="28" t="s">
        <v>1768</v>
      </c>
      <c r="E700" s="27" t="s">
        <v>32</v>
      </c>
      <c r="F700" s="6" t="s">
        <v>1095</v>
      </c>
      <c r="G700" s="28" t="s">
        <v>48</v>
      </c>
      <c r="H700" s="28" t="s">
        <v>193</v>
      </c>
      <c r="I700" s="115">
        <v>99</v>
      </c>
      <c r="J700" s="27"/>
      <c r="K700" s="40"/>
      <c r="L700" s="29" t="s">
        <v>126</v>
      </c>
      <c r="M700" s="29" t="s">
        <v>126</v>
      </c>
      <c r="N700" s="29" t="s">
        <v>126</v>
      </c>
    </row>
    <row r="701" spans="2:14" x14ac:dyDescent="0.25">
      <c r="B701" s="27" t="s">
        <v>123</v>
      </c>
      <c r="C701" s="28">
        <v>595849</v>
      </c>
      <c r="D701" s="28" t="s">
        <v>797</v>
      </c>
      <c r="E701" s="27" t="s">
        <v>32</v>
      </c>
      <c r="F701" s="6" t="s">
        <v>1095</v>
      </c>
      <c r="G701" s="28" t="s">
        <v>48</v>
      </c>
      <c r="H701" s="28" t="s">
        <v>193</v>
      </c>
      <c r="I701" s="115">
        <v>149</v>
      </c>
      <c r="J701" s="27"/>
      <c r="K701" s="40"/>
      <c r="L701" s="29" t="s">
        <v>126</v>
      </c>
      <c r="M701" s="29" t="s">
        <v>126</v>
      </c>
      <c r="N701" s="29" t="s">
        <v>126</v>
      </c>
    </row>
    <row r="702" spans="2:14" x14ac:dyDescent="0.25">
      <c r="B702" s="27" t="s">
        <v>123</v>
      </c>
      <c r="C702" s="28">
        <v>595857</v>
      </c>
      <c r="D702" s="28" t="s">
        <v>798</v>
      </c>
      <c r="E702" s="27" t="s">
        <v>32</v>
      </c>
      <c r="F702" s="6" t="s">
        <v>1095</v>
      </c>
      <c r="G702" s="28" t="s">
        <v>48</v>
      </c>
      <c r="H702" s="28" t="s">
        <v>193</v>
      </c>
      <c r="I702" s="115">
        <v>149</v>
      </c>
      <c r="J702" s="27"/>
      <c r="K702" s="40"/>
      <c r="L702" s="29" t="s">
        <v>126</v>
      </c>
      <c r="M702" s="29" t="s">
        <v>126</v>
      </c>
      <c r="N702" s="29" t="s">
        <v>126</v>
      </c>
    </row>
    <row r="703" spans="2:14" x14ac:dyDescent="0.25">
      <c r="B703" s="27" t="s">
        <v>123</v>
      </c>
      <c r="C703" s="28">
        <v>595878</v>
      </c>
      <c r="D703" s="28" t="s">
        <v>1769</v>
      </c>
      <c r="E703" s="27" t="s">
        <v>32</v>
      </c>
      <c r="F703" s="6" t="s">
        <v>1095</v>
      </c>
      <c r="G703" s="28" t="s">
        <v>48</v>
      </c>
      <c r="H703" s="28" t="s">
        <v>193</v>
      </c>
      <c r="I703" s="115">
        <v>199</v>
      </c>
      <c r="J703" s="27"/>
      <c r="K703" s="40"/>
      <c r="L703" s="29" t="s">
        <v>126</v>
      </c>
      <c r="M703" s="29" t="s">
        <v>126</v>
      </c>
      <c r="N703" s="29" t="s">
        <v>126</v>
      </c>
    </row>
    <row r="704" spans="2:14" x14ac:dyDescent="0.25">
      <c r="B704" s="27" t="s">
        <v>123</v>
      </c>
      <c r="C704" s="28">
        <v>595882</v>
      </c>
      <c r="D704" s="28" t="s">
        <v>792</v>
      </c>
      <c r="E704" s="27" t="s">
        <v>32</v>
      </c>
      <c r="F704" s="6" t="s">
        <v>1095</v>
      </c>
      <c r="G704" s="28" t="s">
        <v>48</v>
      </c>
      <c r="H704" s="28" t="s">
        <v>193</v>
      </c>
      <c r="I704" s="115">
        <v>72</v>
      </c>
      <c r="J704" s="27"/>
      <c r="K704" s="40"/>
      <c r="L704" s="29" t="s">
        <v>126</v>
      </c>
      <c r="M704" s="29" t="s">
        <v>126</v>
      </c>
      <c r="N704" s="29" t="s">
        <v>126</v>
      </c>
    </row>
    <row r="705" spans="2:14" x14ac:dyDescent="0.25">
      <c r="B705" s="27" t="s">
        <v>123</v>
      </c>
      <c r="C705" s="28">
        <v>595883</v>
      </c>
      <c r="D705" s="28" t="s">
        <v>793</v>
      </c>
      <c r="E705" s="27" t="s">
        <v>32</v>
      </c>
      <c r="F705" s="6" t="s">
        <v>1095</v>
      </c>
      <c r="G705" s="28" t="s">
        <v>48</v>
      </c>
      <c r="H705" s="28" t="s">
        <v>193</v>
      </c>
      <c r="I705" s="115">
        <v>65</v>
      </c>
      <c r="J705" s="27"/>
      <c r="K705" s="40"/>
      <c r="L705" s="29" t="s">
        <v>126</v>
      </c>
      <c r="M705" s="29" t="s">
        <v>126</v>
      </c>
      <c r="N705" s="29" t="s">
        <v>126</v>
      </c>
    </row>
    <row r="706" spans="2:14" x14ac:dyDescent="0.25">
      <c r="B706" s="27" t="s">
        <v>123</v>
      </c>
      <c r="C706" s="28">
        <v>595884</v>
      </c>
      <c r="D706" s="28" t="s">
        <v>1770</v>
      </c>
      <c r="E706" s="27" t="s">
        <v>32</v>
      </c>
      <c r="F706" s="6" t="s">
        <v>1095</v>
      </c>
      <c r="G706" s="28" t="s">
        <v>48</v>
      </c>
      <c r="H706" s="28" t="s">
        <v>193</v>
      </c>
      <c r="I706" s="115">
        <v>65</v>
      </c>
      <c r="J706" s="27"/>
      <c r="K706" s="40"/>
      <c r="L706" s="29" t="s">
        <v>126</v>
      </c>
      <c r="M706" s="29" t="s">
        <v>126</v>
      </c>
      <c r="N706" s="29" t="s">
        <v>126</v>
      </c>
    </row>
    <row r="707" spans="2:14" x14ac:dyDescent="0.25">
      <c r="B707" s="27" t="s">
        <v>123</v>
      </c>
      <c r="C707" s="28">
        <v>595905</v>
      </c>
      <c r="D707" s="28" t="s">
        <v>1771</v>
      </c>
      <c r="E707" s="27" t="s">
        <v>32</v>
      </c>
      <c r="F707" s="6" t="s">
        <v>1095</v>
      </c>
      <c r="G707" s="28" t="s">
        <v>48</v>
      </c>
      <c r="H707" s="28" t="s">
        <v>193</v>
      </c>
      <c r="I707" s="115">
        <v>499</v>
      </c>
      <c r="J707" s="27"/>
      <c r="K707" s="40"/>
      <c r="L707" s="29" t="s">
        <v>126</v>
      </c>
      <c r="M707" s="29" t="s">
        <v>126</v>
      </c>
      <c r="N707" s="29" t="s">
        <v>126</v>
      </c>
    </row>
    <row r="708" spans="2:14" x14ac:dyDescent="0.25">
      <c r="B708" s="27" t="s">
        <v>123</v>
      </c>
      <c r="C708" s="28">
        <v>596005</v>
      </c>
      <c r="D708" s="28" t="s">
        <v>1772</v>
      </c>
      <c r="E708" s="27" t="s">
        <v>32</v>
      </c>
      <c r="F708" s="6" t="s">
        <v>1095</v>
      </c>
      <c r="G708" s="28" t="s">
        <v>48</v>
      </c>
      <c r="H708" s="28" t="s">
        <v>193</v>
      </c>
      <c r="I708" s="115">
        <v>299</v>
      </c>
      <c r="J708" s="27"/>
      <c r="K708" s="40"/>
      <c r="L708" s="29" t="s">
        <v>126</v>
      </c>
      <c r="M708" s="29" t="s">
        <v>126</v>
      </c>
      <c r="N708" s="29" t="s">
        <v>126</v>
      </c>
    </row>
    <row r="709" spans="2:14" x14ac:dyDescent="0.25">
      <c r="B709" s="27" t="s">
        <v>123</v>
      </c>
      <c r="C709" s="28">
        <v>597813</v>
      </c>
      <c r="D709" s="28" t="s">
        <v>1773</v>
      </c>
      <c r="E709" s="27" t="s">
        <v>32</v>
      </c>
      <c r="F709" s="6" t="s">
        <v>1095</v>
      </c>
      <c r="G709" s="28" t="s">
        <v>48</v>
      </c>
      <c r="H709" s="28" t="s">
        <v>193</v>
      </c>
      <c r="I709" s="115">
        <v>819</v>
      </c>
      <c r="J709" s="27"/>
      <c r="K709" s="40"/>
      <c r="L709" s="29" t="s">
        <v>126</v>
      </c>
      <c r="M709" s="29" t="s">
        <v>126</v>
      </c>
      <c r="N709" s="29" t="s">
        <v>126</v>
      </c>
    </row>
    <row r="710" spans="2:14" x14ac:dyDescent="0.25">
      <c r="B710" s="27" t="s">
        <v>123</v>
      </c>
      <c r="C710" s="28">
        <v>598148</v>
      </c>
      <c r="D710" s="28" t="s">
        <v>1774</v>
      </c>
      <c r="E710" s="27" t="s">
        <v>32</v>
      </c>
      <c r="F710" s="6" t="s">
        <v>1095</v>
      </c>
      <c r="G710" s="28" t="s">
        <v>48</v>
      </c>
      <c r="H710" s="28" t="s">
        <v>193</v>
      </c>
      <c r="I710" s="115">
        <v>39</v>
      </c>
      <c r="J710" s="27"/>
      <c r="K710" s="40"/>
      <c r="L710" s="29" t="s">
        <v>126</v>
      </c>
      <c r="M710" s="29" t="s">
        <v>126</v>
      </c>
      <c r="N710" s="29" t="s">
        <v>126</v>
      </c>
    </row>
    <row r="711" spans="2:14" x14ac:dyDescent="0.25">
      <c r="B711" s="27" t="s">
        <v>123</v>
      </c>
      <c r="C711" s="28">
        <v>598149</v>
      </c>
      <c r="D711" s="28" t="s">
        <v>1775</v>
      </c>
      <c r="E711" s="27" t="s">
        <v>32</v>
      </c>
      <c r="F711" s="6" t="s">
        <v>1095</v>
      </c>
      <c r="G711" s="28" t="s">
        <v>48</v>
      </c>
      <c r="H711" s="28" t="s">
        <v>193</v>
      </c>
      <c r="I711" s="115">
        <v>39</v>
      </c>
      <c r="J711" s="27"/>
      <c r="K711" s="40"/>
      <c r="L711" s="29" t="s">
        <v>126</v>
      </c>
      <c r="M711" s="29" t="s">
        <v>126</v>
      </c>
      <c r="N711" s="29" t="s">
        <v>126</v>
      </c>
    </row>
    <row r="712" spans="2:14" x14ac:dyDescent="0.25">
      <c r="B712" s="27" t="s">
        <v>123</v>
      </c>
      <c r="C712" s="28">
        <v>598154</v>
      </c>
      <c r="D712" s="28" t="s">
        <v>1776</v>
      </c>
      <c r="E712" s="27" t="s">
        <v>32</v>
      </c>
      <c r="F712" s="6" t="s">
        <v>1095</v>
      </c>
      <c r="G712" s="28" t="s">
        <v>48</v>
      </c>
      <c r="H712" s="28" t="s">
        <v>193</v>
      </c>
      <c r="I712" s="115">
        <v>99</v>
      </c>
      <c r="J712" s="27"/>
      <c r="K712" s="40"/>
      <c r="L712" s="29" t="s">
        <v>126</v>
      </c>
      <c r="M712" s="29" t="s">
        <v>126</v>
      </c>
      <c r="N712" s="29" t="s">
        <v>126</v>
      </c>
    </row>
    <row r="713" spans="2:14" x14ac:dyDescent="0.25">
      <c r="B713" s="27" t="s">
        <v>123</v>
      </c>
      <c r="C713" s="28">
        <v>598155</v>
      </c>
      <c r="D713" s="28" t="s">
        <v>1777</v>
      </c>
      <c r="E713" s="27" t="s">
        <v>32</v>
      </c>
      <c r="F713" s="6" t="s">
        <v>1095</v>
      </c>
      <c r="G713" s="28" t="s">
        <v>48</v>
      </c>
      <c r="H713" s="28" t="s">
        <v>193</v>
      </c>
      <c r="I713" s="115">
        <v>99</v>
      </c>
      <c r="J713" s="27"/>
      <c r="K713" s="40"/>
      <c r="L713" s="29" t="s">
        <v>126</v>
      </c>
      <c r="M713" s="29" t="s">
        <v>126</v>
      </c>
      <c r="N713" s="29" t="s">
        <v>126</v>
      </c>
    </row>
    <row r="714" spans="2:14" x14ac:dyDescent="0.25">
      <c r="B714" s="27" t="s">
        <v>123</v>
      </c>
      <c r="C714" s="28">
        <v>598164</v>
      </c>
      <c r="D714" s="28" t="s">
        <v>801</v>
      </c>
      <c r="E714" s="27" t="s">
        <v>32</v>
      </c>
      <c r="F714" s="6" t="s">
        <v>1095</v>
      </c>
      <c r="G714" s="28" t="s">
        <v>48</v>
      </c>
      <c r="H714" s="28" t="s">
        <v>193</v>
      </c>
      <c r="I714" s="115">
        <v>489</v>
      </c>
      <c r="J714" s="27"/>
      <c r="K714" s="40"/>
      <c r="L714" s="29" t="s">
        <v>126</v>
      </c>
      <c r="M714" s="29" t="s">
        <v>126</v>
      </c>
      <c r="N714" s="29" t="s">
        <v>126</v>
      </c>
    </row>
    <row r="715" spans="2:14" x14ac:dyDescent="0.25">
      <c r="B715" s="27" t="s">
        <v>123</v>
      </c>
      <c r="C715" s="28">
        <v>598167</v>
      </c>
      <c r="D715" s="28" t="s">
        <v>1778</v>
      </c>
      <c r="E715" s="27" t="s">
        <v>32</v>
      </c>
      <c r="F715" s="6" t="s">
        <v>1095</v>
      </c>
      <c r="G715" s="28" t="s">
        <v>48</v>
      </c>
      <c r="H715" s="28" t="s">
        <v>193</v>
      </c>
      <c r="I715" s="115">
        <v>279</v>
      </c>
      <c r="J715" s="27"/>
      <c r="K715" s="40"/>
      <c r="L715" s="29" t="s">
        <v>126</v>
      </c>
      <c r="M715" s="29" t="s">
        <v>126</v>
      </c>
      <c r="N715" s="29" t="s">
        <v>126</v>
      </c>
    </row>
    <row r="716" spans="2:14" x14ac:dyDescent="0.25">
      <c r="B716" s="27" t="s">
        <v>123</v>
      </c>
      <c r="C716" s="28">
        <v>598710</v>
      </c>
      <c r="D716" s="28" t="s">
        <v>1779</v>
      </c>
      <c r="E716" s="27" t="s">
        <v>32</v>
      </c>
      <c r="F716" s="6" t="s">
        <v>1095</v>
      </c>
      <c r="G716" s="28" t="s">
        <v>48</v>
      </c>
      <c r="H716" s="28" t="s">
        <v>193</v>
      </c>
      <c r="I716" s="115">
        <v>59</v>
      </c>
      <c r="J716" s="27"/>
      <c r="K716" s="40"/>
      <c r="L716" s="29" t="s">
        <v>126</v>
      </c>
      <c r="M716" s="29" t="s">
        <v>126</v>
      </c>
      <c r="N716" s="29" t="s">
        <v>126</v>
      </c>
    </row>
    <row r="717" spans="2:14" x14ac:dyDescent="0.25">
      <c r="B717" s="27" t="s">
        <v>123</v>
      </c>
      <c r="C717" s="28">
        <v>599214</v>
      </c>
      <c r="D717" s="28" t="s">
        <v>799</v>
      </c>
      <c r="E717" s="27" t="s">
        <v>32</v>
      </c>
      <c r="F717" s="6" t="s">
        <v>1095</v>
      </c>
      <c r="G717" s="28" t="s">
        <v>48</v>
      </c>
      <c r="H717" s="28" t="s">
        <v>193</v>
      </c>
      <c r="I717" s="115">
        <v>149</v>
      </c>
      <c r="J717" s="27"/>
      <c r="K717" s="40"/>
      <c r="L717" s="29" t="s">
        <v>126</v>
      </c>
      <c r="M717" s="29" t="s">
        <v>126</v>
      </c>
      <c r="N717" s="29" t="s">
        <v>126</v>
      </c>
    </row>
    <row r="718" spans="2:14" x14ac:dyDescent="0.25">
      <c r="B718" s="27" t="s">
        <v>123</v>
      </c>
      <c r="C718" s="28">
        <v>599215</v>
      </c>
      <c r="D718" s="28" t="s">
        <v>1780</v>
      </c>
      <c r="E718" s="27" t="s">
        <v>32</v>
      </c>
      <c r="F718" s="6" t="s">
        <v>1095</v>
      </c>
      <c r="G718" s="28" t="s">
        <v>48</v>
      </c>
      <c r="H718" s="28" t="s">
        <v>193</v>
      </c>
      <c r="I718" s="115">
        <v>389</v>
      </c>
      <c r="J718" s="27"/>
      <c r="K718" s="40"/>
      <c r="L718" s="29" t="s">
        <v>126</v>
      </c>
      <c r="M718" s="29" t="s">
        <v>126</v>
      </c>
      <c r="N718" s="29" t="s">
        <v>126</v>
      </c>
    </row>
    <row r="719" spans="2:14" x14ac:dyDescent="0.25">
      <c r="B719" s="27" t="s">
        <v>123</v>
      </c>
      <c r="C719" s="28">
        <v>597810</v>
      </c>
      <c r="D719" s="28" t="s">
        <v>1781</v>
      </c>
      <c r="E719" s="27" t="s">
        <v>32</v>
      </c>
      <c r="F719" s="6" t="s">
        <v>1095</v>
      </c>
      <c r="G719" s="28" t="s">
        <v>48</v>
      </c>
      <c r="H719" s="28" t="s">
        <v>193</v>
      </c>
      <c r="I719" s="115">
        <v>459</v>
      </c>
      <c r="J719" s="27"/>
      <c r="K719" s="40"/>
      <c r="L719" s="29" t="s">
        <v>126</v>
      </c>
      <c r="M719" s="29" t="s">
        <v>126</v>
      </c>
      <c r="N719" s="29" t="s">
        <v>126</v>
      </c>
    </row>
    <row r="720" spans="2:14" x14ac:dyDescent="0.25">
      <c r="B720" s="27" t="s">
        <v>123</v>
      </c>
      <c r="C720" s="28">
        <v>599277</v>
      </c>
      <c r="D720" s="28" t="s">
        <v>1782</v>
      </c>
      <c r="E720" s="27" t="s">
        <v>32</v>
      </c>
      <c r="F720" s="6" t="s">
        <v>1095</v>
      </c>
      <c r="G720" s="28" t="s">
        <v>48</v>
      </c>
      <c r="H720" s="28" t="s">
        <v>193</v>
      </c>
      <c r="I720" s="115">
        <v>529</v>
      </c>
      <c r="J720" s="27"/>
      <c r="K720" s="40"/>
      <c r="L720" s="29" t="s">
        <v>126</v>
      </c>
      <c r="M720" s="29" t="s">
        <v>126</v>
      </c>
      <c r="N720" s="29" t="s">
        <v>126</v>
      </c>
    </row>
    <row r="721" spans="2:14" x14ac:dyDescent="0.25">
      <c r="B721" s="27" t="s">
        <v>123</v>
      </c>
      <c r="C721" s="28">
        <v>524849</v>
      </c>
      <c r="D721" s="28" t="s">
        <v>1783</v>
      </c>
      <c r="E721" s="27" t="s">
        <v>32</v>
      </c>
      <c r="F721" s="6" t="s">
        <v>1095</v>
      </c>
      <c r="G721" s="28" t="s">
        <v>48</v>
      </c>
      <c r="H721" s="28" t="s">
        <v>193</v>
      </c>
      <c r="I721" s="115">
        <v>399</v>
      </c>
      <c r="J721" s="27"/>
      <c r="K721" s="40"/>
      <c r="L721" s="29" t="s">
        <v>126</v>
      </c>
      <c r="M721" s="29" t="s">
        <v>126</v>
      </c>
      <c r="N721" s="29" t="s">
        <v>126</v>
      </c>
    </row>
    <row r="722" spans="2:14" x14ac:dyDescent="0.25">
      <c r="B722" s="27" t="s">
        <v>123</v>
      </c>
      <c r="C722" s="28">
        <v>581284</v>
      </c>
      <c r="D722" s="28" t="s">
        <v>1784</v>
      </c>
      <c r="E722" s="27" t="s">
        <v>32</v>
      </c>
      <c r="F722" s="6" t="s">
        <v>1095</v>
      </c>
      <c r="G722" s="28" t="s">
        <v>48</v>
      </c>
      <c r="H722" s="28" t="s">
        <v>193</v>
      </c>
      <c r="I722" s="115">
        <v>399</v>
      </c>
      <c r="J722" s="27"/>
      <c r="K722" s="40"/>
      <c r="L722" s="29" t="s">
        <v>126</v>
      </c>
      <c r="M722" s="29" t="s">
        <v>126</v>
      </c>
      <c r="N722" s="29" t="s">
        <v>126</v>
      </c>
    </row>
    <row r="723" spans="2:14" x14ac:dyDescent="0.25">
      <c r="B723" s="27" t="s">
        <v>123</v>
      </c>
      <c r="C723" s="28">
        <v>582025</v>
      </c>
      <c r="D723" s="28" t="s">
        <v>1785</v>
      </c>
      <c r="E723" s="27" t="s">
        <v>32</v>
      </c>
      <c r="F723" s="6" t="s">
        <v>1095</v>
      </c>
      <c r="G723" s="28" t="s">
        <v>48</v>
      </c>
      <c r="H723" s="28" t="s">
        <v>193</v>
      </c>
      <c r="I723" s="115">
        <v>1299</v>
      </c>
      <c r="J723" s="27"/>
      <c r="K723" s="40"/>
      <c r="L723" s="29" t="s">
        <v>126</v>
      </c>
      <c r="M723" s="29" t="s">
        <v>126</v>
      </c>
      <c r="N723" s="29" t="s">
        <v>126</v>
      </c>
    </row>
    <row r="724" spans="2:14" x14ac:dyDescent="0.25">
      <c r="B724" s="27" t="s">
        <v>123</v>
      </c>
      <c r="C724" s="28">
        <v>597811</v>
      </c>
      <c r="D724" s="28" t="s">
        <v>1786</v>
      </c>
      <c r="E724" s="27" t="s">
        <v>32</v>
      </c>
      <c r="F724" s="6" t="s">
        <v>1095</v>
      </c>
      <c r="G724" s="28" t="s">
        <v>48</v>
      </c>
      <c r="H724" s="28" t="s">
        <v>193</v>
      </c>
      <c r="I724" s="115">
        <v>769</v>
      </c>
      <c r="J724" s="27"/>
      <c r="K724" s="40"/>
      <c r="L724" s="29" t="s">
        <v>126</v>
      </c>
      <c r="M724" s="29" t="s">
        <v>126</v>
      </c>
      <c r="N724" s="29" t="s">
        <v>126</v>
      </c>
    </row>
    <row r="725" spans="2:14" x14ac:dyDescent="0.25">
      <c r="B725" s="27" t="s">
        <v>123</v>
      </c>
      <c r="C725" s="28">
        <v>506425</v>
      </c>
      <c r="D725" s="28" t="s">
        <v>1787</v>
      </c>
      <c r="E725" s="27" t="s">
        <v>32</v>
      </c>
      <c r="F725" s="6" t="s">
        <v>1095</v>
      </c>
      <c r="G725" s="28" t="s">
        <v>48</v>
      </c>
      <c r="H725" s="28" t="s">
        <v>193</v>
      </c>
      <c r="I725" s="115">
        <v>269</v>
      </c>
      <c r="J725" s="27"/>
      <c r="K725" s="40"/>
      <c r="L725" s="29" t="s">
        <v>126</v>
      </c>
      <c r="M725" s="29" t="s">
        <v>126</v>
      </c>
      <c r="N725" s="29" t="s">
        <v>126</v>
      </c>
    </row>
    <row r="726" spans="2:14" x14ac:dyDescent="0.25">
      <c r="B726" s="27" t="s">
        <v>123</v>
      </c>
      <c r="C726" s="28">
        <v>587712</v>
      </c>
      <c r="D726" s="28" t="s">
        <v>1788</v>
      </c>
      <c r="E726" s="27" t="s">
        <v>32</v>
      </c>
      <c r="F726" s="6" t="s">
        <v>1095</v>
      </c>
      <c r="G726" s="28" t="s">
        <v>48</v>
      </c>
      <c r="H726" s="28" t="s">
        <v>193</v>
      </c>
      <c r="I726" s="115">
        <v>279</v>
      </c>
      <c r="J726" s="27"/>
      <c r="K726" s="40"/>
      <c r="L726" s="29" t="s">
        <v>126</v>
      </c>
      <c r="M726" s="29" t="s">
        <v>126</v>
      </c>
      <c r="N726" s="29" t="s">
        <v>126</v>
      </c>
    </row>
    <row r="727" spans="2:14" x14ac:dyDescent="0.25">
      <c r="B727" s="27" t="s">
        <v>123</v>
      </c>
      <c r="C727" s="28">
        <v>579835</v>
      </c>
      <c r="D727" s="28" t="s">
        <v>1789</v>
      </c>
      <c r="E727" s="27" t="s">
        <v>32</v>
      </c>
      <c r="F727" s="6" t="s">
        <v>1095</v>
      </c>
      <c r="G727" s="28" t="s">
        <v>48</v>
      </c>
      <c r="H727" s="28" t="s">
        <v>193</v>
      </c>
      <c r="I727" s="115">
        <v>899</v>
      </c>
      <c r="J727" s="27"/>
      <c r="K727" s="40"/>
      <c r="L727" s="29" t="s">
        <v>126</v>
      </c>
      <c r="M727" s="29" t="s">
        <v>126</v>
      </c>
      <c r="N727" s="29" t="s">
        <v>126</v>
      </c>
    </row>
    <row r="728" spans="2:14" x14ac:dyDescent="0.25">
      <c r="B728" s="27" t="s">
        <v>123</v>
      </c>
      <c r="C728" s="28">
        <v>589042</v>
      </c>
      <c r="D728" s="28" t="s">
        <v>1790</v>
      </c>
      <c r="E728" s="27" t="s">
        <v>32</v>
      </c>
      <c r="F728" s="6" t="s">
        <v>1095</v>
      </c>
      <c r="G728" s="28" t="s">
        <v>48</v>
      </c>
      <c r="H728" s="28" t="s">
        <v>193</v>
      </c>
      <c r="I728" s="115">
        <v>53</v>
      </c>
      <c r="J728" s="27"/>
      <c r="K728" s="40"/>
      <c r="L728" s="29" t="s">
        <v>126</v>
      </c>
      <c r="M728" s="29" t="s">
        <v>126</v>
      </c>
      <c r="N728" s="29" t="s">
        <v>126</v>
      </c>
    </row>
    <row r="729" spans="2:14" x14ac:dyDescent="0.25">
      <c r="B729" s="27" t="s">
        <v>123</v>
      </c>
      <c r="C729" s="28">
        <v>589043</v>
      </c>
      <c r="D729" s="28" t="s">
        <v>1791</v>
      </c>
      <c r="E729" s="27" t="s">
        <v>32</v>
      </c>
      <c r="F729" s="6" t="s">
        <v>1095</v>
      </c>
      <c r="G729" s="28" t="s">
        <v>48</v>
      </c>
      <c r="H729" s="28" t="s">
        <v>193</v>
      </c>
      <c r="I729" s="115">
        <v>53</v>
      </c>
      <c r="J729" s="27"/>
      <c r="K729" s="40"/>
      <c r="L729" s="29" t="s">
        <v>126</v>
      </c>
      <c r="M729" s="29" t="s">
        <v>126</v>
      </c>
      <c r="N729" s="29" t="s">
        <v>126</v>
      </c>
    </row>
    <row r="730" spans="2:14" x14ac:dyDescent="0.25">
      <c r="B730" s="27" t="s">
        <v>123</v>
      </c>
      <c r="C730" s="28">
        <v>589044</v>
      </c>
      <c r="D730" s="28" t="s">
        <v>1792</v>
      </c>
      <c r="E730" s="27" t="s">
        <v>32</v>
      </c>
      <c r="F730" s="6" t="s">
        <v>1095</v>
      </c>
      <c r="G730" s="28" t="s">
        <v>48</v>
      </c>
      <c r="H730" s="28" t="s">
        <v>193</v>
      </c>
      <c r="I730" s="115">
        <v>53</v>
      </c>
      <c r="J730" s="27"/>
      <c r="K730" s="40"/>
      <c r="L730" s="29" t="s">
        <v>126</v>
      </c>
      <c r="M730" s="29" t="s">
        <v>126</v>
      </c>
      <c r="N730" s="29" t="s">
        <v>126</v>
      </c>
    </row>
    <row r="731" spans="2:14" x14ac:dyDescent="0.25">
      <c r="B731" s="27" t="s">
        <v>123</v>
      </c>
      <c r="C731" s="28">
        <v>589050</v>
      </c>
      <c r="D731" s="28" t="s">
        <v>1793</v>
      </c>
      <c r="E731" s="27" t="s">
        <v>32</v>
      </c>
      <c r="F731" s="6" t="s">
        <v>1095</v>
      </c>
      <c r="G731" s="28" t="s">
        <v>48</v>
      </c>
      <c r="H731" s="28" t="s">
        <v>193</v>
      </c>
      <c r="I731" s="115">
        <v>53</v>
      </c>
      <c r="J731" s="27"/>
      <c r="K731" s="40"/>
      <c r="L731" s="29" t="s">
        <v>126</v>
      </c>
      <c r="M731" s="29" t="s">
        <v>126</v>
      </c>
      <c r="N731" s="29" t="s">
        <v>126</v>
      </c>
    </row>
    <row r="732" spans="2:14" x14ac:dyDescent="0.25">
      <c r="B732" s="27" t="s">
        <v>123</v>
      </c>
      <c r="C732" s="28">
        <v>595935</v>
      </c>
      <c r="D732" s="28" t="s">
        <v>1794</v>
      </c>
      <c r="E732" s="27" t="s">
        <v>32</v>
      </c>
      <c r="F732" s="6" t="s">
        <v>1095</v>
      </c>
      <c r="G732" s="28" t="s">
        <v>48</v>
      </c>
      <c r="H732" s="28" t="s">
        <v>193</v>
      </c>
      <c r="I732" s="115">
        <v>389</v>
      </c>
      <c r="J732" s="27"/>
      <c r="K732" s="40"/>
      <c r="L732" s="29" t="s">
        <v>126</v>
      </c>
      <c r="M732" s="29" t="s">
        <v>126</v>
      </c>
      <c r="N732" s="29" t="s">
        <v>126</v>
      </c>
    </row>
    <row r="733" spans="2:14" x14ac:dyDescent="0.25">
      <c r="B733" s="27" t="s">
        <v>123</v>
      </c>
      <c r="C733" s="28">
        <v>596217</v>
      </c>
      <c r="D733" s="28" t="s">
        <v>1795</v>
      </c>
      <c r="E733" s="27" t="s">
        <v>32</v>
      </c>
      <c r="F733" s="6" t="s">
        <v>1095</v>
      </c>
      <c r="G733" s="28" t="s">
        <v>48</v>
      </c>
      <c r="H733" s="28" t="s">
        <v>193</v>
      </c>
      <c r="I733" s="115">
        <v>67</v>
      </c>
      <c r="J733" s="27"/>
      <c r="K733" s="40"/>
      <c r="L733" s="29" t="s">
        <v>126</v>
      </c>
      <c r="M733" s="29" t="s">
        <v>126</v>
      </c>
      <c r="N733" s="29" t="s">
        <v>126</v>
      </c>
    </row>
    <row r="734" spans="2:14" x14ac:dyDescent="0.25">
      <c r="B734" s="27" t="s">
        <v>123</v>
      </c>
      <c r="C734" s="28">
        <v>491006</v>
      </c>
      <c r="D734" s="28" t="s">
        <v>1796</v>
      </c>
      <c r="E734" s="27" t="s">
        <v>32</v>
      </c>
      <c r="F734" s="6" t="s">
        <v>1095</v>
      </c>
      <c r="G734" s="28" t="s">
        <v>48</v>
      </c>
      <c r="H734" s="28" t="s">
        <v>193</v>
      </c>
      <c r="I734" s="115">
        <v>339</v>
      </c>
      <c r="J734" s="27"/>
      <c r="K734" s="40"/>
      <c r="L734" s="29" t="s">
        <v>126</v>
      </c>
      <c r="M734" s="29" t="s">
        <v>126</v>
      </c>
      <c r="N734" s="29" t="s">
        <v>126</v>
      </c>
    </row>
    <row r="735" spans="2:14" x14ac:dyDescent="0.25">
      <c r="B735" s="27" t="s">
        <v>123</v>
      </c>
      <c r="C735" s="28">
        <v>535109</v>
      </c>
      <c r="D735" s="28" t="s">
        <v>1797</v>
      </c>
      <c r="E735" s="27" t="s">
        <v>32</v>
      </c>
      <c r="F735" s="6" t="s">
        <v>1095</v>
      </c>
      <c r="G735" s="28" t="s">
        <v>48</v>
      </c>
      <c r="H735" s="28" t="s">
        <v>193</v>
      </c>
      <c r="I735" s="115">
        <v>1749</v>
      </c>
      <c r="J735" s="27"/>
      <c r="K735" s="40"/>
      <c r="L735" s="29" t="s">
        <v>126</v>
      </c>
      <c r="M735" s="29" t="s">
        <v>126</v>
      </c>
      <c r="N735" s="29" t="s">
        <v>126</v>
      </c>
    </row>
    <row r="736" spans="2:14" x14ac:dyDescent="0.25">
      <c r="B736" s="27" t="s">
        <v>123</v>
      </c>
      <c r="C736" s="28">
        <v>589051</v>
      </c>
      <c r="D736" s="28" t="s">
        <v>1798</v>
      </c>
      <c r="E736" s="27" t="s">
        <v>32</v>
      </c>
      <c r="F736" s="6" t="s">
        <v>1095</v>
      </c>
      <c r="G736" s="28" t="s">
        <v>48</v>
      </c>
      <c r="H736" s="28" t="s">
        <v>193</v>
      </c>
      <c r="I736" s="115">
        <v>53</v>
      </c>
      <c r="J736" s="27"/>
      <c r="K736" s="40"/>
      <c r="L736" s="29" t="s">
        <v>126</v>
      </c>
      <c r="M736" s="29" t="s">
        <v>126</v>
      </c>
      <c r="N736" s="29" t="s">
        <v>126</v>
      </c>
    </row>
    <row r="737" spans="2:14" x14ac:dyDescent="0.25">
      <c r="B737" s="27" t="s">
        <v>123</v>
      </c>
      <c r="C737" s="28">
        <v>586491</v>
      </c>
      <c r="D737" s="28" t="s">
        <v>1799</v>
      </c>
      <c r="E737" s="27" t="s">
        <v>32</v>
      </c>
      <c r="F737" s="6" t="s">
        <v>1095</v>
      </c>
      <c r="G737" s="28" t="s">
        <v>48</v>
      </c>
      <c r="H737" s="28" t="s">
        <v>193</v>
      </c>
      <c r="I737" s="115">
        <v>39</v>
      </c>
      <c r="J737" s="27"/>
      <c r="K737" s="40"/>
      <c r="L737" s="29" t="s">
        <v>126</v>
      </c>
      <c r="M737" s="29" t="s">
        <v>126</v>
      </c>
      <c r="N737" s="29" t="s">
        <v>126</v>
      </c>
    </row>
    <row r="738" spans="2:14" x14ac:dyDescent="0.25">
      <c r="B738" s="27" t="s">
        <v>123</v>
      </c>
      <c r="C738" s="28">
        <v>586492</v>
      </c>
      <c r="D738" s="28" t="s">
        <v>1800</v>
      </c>
      <c r="E738" s="27" t="s">
        <v>32</v>
      </c>
      <c r="F738" s="6" t="s">
        <v>1095</v>
      </c>
      <c r="G738" s="28" t="s">
        <v>48</v>
      </c>
      <c r="H738" s="28" t="s">
        <v>193</v>
      </c>
      <c r="I738" s="115">
        <v>39</v>
      </c>
      <c r="J738" s="27"/>
      <c r="K738" s="40"/>
      <c r="L738" s="29" t="s">
        <v>126</v>
      </c>
      <c r="M738" s="29" t="s">
        <v>126</v>
      </c>
      <c r="N738" s="29" t="s">
        <v>126</v>
      </c>
    </row>
    <row r="739" spans="2:14" x14ac:dyDescent="0.25">
      <c r="B739" s="27" t="s">
        <v>123</v>
      </c>
      <c r="C739" s="28">
        <v>586493</v>
      </c>
      <c r="D739" s="28" t="s">
        <v>1801</v>
      </c>
      <c r="E739" s="27" t="s">
        <v>32</v>
      </c>
      <c r="F739" s="6" t="s">
        <v>1095</v>
      </c>
      <c r="G739" s="28" t="s">
        <v>48</v>
      </c>
      <c r="H739" s="28" t="s">
        <v>193</v>
      </c>
      <c r="I739" s="115">
        <v>39</v>
      </c>
      <c r="J739" s="27"/>
      <c r="K739" s="40"/>
      <c r="L739" s="29" t="s">
        <v>126</v>
      </c>
      <c r="M739" s="29" t="s">
        <v>126</v>
      </c>
      <c r="N739" s="29" t="s">
        <v>126</v>
      </c>
    </row>
    <row r="740" spans="2:14" x14ac:dyDescent="0.25">
      <c r="B740" s="27" t="s">
        <v>123</v>
      </c>
      <c r="C740" s="28">
        <v>586494</v>
      </c>
      <c r="D740" s="28" t="s">
        <v>1802</v>
      </c>
      <c r="E740" s="27" t="s">
        <v>32</v>
      </c>
      <c r="F740" s="6" t="s">
        <v>1095</v>
      </c>
      <c r="G740" s="28" t="s">
        <v>48</v>
      </c>
      <c r="H740" s="28" t="s">
        <v>193</v>
      </c>
      <c r="I740" s="115">
        <v>39</v>
      </c>
      <c r="J740" s="27"/>
      <c r="K740" s="40"/>
      <c r="L740" s="29" t="s">
        <v>126</v>
      </c>
      <c r="M740" s="29" t="s">
        <v>126</v>
      </c>
      <c r="N740" s="29" t="s">
        <v>126</v>
      </c>
    </row>
    <row r="741" spans="2:14" x14ac:dyDescent="0.25">
      <c r="B741" s="27" t="s">
        <v>123</v>
      </c>
      <c r="C741" s="28">
        <v>589292</v>
      </c>
      <c r="D741" s="28" t="s">
        <v>1803</v>
      </c>
      <c r="E741" s="27" t="s">
        <v>32</v>
      </c>
      <c r="F741" s="6" t="s">
        <v>1095</v>
      </c>
      <c r="G741" s="28" t="s">
        <v>48</v>
      </c>
      <c r="H741" s="28" t="s">
        <v>193</v>
      </c>
      <c r="I741" s="115">
        <v>39</v>
      </c>
      <c r="J741" s="27"/>
      <c r="K741" s="40"/>
      <c r="L741" s="29" t="s">
        <v>126</v>
      </c>
      <c r="M741" s="29" t="s">
        <v>126</v>
      </c>
      <c r="N741" s="29" t="s">
        <v>126</v>
      </c>
    </row>
    <row r="742" spans="2:14" x14ac:dyDescent="0.25">
      <c r="B742" s="27" t="s">
        <v>123</v>
      </c>
      <c r="C742" s="28">
        <v>586495</v>
      </c>
      <c r="D742" s="28" t="s">
        <v>1804</v>
      </c>
      <c r="E742" s="27" t="s">
        <v>32</v>
      </c>
      <c r="F742" s="6" t="s">
        <v>1095</v>
      </c>
      <c r="G742" s="28" t="s">
        <v>48</v>
      </c>
      <c r="H742" s="28" t="s">
        <v>193</v>
      </c>
      <c r="I742" s="115">
        <v>39</v>
      </c>
      <c r="J742" s="27"/>
      <c r="K742" s="40"/>
      <c r="L742" s="29" t="s">
        <v>126</v>
      </c>
      <c r="M742" s="29" t="s">
        <v>126</v>
      </c>
      <c r="N742" s="29" t="s">
        <v>126</v>
      </c>
    </row>
    <row r="743" spans="2:14" x14ac:dyDescent="0.25">
      <c r="B743" s="27" t="s">
        <v>123</v>
      </c>
      <c r="C743" s="28">
        <v>586496</v>
      </c>
      <c r="D743" s="28" t="s">
        <v>1805</v>
      </c>
      <c r="E743" s="27" t="s">
        <v>32</v>
      </c>
      <c r="F743" s="6" t="s">
        <v>1095</v>
      </c>
      <c r="G743" s="28" t="s">
        <v>48</v>
      </c>
      <c r="H743" s="28" t="s">
        <v>193</v>
      </c>
      <c r="I743" s="115">
        <v>39</v>
      </c>
      <c r="J743" s="27"/>
      <c r="K743" s="40"/>
      <c r="L743" s="29" t="s">
        <v>126</v>
      </c>
      <c r="M743" s="29" t="s">
        <v>126</v>
      </c>
      <c r="N743" s="29" t="s">
        <v>126</v>
      </c>
    </row>
    <row r="744" spans="2:14" x14ac:dyDescent="0.25">
      <c r="B744" s="27" t="s">
        <v>123</v>
      </c>
      <c r="C744" s="28">
        <v>586497</v>
      </c>
      <c r="D744" s="28" t="s">
        <v>1806</v>
      </c>
      <c r="E744" s="27" t="s">
        <v>32</v>
      </c>
      <c r="F744" s="6" t="s">
        <v>1095</v>
      </c>
      <c r="G744" s="28" t="s">
        <v>48</v>
      </c>
      <c r="H744" s="28" t="s">
        <v>193</v>
      </c>
      <c r="I744" s="115">
        <v>39</v>
      </c>
      <c r="J744" s="27"/>
      <c r="K744" s="40"/>
      <c r="L744" s="29" t="s">
        <v>126</v>
      </c>
      <c r="M744" s="29" t="s">
        <v>126</v>
      </c>
      <c r="N744" s="29" t="s">
        <v>126</v>
      </c>
    </row>
    <row r="745" spans="2:14" x14ac:dyDescent="0.25">
      <c r="B745" s="27" t="s">
        <v>123</v>
      </c>
      <c r="C745" s="28">
        <v>550654</v>
      </c>
      <c r="D745" s="28" t="s">
        <v>1807</v>
      </c>
      <c r="E745" s="27" t="s">
        <v>32</v>
      </c>
      <c r="F745" s="6" t="s">
        <v>1095</v>
      </c>
      <c r="G745" s="28" t="s">
        <v>48</v>
      </c>
      <c r="H745" s="28" t="s">
        <v>193</v>
      </c>
      <c r="I745" s="115">
        <v>46</v>
      </c>
      <c r="J745" s="27"/>
      <c r="K745" s="40"/>
      <c r="L745" s="29" t="s">
        <v>126</v>
      </c>
      <c r="M745" s="29" t="s">
        <v>126</v>
      </c>
      <c r="N745" s="29" t="s">
        <v>126</v>
      </c>
    </row>
    <row r="746" spans="2:14" x14ac:dyDescent="0.25">
      <c r="B746" s="27" t="s">
        <v>123</v>
      </c>
      <c r="C746" s="28">
        <v>566196</v>
      </c>
      <c r="D746" s="28" t="s">
        <v>794</v>
      </c>
      <c r="E746" s="27" t="s">
        <v>32</v>
      </c>
      <c r="F746" s="6" t="s">
        <v>1095</v>
      </c>
      <c r="G746" s="28" t="s">
        <v>48</v>
      </c>
      <c r="H746" s="28" t="s">
        <v>193</v>
      </c>
      <c r="I746" s="115">
        <v>12</v>
      </c>
      <c r="J746" s="27"/>
      <c r="K746" s="40"/>
      <c r="L746" s="29" t="s">
        <v>126</v>
      </c>
      <c r="M746" s="29" t="s">
        <v>126</v>
      </c>
      <c r="N746" s="29" t="s">
        <v>126</v>
      </c>
    </row>
    <row r="747" spans="2:14" x14ac:dyDescent="0.25">
      <c r="B747" s="27" t="s">
        <v>123</v>
      </c>
      <c r="C747" s="28">
        <v>566197</v>
      </c>
      <c r="D747" s="28" t="s">
        <v>796</v>
      </c>
      <c r="E747" s="27" t="s">
        <v>32</v>
      </c>
      <c r="F747" s="6" t="s">
        <v>1095</v>
      </c>
      <c r="G747" s="28" t="s">
        <v>48</v>
      </c>
      <c r="H747" s="28" t="s">
        <v>193</v>
      </c>
      <c r="I747" s="115">
        <v>12</v>
      </c>
      <c r="J747" s="27"/>
      <c r="K747" s="40"/>
      <c r="L747" s="29" t="s">
        <v>126</v>
      </c>
      <c r="M747" s="29" t="s">
        <v>126</v>
      </c>
      <c r="N747" s="29" t="s">
        <v>126</v>
      </c>
    </row>
    <row r="748" spans="2:14" x14ac:dyDescent="0.25">
      <c r="B748" s="27" t="s">
        <v>123</v>
      </c>
      <c r="C748" s="28">
        <v>566198</v>
      </c>
      <c r="D748" s="28" t="s">
        <v>795</v>
      </c>
      <c r="E748" s="27" t="s">
        <v>32</v>
      </c>
      <c r="F748" s="6" t="s">
        <v>1095</v>
      </c>
      <c r="G748" s="28" t="s">
        <v>48</v>
      </c>
      <c r="H748" s="28" t="s">
        <v>193</v>
      </c>
      <c r="I748" s="115">
        <v>12</v>
      </c>
      <c r="J748" s="27"/>
      <c r="K748" s="40"/>
      <c r="L748" s="29" t="s">
        <v>126</v>
      </c>
      <c r="M748" s="29" t="s">
        <v>126</v>
      </c>
      <c r="N748" s="29" t="s">
        <v>126</v>
      </c>
    </row>
    <row r="749" spans="2:14" x14ac:dyDescent="0.25">
      <c r="B749" s="27" t="s">
        <v>123</v>
      </c>
      <c r="C749" s="28">
        <v>597242</v>
      </c>
      <c r="D749" s="28" t="s">
        <v>1808</v>
      </c>
      <c r="E749" s="27" t="s">
        <v>32</v>
      </c>
      <c r="F749" s="6" t="s">
        <v>1095</v>
      </c>
      <c r="G749" s="28" t="s">
        <v>48</v>
      </c>
      <c r="H749" s="28" t="s">
        <v>193</v>
      </c>
      <c r="I749" s="115">
        <v>649</v>
      </c>
      <c r="J749" s="27"/>
      <c r="K749" s="40"/>
      <c r="L749" s="29" t="s">
        <v>126</v>
      </c>
      <c r="M749" s="29" t="s">
        <v>126</v>
      </c>
      <c r="N749" s="29" t="s">
        <v>126</v>
      </c>
    </row>
    <row r="750" spans="2:14" x14ac:dyDescent="0.25">
      <c r="B750" s="27" t="s">
        <v>123</v>
      </c>
      <c r="C750" s="28">
        <v>597244</v>
      </c>
      <c r="D750" s="28" t="s">
        <v>1809</v>
      </c>
      <c r="E750" s="27" t="s">
        <v>32</v>
      </c>
      <c r="F750" s="6" t="s">
        <v>1095</v>
      </c>
      <c r="G750" s="28" t="s">
        <v>48</v>
      </c>
      <c r="H750" s="28" t="s">
        <v>193</v>
      </c>
      <c r="I750" s="115">
        <v>719</v>
      </c>
      <c r="J750" s="27"/>
      <c r="K750" s="40"/>
      <c r="L750" s="29" t="s">
        <v>126</v>
      </c>
      <c r="M750" s="29" t="s">
        <v>126</v>
      </c>
      <c r="N750" s="29" t="s">
        <v>126</v>
      </c>
    </row>
    <row r="751" spans="2:14" x14ac:dyDescent="0.25">
      <c r="B751" s="27" t="s">
        <v>123</v>
      </c>
      <c r="C751" s="28">
        <v>535296</v>
      </c>
      <c r="D751" s="28" t="s">
        <v>454</v>
      </c>
      <c r="E751" s="27" t="s">
        <v>32</v>
      </c>
      <c r="F751" s="6" t="s">
        <v>1095</v>
      </c>
      <c r="G751" s="28" t="s">
        <v>48</v>
      </c>
      <c r="H751" s="28" t="s">
        <v>193</v>
      </c>
      <c r="I751" s="115">
        <v>81</v>
      </c>
      <c r="J751" s="27"/>
      <c r="K751" s="40"/>
      <c r="L751" s="29" t="s">
        <v>126</v>
      </c>
      <c r="M751" s="29" t="s">
        <v>126</v>
      </c>
      <c r="N751" s="29" t="s">
        <v>126</v>
      </c>
    </row>
    <row r="752" spans="2:14" x14ac:dyDescent="0.25">
      <c r="B752" s="27" t="s">
        <v>123</v>
      </c>
      <c r="C752" s="28">
        <v>535297</v>
      </c>
      <c r="D752" s="28" t="s">
        <v>453</v>
      </c>
      <c r="E752" s="27" t="s">
        <v>32</v>
      </c>
      <c r="F752" s="6" t="s">
        <v>1095</v>
      </c>
      <c r="G752" s="28" t="s">
        <v>48</v>
      </c>
      <c r="H752" s="28" t="s">
        <v>193</v>
      </c>
      <c r="I752" s="115">
        <v>39</v>
      </c>
      <c r="J752" s="27"/>
      <c r="K752" s="40"/>
      <c r="L752" s="29" t="s">
        <v>126</v>
      </c>
      <c r="M752" s="29" t="s">
        <v>126</v>
      </c>
      <c r="N752" s="29" t="s">
        <v>126</v>
      </c>
    </row>
    <row r="753" spans="2:14" x14ac:dyDescent="0.25">
      <c r="B753" s="27" t="s">
        <v>123</v>
      </c>
      <c r="C753" s="28">
        <v>587265</v>
      </c>
      <c r="D753" s="28" t="s">
        <v>1810</v>
      </c>
      <c r="E753" s="27" t="s">
        <v>32</v>
      </c>
      <c r="F753" s="6" t="s">
        <v>1095</v>
      </c>
      <c r="G753" s="28" t="s">
        <v>48</v>
      </c>
      <c r="H753" s="28" t="s">
        <v>129</v>
      </c>
      <c r="I753" s="115">
        <v>599</v>
      </c>
      <c r="J753" s="27"/>
      <c r="K753" s="40"/>
      <c r="L753" s="29" t="s">
        <v>126</v>
      </c>
      <c r="M753" s="29" t="s">
        <v>126</v>
      </c>
      <c r="N753" s="29" t="s">
        <v>126</v>
      </c>
    </row>
    <row r="754" spans="2:14" x14ac:dyDescent="0.25">
      <c r="B754" s="27" t="s">
        <v>123</v>
      </c>
      <c r="C754" s="28">
        <v>587263</v>
      </c>
      <c r="D754" s="28" t="s">
        <v>1811</v>
      </c>
      <c r="E754" s="27" t="s">
        <v>32</v>
      </c>
      <c r="F754" s="6" t="s">
        <v>1095</v>
      </c>
      <c r="G754" s="28" t="s">
        <v>48</v>
      </c>
      <c r="H754" s="28" t="s">
        <v>129</v>
      </c>
      <c r="I754" s="115">
        <v>599</v>
      </c>
      <c r="J754" s="27"/>
      <c r="K754" s="40"/>
      <c r="L754" s="29" t="s">
        <v>126</v>
      </c>
      <c r="M754" s="29" t="s">
        <v>126</v>
      </c>
      <c r="N754" s="29" t="s">
        <v>126</v>
      </c>
    </row>
    <row r="755" spans="2:14" x14ac:dyDescent="0.25">
      <c r="B755" s="27" t="s">
        <v>123</v>
      </c>
      <c r="C755" s="28">
        <v>587262</v>
      </c>
      <c r="D755" s="28" t="s">
        <v>1812</v>
      </c>
      <c r="E755" s="27" t="s">
        <v>32</v>
      </c>
      <c r="F755" s="6" t="s">
        <v>1095</v>
      </c>
      <c r="G755" s="28" t="s">
        <v>48</v>
      </c>
      <c r="H755" s="28" t="s">
        <v>129</v>
      </c>
      <c r="I755" s="115">
        <v>599</v>
      </c>
      <c r="J755" s="27"/>
      <c r="K755" s="40"/>
      <c r="L755" s="29" t="s">
        <v>126</v>
      </c>
      <c r="M755" s="29" t="s">
        <v>126</v>
      </c>
      <c r="N755" s="29" t="s">
        <v>126</v>
      </c>
    </row>
    <row r="756" spans="2:14" x14ac:dyDescent="0.25">
      <c r="B756" s="27" t="s">
        <v>123</v>
      </c>
      <c r="C756" s="28">
        <v>587261</v>
      </c>
      <c r="D756" s="28" t="s">
        <v>1813</v>
      </c>
      <c r="E756" s="27" t="s">
        <v>32</v>
      </c>
      <c r="F756" s="6" t="s">
        <v>1095</v>
      </c>
      <c r="G756" s="28" t="s">
        <v>48</v>
      </c>
      <c r="H756" s="28" t="s">
        <v>129</v>
      </c>
      <c r="I756" s="115">
        <v>599</v>
      </c>
      <c r="J756" s="27"/>
      <c r="K756" s="40"/>
      <c r="L756" s="29" t="s">
        <v>126</v>
      </c>
      <c r="M756" s="29" t="s">
        <v>126</v>
      </c>
      <c r="N756" s="29" t="s">
        <v>126</v>
      </c>
    </row>
    <row r="757" spans="2:14" x14ac:dyDescent="0.25">
      <c r="B757" s="27" t="s">
        <v>123</v>
      </c>
      <c r="C757" s="28">
        <v>515057</v>
      </c>
      <c r="D757" s="28" t="s">
        <v>1814</v>
      </c>
      <c r="E757" s="27" t="s">
        <v>32</v>
      </c>
      <c r="F757" s="6" t="s">
        <v>1095</v>
      </c>
      <c r="G757" s="28" t="s">
        <v>48</v>
      </c>
      <c r="H757" s="28" t="s">
        <v>129</v>
      </c>
      <c r="I757" s="115">
        <v>599</v>
      </c>
      <c r="J757" s="27"/>
      <c r="K757" s="40"/>
      <c r="L757" s="29" t="s">
        <v>126</v>
      </c>
      <c r="M757" s="29" t="s">
        <v>126</v>
      </c>
      <c r="N757" s="29" t="s">
        <v>126</v>
      </c>
    </row>
    <row r="758" spans="2:14" x14ac:dyDescent="0.25">
      <c r="B758" s="27" t="s">
        <v>123</v>
      </c>
      <c r="C758" s="28">
        <v>587266</v>
      </c>
      <c r="D758" s="28" t="s">
        <v>1815</v>
      </c>
      <c r="E758" s="27" t="s">
        <v>32</v>
      </c>
      <c r="F758" s="6" t="s">
        <v>1095</v>
      </c>
      <c r="G758" s="28" t="s">
        <v>48</v>
      </c>
      <c r="H758" s="28" t="s">
        <v>129</v>
      </c>
      <c r="I758" s="115">
        <v>599</v>
      </c>
      <c r="J758" s="27"/>
      <c r="K758" s="40"/>
      <c r="L758" s="29" t="s">
        <v>126</v>
      </c>
      <c r="M758" s="29" t="s">
        <v>126</v>
      </c>
      <c r="N758" s="29" t="s">
        <v>126</v>
      </c>
    </row>
    <row r="759" spans="2:14" x14ac:dyDescent="0.25">
      <c r="B759" s="27" t="s">
        <v>123</v>
      </c>
      <c r="C759" s="28">
        <v>601036</v>
      </c>
      <c r="D759" s="28" t="s">
        <v>1816</v>
      </c>
      <c r="E759" s="27" t="s">
        <v>32</v>
      </c>
      <c r="F759" s="6" t="s">
        <v>1095</v>
      </c>
      <c r="G759" s="28" t="s">
        <v>48</v>
      </c>
      <c r="H759" s="28" t="s">
        <v>129</v>
      </c>
      <c r="I759" s="115">
        <v>899</v>
      </c>
      <c r="J759" s="27"/>
      <c r="K759" s="40"/>
      <c r="L759" s="29" t="s">
        <v>126</v>
      </c>
      <c r="M759" s="29" t="s">
        <v>126</v>
      </c>
      <c r="N759" s="29" t="s">
        <v>126</v>
      </c>
    </row>
    <row r="760" spans="2:14" x14ac:dyDescent="0.25">
      <c r="B760" s="27" t="s">
        <v>123</v>
      </c>
      <c r="C760" s="28">
        <v>601037</v>
      </c>
      <c r="D760" s="28" t="s">
        <v>1817</v>
      </c>
      <c r="E760" s="27" t="s">
        <v>32</v>
      </c>
      <c r="F760" s="6" t="s">
        <v>1095</v>
      </c>
      <c r="G760" s="28" t="s">
        <v>48</v>
      </c>
      <c r="H760" s="28" t="s">
        <v>129</v>
      </c>
      <c r="I760" s="115">
        <v>899</v>
      </c>
      <c r="J760" s="27"/>
      <c r="K760" s="40"/>
      <c r="L760" s="29" t="s">
        <v>126</v>
      </c>
      <c r="M760" s="29" t="s">
        <v>126</v>
      </c>
      <c r="N760" s="29" t="s">
        <v>126</v>
      </c>
    </row>
    <row r="761" spans="2:14" x14ac:dyDescent="0.25">
      <c r="B761" s="27" t="s">
        <v>123</v>
      </c>
      <c r="C761" s="28">
        <v>601038</v>
      </c>
      <c r="D761" s="28" t="s">
        <v>1818</v>
      </c>
      <c r="E761" s="27" t="s">
        <v>32</v>
      </c>
      <c r="F761" s="6" t="s">
        <v>1095</v>
      </c>
      <c r="G761" s="28" t="s">
        <v>48</v>
      </c>
      <c r="H761" s="28" t="s">
        <v>129</v>
      </c>
      <c r="I761" s="115">
        <v>899</v>
      </c>
      <c r="J761" s="27"/>
      <c r="K761" s="40"/>
      <c r="L761" s="29" t="s">
        <v>126</v>
      </c>
      <c r="M761" s="29" t="s">
        <v>126</v>
      </c>
      <c r="N761" s="29" t="s">
        <v>126</v>
      </c>
    </row>
    <row r="762" spans="2:14" x14ac:dyDescent="0.25">
      <c r="B762" s="27" t="s">
        <v>123</v>
      </c>
      <c r="C762" s="28">
        <v>601039</v>
      </c>
      <c r="D762" s="28" t="s">
        <v>1819</v>
      </c>
      <c r="E762" s="27" t="s">
        <v>32</v>
      </c>
      <c r="F762" s="6" t="s">
        <v>1095</v>
      </c>
      <c r="G762" s="28" t="s">
        <v>48</v>
      </c>
      <c r="H762" s="28" t="s">
        <v>129</v>
      </c>
      <c r="I762" s="115">
        <v>899</v>
      </c>
      <c r="J762" s="27"/>
      <c r="K762" s="40"/>
      <c r="L762" s="29" t="s">
        <v>126</v>
      </c>
      <c r="M762" s="29" t="s">
        <v>126</v>
      </c>
      <c r="N762" s="29" t="s">
        <v>126</v>
      </c>
    </row>
    <row r="763" spans="2:14" x14ac:dyDescent="0.25">
      <c r="B763" s="27" t="s">
        <v>123</v>
      </c>
      <c r="C763" s="28">
        <v>219172</v>
      </c>
      <c r="D763" s="28" t="s">
        <v>1820</v>
      </c>
      <c r="E763" s="27" t="s">
        <v>32</v>
      </c>
      <c r="F763" s="6" t="s">
        <v>1095</v>
      </c>
      <c r="G763" s="28" t="s">
        <v>55</v>
      </c>
      <c r="H763" s="28" t="s">
        <v>129</v>
      </c>
      <c r="I763" s="109" t="s">
        <v>2031</v>
      </c>
      <c r="J763" s="27"/>
      <c r="K763" s="40"/>
      <c r="L763" s="29" t="s">
        <v>126</v>
      </c>
      <c r="M763" s="29" t="s">
        <v>126</v>
      </c>
      <c r="N763" s="29" t="s">
        <v>126</v>
      </c>
    </row>
    <row r="764" spans="2:14" x14ac:dyDescent="0.25">
      <c r="B764" s="27" t="s">
        <v>123</v>
      </c>
      <c r="C764" s="28">
        <v>223677</v>
      </c>
      <c r="D764" s="28" t="s">
        <v>1821</v>
      </c>
      <c r="E764" s="27" t="s">
        <v>32</v>
      </c>
      <c r="F764" s="6" t="s">
        <v>1095</v>
      </c>
      <c r="G764" s="28" t="s">
        <v>55</v>
      </c>
      <c r="H764" s="28" t="s">
        <v>129</v>
      </c>
      <c r="I764" s="109" t="s">
        <v>2031</v>
      </c>
      <c r="J764" s="27"/>
      <c r="K764" s="40"/>
      <c r="L764" s="29" t="s">
        <v>126</v>
      </c>
      <c r="M764" s="29" t="s">
        <v>126</v>
      </c>
      <c r="N764" s="29" t="s">
        <v>126</v>
      </c>
    </row>
    <row r="765" spans="2:14" x14ac:dyDescent="0.25">
      <c r="B765" s="27" t="s">
        <v>123</v>
      </c>
      <c r="C765" s="28">
        <v>210616</v>
      </c>
      <c r="D765" s="28" t="s">
        <v>1822</v>
      </c>
      <c r="E765" s="27" t="s">
        <v>32</v>
      </c>
      <c r="F765" s="6" t="s">
        <v>1095</v>
      </c>
      <c r="G765" s="28" t="s">
        <v>55</v>
      </c>
      <c r="H765" s="28" t="s">
        <v>129</v>
      </c>
      <c r="I765" s="109" t="s">
        <v>2031</v>
      </c>
      <c r="J765" s="27"/>
      <c r="K765" s="40"/>
      <c r="L765" s="29" t="s">
        <v>126</v>
      </c>
      <c r="M765" s="29" t="s">
        <v>126</v>
      </c>
      <c r="N765" s="29" t="s">
        <v>126</v>
      </c>
    </row>
    <row r="766" spans="2:14" x14ac:dyDescent="0.25">
      <c r="B766" s="27" t="s">
        <v>123</v>
      </c>
      <c r="C766" s="28">
        <v>223676</v>
      </c>
      <c r="D766" s="28" t="s">
        <v>1823</v>
      </c>
      <c r="E766" s="27" t="s">
        <v>32</v>
      </c>
      <c r="F766" s="6" t="s">
        <v>1095</v>
      </c>
      <c r="G766" s="28" t="s">
        <v>55</v>
      </c>
      <c r="H766" s="28" t="s">
        <v>129</v>
      </c>
      <c r="I766" s="109" t="s">
        <v>2031</v>
      </c>
      <c r="J766" s="27"/>
      <c r="K766" s="40"/>
      <c r="L766" s="29" t="s">
        <v>126</v>
      </c>
      <c r="M766" s="29" t="s">
        <v>126</v>
      </c>
      <c r="N766" s="29" t="s">
        <v>126</v>
      </c>
    </row>
    <row r="767" spans="2:14" x14ac:dyDescent="0.25">
      <c r="B767" s="27" t="s">
        <v>123</v>
      </c>
      <c r="C767" s="28">
        <v>534943</v>
      </c>
      <c r="D767" s="28" t="s">
        <v>1824</v>
      </c>
      <c r="E767" s="27" t="s">
        <v>32</v>
      </c>
      <c r="F767" s="6" t="s">
        <v>1095</v>
      </c>
      <c r="G767" s="28" t="s">
        <v>55</v>
      </c>
      <c r="H767" s="28" t="s">
        <v>129</v>
      </c>
      <c r="I767" s="109" t="s">
        <v>2031</v>
      </c>
      <c r="J767" s="27"/>
      <c r="K767" s="40"/>
      <c r="L767" s="29" t="s">
        <v>126</v>
      </c>
      <c r="M767" s="29" t="s">
        <v>126</v>
      </c>
      <c r="N767" s="29" t="s">
        <v>126</v>
      </c>
    </row>
    <row r="768" spans="2:14" x14ac:dyDescent="0.25">
      <c r="B768" s="27" t="s">
        <v>123</v>
      </c>
      <c r="C768" s="28">
        <v>270542</v>
      </c>
      <c r="D768" s="28" t="s">
        <v>1825</v>
      </c>
      <c r="E768" s="27" t="s">
        <v>32</v>
      </c>
      <c r="F768" s="6" t="s">
        <v>1095</v>
      </c>
      <c r="G768" s="28" t="s">
        <v>55</v>
      </c>
      <c r="H768" s="28" t="s">
        <v>129</v>
      </c>
      <c r="I768" s="109" t="s">
        <v>2031</v>
      </c>
      <c r="J768" s="27"/>
      <c r="K768" s="40"/>
      <c r="L768" s="29" t="s">
        <v>126</v>
      </c>
      <c r="M768" s="29" t="s">
        <v>126</v>
      </c>
      <c r="N768" s="29" t="s">
        <v>126</v>
      </c>
    </row>
    <row r="769" spans="2:14" x14ac:dyDescent="0.25">
      <c r="B769" s="27" t="s">
        <v>123</v>
      </c>
      <c r="C769" s="28">
        <v>534942</v>
      </c>
      <c r="D769" s="28" t="s">
        <v>1826</v>
      </c>
      <c r="E769" s="27" t="s">
        <v>32</v>
      </c>
      <c r="F769" s="6" t="s">
        <v>1095</v>
      </c>
      <c r="G769" s="28" t="s">
        <v>55</v>
      </c>
      <c r="H769" s="28" t="s">
        <v>129</v>
      </c>
      <c r="I769" s="109" t="s">
        <v>2031</v>
      </c>
      <c r="J769" s="27"/>
      <c r="K769" s="40"/>
      <c r="L769" s="29" t="s">
        <v>126</v>
      </c>
      <c r="M769" s="29" t="s">
        <v>126</v>
      </c>
      <c r="N769" s="29" t="s">
        <v>126</v>
      </c>
    </row>
    <row r="770" spans="2:14" x14ac:dyDescent="0.25">
      <c r="B770" s="27" t="s">
        <v>123</v>
      </c>
      <c r="C770" s="28">
        <v>219174</v>
      </c>
      <c r="D770" s="28" t="s">
        <v>1827</v>
      </c>
      <c r="E770" s="27" t="s">
        <v>32</v>
      </c>
      <c r="F770" s="6" t="s">
        <v>1095</v>
      </c>
      <c r="G770" s="28" t="s">
        <v>55</v>
      </c>
      <c r="H770" s="28" t="s">
        <v>129</v>
      </c>
      <c r="I770" s="109" t="s">
        <v>2031</v>
      </c>
      <c r="J770" s="27"/>
      <c r="K770" s="40"/>
      <c r="L770" s="29" t="s">
        <v>126</v>
      </c>
      <c r="M770" s="29" t="s">
        <v>126</v>
      </c>
      <c r="N770" s="29" t="s">
        <v>126</v>
      </c>
    </row>
    <row r="771" spans="2:14" x14ac:dyDescent="0.25">
      <c r="B771" s="27" t="s">
        <v>123</v>
      </c>
      <c r="C771" s="28">
        <v>588798</v>
      </c>
      <c r="D771" s="28" t="s">
        <v>1828</v>
      </c>
      <c r="E771" s="27" t="s">
        <v>32</v>
      </c>
      <c r="F771" s="6" t="s">
        <v>1095</v>
      </c>
      <c r="G771" s="28" t="s">
        <v>55</v>
      </c>
      <c r="H771" s="28" t="s">
        <v>129</v>
      </c>
      <c r="I771" s="109" t="s">
        <v>2031</v>
      </c>
      <c r="J771" s="27"/>
      <c r="K771" s="40"/>
      <c r="L771" s="29" t="s">
        <v>126</v>
      </c>
      <c r="M771" s="29" t="s">
        <v>126</v>
      </c>
      <c r="N771" s="29" t="s">
        <v>126</v>
      </c>
    </row>
    <row r="772" spans="2:14" x14ac:dyDescent="0.25">
      <c r="B772" s="27" t="s">
        <v>123</v>
      </c>
      <c r="C772" s="28">
        <v>224925</v>
      </c>
      <c r="D772" s="28" t="s">
        <v>1829</v>
      </c>
      <c r="E772" s="27" t="s">
        <v>32</v>
      </c>
      <c r="F772" s="6" t="s">
        <v>1095</v>
      </c>
      <c r="G772" s="28" t="s">
        <v>55</v>
      </c>
      <c r="H772" s="28" t="s">
        <v>129</v>
      </c>
      <c r="I772" s="109" t="s">
        <v>2031</v>
      </c>
      <c r="J772" s="27"/>
      <c r="K772" s="40"/>
      <c r="L772" s="29" t="s">
        <v>126</v>
      </c>
      <c r="M772" s="29" t="s">
        <v>126</v>
      </c>
      <c r="N772" s="29" t="s">
        <v>126</v>
      </c>
    </row>
    <row r="773" spans="2:14" x14ac:dyDescent="0.25">
      <c r="B773" s="27" t="s">
        <v>123</v>
      </c>
      <c r="C773" s="28">
        <v>534945</v>
      </c>
      <c r="D773" s="28" t="s">
        <v>1830</v>
      </c>
      <c r="E773" s="27" t="s">
        <v>32</v>
      </c>
      <c r="F773" s="6" t="s">
        <v>1095</v>
      </c>
      <c r="G773" s="28" t="s">
        <v>55</v>
      </c>
      <c r="H773" s="28" t="s">
        <v>129</v>
      </c>
      <c r="I773" s="109" t="s">
        <v>2031</v>
      </c>
      <c r="J773" s="27"/>
      <c r="K773" s="40"/>
      <c r="L773" s="29" t="s">
        <v>126</v>
      </c>
      <c r="M773" s="29" t="s">
        <v>126</v>
      </c>
      <c r="N773" s="29" t="s">
        <v>126</v>
      </c>
    </row>
    <row r="774" spans="2:14" x14ac:dyDescent="0.25">
      <c r="B774" s="27" t="s">
        <v>123</v>
      </c>
      <c r="C774" s="28">
        <v>581321</v>
      </c>
      <c r="D774" s="28" t="s">
        <v>1831</v>
      </c>
      <c r="E774" s="27" t="s">
        <v>32</v>
      </c>
      <c r="F774" s="6" t="s">
        <v>1095</v>
      </c>
      <c r="G774" s="28" t="s">
        <v>55</v>
      </c>
      <c r="H774" s="28" t="s">
        <v>129</v>
      </c>
      <c r="I774" s="109" t="s">
        <v>2031</v>
      </c>
      <c r="J774" s="27"/>
      <c r="K774" s="40"/>
      <c r="L774" s="29" t="s">
        <v>126</v>
      </c>
      <c r="M774" s="29" t="s">
        <v>126</v>
      </c>
      <c r="N774" s="29" t="s">
        <v>126</v>
      </c>
    </row>
    <row r="775" spans="2:14" x14ac:dyDescent="0.25">
      <c r="B775" s="27" t="s">
        <v>123</v>
      </c>
      <c r="C775" s="28">
        <v>412506</v>
      </c>
      <c r="D775" s="28" t="s">
        <v>1832</v>
      </c>
      <c r="E775" s="27" t="s">
        <v>32</v>
      </c>
      <c r="F775" s="6" t="s">
        <v>1095</v>
      </c>
      <c r="G775" s="28" t="s">
        <v>55</v>
      </c>
      <c r="H775" s="28" t="s">
        <v>129</v>
      </c>
      <c r="I775" s="109" t="s">
        <v>2031</v>
      </c>
      <c r="J775" s="27"/>
      <c r="K775" s="40"/>
      <c r="L775" s="29" t="s">
        <v>126</v>
      </c>
      <c r="M775" s="29" t="s">
        <v>126</v>
      </c>
      <c r="N775" s="29" t="s">
        <v>126</v>
      </c>
    </row>
    <row r="776" spans="2:14" x14ac:dyDescent="0.25">
      <c r="B776" s="27" t="s">
        <v>123</v>
      </c>
      <c r="C776" s="28">
        <v>501720</v>
      </c>
      <c r="D776" s="28" t="s">
        <v>1833</v>
      </c>
      <c r="E776" s="27" t="s">
        <v>32</v>
      </c>
      <c r="F776" s="6" t="s">
        <v>1095</v>
      </c>
      <c r="G776" s="28" t="s">
        <v>55</v>
      </c>
      <c r="H776" s="28" t="s">
        <v>129</v>
      </c>
      <c r="I776" s="109" t="s">
        <v>2031</v>
      </c>
      <c r="J776" s="27"/>
      <c r="K776" s="40"/>
      <c r="L776" s="29" t="s">
        <v>126</v>
      </c>
      <c r="M776" s="29" t="s">
        <v>126</v>
      </c>
      <c r="N776" s="29" t="s">
        <v>126</v>
      </c>
    </row>
    <row r="777" spans="2:14" x14ac:dyDescent="0.25">
      <c r="B777" s="27" t="s">
        <v>123</v>
      </c>
      <c r="C777" s="28">
        <v>568750</v>
      </c>
      <c r="D777" s="28" t="s">
        <v>1834</v>
      </c>
      <c r="E777" s="27" t="s">
        <v>32</v>
      </c>
      <c r="F777" s="6" t="s">
        <v>1095</v>
      </c>
      <c r="G777" s="28" t="s">
        <v>55</v>
      </c>
      <c r="H777" s="28" t="s">
        <v>129</v>
      </c>
      <c r="I777" s="109" t="s">
        <v>2031</v>
      </c>
      <c r="J777" s="27"/>
      <c r="K777" s="40"/>
      <c r="L777" s="29" t="s">
        <v>126</v>
      </c>
      <c r="M777" s="29" t="s">
        <v>126</v>
      </c>
      <c r="N777" s="29" t="s">
        <v>126</v>
      </c>
    </row>
    <row r="778" spans="2:14" x14ac:dyDescent="0.25">
      <c r="B778" s="27" t="s">
        <v>123</v>
      </c>
      <c r="C778" s="28">
        <v>420533</v>
      </c>
      <c r="D778" s="28" t="s">
        <v>1835</v>
      </c>
      <c r="E778" s="27" t="s">
        <v>32</v>
      </c>
      <c r="F778" s="6" t="s">
        <v>1095</v>
      </c>
      <c r="G778" s="28" t="s">
        <v>55</v>
      </c>
      <c r="H778" s="28" t="s">
        <v>129</v>
      </c>
      <c r="I778" s="109" t="s">
        <v>2031</v>
      </c>
      <c r="J778" s="27"/>
      <c r="K778" s="40"/>
      <c r="L778" s="29" t="s">
        <v>126</v>
      </c>
      <c r="M778" s="29" t="s">
        <v>126</v>
      </c>
      <c r="N778" s="29" t="s">
        <v>126</v>
      </c>
    </row>
    <row r="779" spans="2:14" x14ac:dyDescent="0.25">
      <c r="B779" s="27" t="s">
        <v>123</v>
      </c>
      <c r="C779" s="28">
        <v>401498</v>
      </c>
      <c r="D779" s="28" t="s">
        <v>1836</v>
      </c>
      <c r="E779" s="27" t="s">
        <v>32</v>
      </c>
      <c r="F779" s="6" t="s">
        <v>1095</v>
      </c>
      <c r="G779" s="28" t="s">
        <v>55</v>
      </c>
      <c r="H779" s="28" t="s">
        <v>129</v>
      </c>
      <c r="I779" s="109" t="s">
        <v>2031</v>
      </c>
      <c r="J779" s="27"/>
      <c r="K779" s="40"/>
      <c r="L779" s="29" t="s">
        <v>126</v>
      </c>
      <c r="M779" s="29" t="s">
        <v>126</v>
      </c>
      <c r="N779" s="29" t="s">
        <v>126</v>
      </c>
    </row>
    <row r="780" spans="2:14" x14ac:dyDescent="0.25">
      <c r="B780" s="27" t="s">
        <v>123</v>
      </c>
      <c r="C780" s="28">
        <v>588799</v>
      </c>
      <c r="D780" s="28" t="s">
        <v>1837</v>
      </c>
      <c r="E780" s="27" t="s">
        <v>32</v>
      </c>
      <c r="F780" s="6" t="s">
        <v>1095</v>
      </c>
      <c r="G780" s="28" t="s">
        <v>55</v>
      </c>
      <c r="H780" s="28" t="s">
        <v>129</v>
      </c>
      <c r="I780" s="109" t="s">
        <v>2031</v>
      </c>
      <c r="J780" s="27"/>
      <c r="K780" s="40"/>
      <c r="L780" s="29" t="s">
        <v>126</v>
      </c>
      <c r="M780" s="29" t="s">
        <v>126</v>
      </c>
      <c r="N780" s="29" t="s">
        <v>126</v>
      </c>
    </row>
    <row r="781" spans="2:14" x14ac:dyDescent="0.25">
      <c r="B781" s="27" t="s">
        <v>123</v>
      </c>
      <c r="C781" s="28">
        <v>541583</v>
      </c>
      <c r="D781" s="28" t="s">
        <v>1838</v>
      </c>
      <c r="E781" s="27" t="s">
        <v>32</v>
      </c>
      <c r="F781" s="6" t="s">
        <v>1095</v>
      </c>
      <c r="G781" s="28" t="s">
        <v>55</v>
      </c>
      <c r="H781" s="28" t="s">
        <v>129</v>
      </c>
      <c r="I781" s="109" t="s">
        <v>2031</v>
      </c>
      <c r="J781" s="27"/>
      <c r="K781" s="40"/>
      <c r="L781" s="29" t="s">
        <v>126</v>
      </c>
      <c r="M781" s="29" t="s">
        <v>126</v>
      </c>
      <c r="N781" s="29" t="s">
        <v>126</v>
      </c>
    </row>
    <row r="782" spans="2:14" x14ac:dyDescent="0.25">
      <c r="B782" s="27" t="s">
        <v>123</v>
      </c>
      <c r="C782" s="28">
        <v>544187</v>
      </c>
      <c r="D782" s="28" t="s">
        <v>1839</v>
      </c>
      <c r="E782" s="27" t="s">
        <v>32</v>
      </c>
      <c r="F782" s="6" t="s">
        <v>1095</v>
      </c>
      <c r="G782" s="28" t="s">
        <v>55</v>
      </c>
      <c r="H782" s="28" t="s">
        <v>129</v>
      </c>
      <c r="I782" s="109" t="s">
        <v>2031</v>
      </c>
      <c r="J782" s="27"/>
      <c r="K782" s="40"/>
      <c r="L782" s="29" t="s">
        <v>126</v>
      </c>
      <c r="M782" s="29" t="s">
        <v>126</v>
      </c>
      <c r="N782" s="29" t="s">
        <v>126</v>
      </c>
    </row>
    <row r="783" spans="2:14" x14ac:dyDescent="0.25">
      <c r="B783" s="27" t="s">
        <v>123</v>
      </c>
      <c r="C783" s="28">
        <v>144176</v>
      </c>
      <c r="D783" s="28" t="s">
        <v>1840</v>
      </c>
      <c r="E783" s="27" t="s">
        <v>32</v>
      </c>
      <c r="F783" s="6" t="s">
        <v>1095</v>
      </c>
      <c r="G783" s="28" t="s">
        <v>55</v>
      </c>
      <c r="H783" s="28" t="s">
        <v>129</v>
      </c>
      <c r="I783" s="98">
        <v>0.3</v>
      </c>
      <c r="J783" s="27"/>
      <c r="K783" s="40"/>
      <c r="L783" s="29" t="s">
        <v>126</v>
      </c>
      <c r="M783" s="29" t="s">
        <v>126</v>
      </c>
      <c r="N783" s="29" t="s">
        <v>126</v>
      </c>
    </row>
    <row r="784" spans="2:14" x14ac:dyDescent="0.25">
      <c r="B784" s="27" t="s">
        <v>123</v>
      </c>
      <c r="C784" s="28">
        <v>225687</v>
      </c>
      <c r="D784" s="28" t="s">
        <v>1841</v>
      </c>
      <c r="E784" s="27" t="s">
        <v>32</v>
      </c>
      <c r="F784" s="6" t="s">
        <v>1095</v>
      </c>
      <c r="G784" s="28" t="s">
        <v>55</v>
      </c>
      <c r="H784" s="28" t="s">
        <v>129</v>
      </c>
      <c r="I784" s="98">
        <v>0.3</v>
      </c>
      <c r="J784" s="27"/>
      <c r="K784" s="40"/>
      <c r="L784" s="29" t="s">
        <v>126</v>
      </c>
      <c r="M784" s="29" t="s">
        <v>126</v>
      </c>
      <c r="N784" s="29" t="s">
        <v>126</v>
      </c>
    </row>
    <row r="785" spans="2:14" x14ac:dyDescent="0.25">
      <c r="B785" s="27" t="s">
        <v>123</v>
      </c>
      <c r="C785" s="28">
        <v>343374</v>
      </c>
      <c r="D785" s="28" t="s">
        <v>1842</v>
      </c>
      <c r="E785" s="27" t="s">
        <v>32</v>
      </c>
      <c r="F785" s="6" t="s">
        <v>1095</v>
      </c>
      <c r="G785" s="28" t="s">
        <v>55</v>
      </c>
      <c r="H785" s="28" t="s">
        <v>129</v>
      </c>
      <c r="I785" s="98">
        <v>0.3</v>
      </c>
      <c r="J785" s="27"/>
      <c r="K785" s="40"/>
      <c r="L785" s="29" t="s">
        <v>126</v>
      </c>
      <c r="M785" s="29" t="s">
        <v>126</v>
      </c>
      <c r="N785" s="29" t="s">
        <v>126</v>
      </c>
    </row>
    <row r="786" spans="2:14" x14ac:dyDescent="0.25">
      <c r="B786" s="27" t="s">
        <v>123</v>
      </c>
      <c r="C786" s="28">
        <v>358088</v>
      </c>
      <c r="D786" s="28" t="s">
        <v>1843</v>
      </c>
      <c r="E786" s="27" t="s">
        <v>32</v>
      </c>
      <c r="F786" s="6" t="s">
        <v>1095</v>
      </c>
      <c r="G786" s="28" t="s">
        <v>55</v>
      </c>
      <c r="H786" s="28" t="s">
        <v>129</v>
      </c>
      <c r="I786" s="98">
        <v>0.3</v>
      </c>
      <c r="J786" s="27"/>
      <c r="K786" s="40"/>
      <c r="L786" s="29" t="s">
        <v>126</v>
      </c>
      <c r="M786" s="29" t="s">
        <v>126</v>
      </c>
      <c r="N786" s="29" t="s">
        <v>126</v>
      </c>
    </row>
    <row r="787" spans="2:14" x14ac:dyDescent="0.25">
      <c r="B787" s="27" t="s">
        <v>123</v>
      </c>
      <c r="C787" s="28">
        <v>461768</v>
      </c>
      <c r="D787" s="28" t="s">
        <v>1844</v>
      </c>
      <c r="E787" s="27" t="s">
        <v>32</v>
      </c>
      <c r="F787" s="6" t="s">
        <v>1095</v>
      </c>
      <c r="G787" s="28" t="s">
        <v>55</v>
      </c>
      <c r="H787" s="28" t="s">
        <v>129</v>
      </c>
      <c r="I787" s="98">
        <v>0.3</v>
      </c>
      <c r="J787" s="27"/>
      <c r="K787" s="40"/>
      <c r="L787" s="29" t="s">
        <v>126</v>
      </c>
      <c r="M787" s="29" t="s">
        <v>126</v>
      </c>
      <c r="N787" s="29" t="s">
        <v>126</v>
      </c>
    </row>
    <row r="788" spans="2:14" x14ac:dyDescent="0.25">
      <c r="B788" s="27" t="s">
        <v>123</v>
      </c>
      <c r="C788" s="28">
        <v>488634</v>
      </c>
      <c r="D788" s="28" t="s">
        <v>1845</v>
      </c>
      <c r="E788" s="27" t="s">
        <v>32</v>
      </c>
      <c r="F788" s="6" t="s">
        <v>1095</v>
      </c>
      <c r="G788" s="28" t="s">
        <v>55</v>
      </c>
      <c r="H788" s="28" t="s">
        <v>129</v>
      </c>
      <c r="I788" s="98">
        <v>0.3</v>
      </c>
      <c r="J788" s="27"/>
      <c r="K788" s="40"/>
      <c r="L788" s="29" t="s">
        <v>126</v>
      </c>
      <c r="M788" s="29" t="s">
        <v>126</v>
      </c>
      <c r="N788" s="29" t="s">
        <v>126</v>
      </c>
    </row>
    <row r="789" spans="2:14" x14ac:dyDescent="0.25">
      <c r="B789" s="27" t="s">
        <v>123</v>
      </c>
      <c r="C789" s="28">
        <v>509317</v>
      </c>
      <c r="D789" s="28" t="s">
        <v>1846</v>
      </c>
      <c r="E789" s="27" t="s">
        <v>32</v>
      </c>
      <c r="F789" s="6" t="s">
        <v>1095</v>
      </c>
      <c r="G789" s="28" t="s">
        <v>55</v>
      </c>
      <c r="H789" s="28" t="s">
        <v>129</v>
      </c>
      <c r="I789" s="98">
        <v>0.3</v>
      </c>
      <c r="J789" s="27"/>
      <c r="K789" s="40"/>
      <c r="L789" s="29" t="s">
        <v>126</v>
      </c>
      <c r="M789" s="29" t="s">
        <v>126</v>
      </c>
      <c r="N789" s="29" t="s">
        <v>126</v>
      </c>
    </row>
    <row r="790" spans="2:14" x14ac:dyDescent="0.25">
      <c r="B790" s="27" t="s">
        <v>123</v>
      </c>
      <c r="C790" s="28">
        <v>512909</v>
      </c>
      <c r="D790" s="28" t="s">
        <v>1847</v>
      </c>
      <c r="E790" s="27" t="s">
        <v>32</v>
      </c>
      <c r="F790" s="6" t="s">
        <v>1095</v>
      </c>
      <c r="G790" s="28" t="s">
        <v>55</v>
      </c>
      <c r="H790" s="28" t="s">
        <v>129</v>
      </c>
      <c r="I790" s="98">
        <v>0.3</v>
      </c>
      <c r="J790" s="27"/>
      <c r="K790" s="40"/>
      <c r="L790" s="29" t="s">
        <v>126</v>
      </c>
      <c r="M790" s="29" t="s">
        <v>126</v>
      </c>
      <c r="N790" s="29" t="s">
        <v>126</v>
      </c>
    </row>
    <row r="791" spans="2:14" x14ac:dyDescent="0.25">
      <c r="B791" s="27" t="s">
        <v>123</v>
      </c>
      <c r="C791" s="28">
        <v>513698</v>
      </c>
      <c r="D791" s="28" t="s">
        <v>1848</v>
      </c>
      <c r="E791" s="27" t="s">
        <v>32</v>
      </c>
      <c r="F791" s="6" t="s">
        <v>1095</v>
      </c>
      <c r="G791" s="28" t="s">
        <v>55</v>
      </c>
      <c r="H791" s="28" t="s">
        <v>129</v>
      </c>
      <c r="I791" s="98">
        <v>0.3</v>
      </c>
      <c r="J791" s="27"/>
      <c r="K791" s="40"/>
      <c r="L791" s="29" t="s">
        <v>126</v>
      </c>
      <c r="M791" s="29" t="s">
        <v>126</v>
      </c>
      <c r="N791" s="29" t="s">
        <v>126</v>
      </c>
    </row>
    <row r="792" spans="2:14" x14ac:dyDescent="0.25">
      <c r="B792" s="27" t="s">
        <v>123</v>
      </c>
      <c r="C792" s="28">
        <v>520221</v>
      </c>
      <c r="D792" s="28" t="s">
        <v>1849</v>
      </c>
      <c r="E792" s="27" t="s">
        <v>32</v>
      </c>
      <c r="F792" s="6" t="s">
        <v>1095</v>
      </c>
      <c r="G792" s="28" t="s">
        <v>55</v>
      </c>
      <c r="H792" s="28" t="s">
        <v>129</v>
      </c>
      <c r="I792" s="98">
        <v>0.3</v>
      </c>
      <c r="J792" s="27"/>
      <c r="K792" s="40"/>
      <c r="L792" s="29" t="s">
        <v>126</v>
      </c>
      <c r="M792" s="29" t="s">
        <v>126</v>
      </c>
      <c r="N792" s="29" t="s">
        <v>126</v>
      </c>
    </row>
    <row r="793" spans="2:14" x14ac:dyDescent="0.25">
      <c r="B793" s="27" t="s">
        <v>123</v>
      </c>
      <c r="C793" s="28">
        <v>520223</v>
      </c>
      <c r="D793" s="28" t="s">
        <v>1850</v>
      </c>
      <c r="E793" s="27" t="s">
        <v>32</v>
      </c>
      <c r="F793" s="6" t="s">
        <v>1095</v>
      </c>
      <c r="G793" s="28" t="s">
        <v>55</v>
      </c>
      <c r="H793" s="28" t="s">
        <v>129</v>
      </c>
      <c r="I793" s="98">
        <v>0.3</v>
      </c>
      <c r="J793" s="27"/>
      <c r="K793" s="40"/>
      <c r="L793" s="29" t="s">
        <v>126</v>
      </c>
      <c r="M793" s="29" t="s">
        <v>126</v>
      </c>
      <c r="N793" s="29" t="s">
        <v>126</v>
      </c>
    </row>
    <row r="794" spans="2:14" x14ac:dyDescent="0.25">
      <c r="B794" s="27" t="s">
        <v>123</v>
      </c>
      <c r="C794" s="28">
        <v>520626</v>
      </c>
      <c r="D794" s="28" t="s">
        <v>1851</v>
      </c>
      <c r="E794" s="27" t="s">
        <v>32</v>
      </c>
      <c r="F794" s="6" t="s">
        <v>1095</v>
      </c>
      <c r="G794" s="28" t="s">
        <v>55</v>
      </c>
      <c r="H794" s="28" t="s">
        <v>129</v>
      </c>
      <c r="I794" s="98">
        <v>0.3</v>
      </c>
      <c r="J794" s="27"/>
      <c r="K794" s="40"/>
      <c r="L794" s="29" t="s">
        <v>126</v>
      </c>
      <c r="M794" s="29" t="s">
        <v>126</v>
      </c>
      <c r="N794" s="29" t="s">
        <v>126</v>
      </c>
    </row>
    <row r="795" spans="2:14" x14ac:dyDescent="0.25">
      <c r="B795" s="27" t="s">
        <v>123</v>
      </c>
      <c r="C795" s="28">
        <v>520627</v>
      </c>
      <c r="D795" s="28" t="s">
        <v>1852</v>
      </c>
      <c r="E795" s="27" t="s">
        <v>32</v>
      </c>
      <c r="F795" s="6" t="s">
        <v>1095</v>
      </c>
      <c r="G795" s="28" t="s">
        <v>55</v>
      </c>
      <c r="H795" s="28" t="s">
        <v>129</v>
      </c>
      <c r="I795" s="98">
        <v>0.3</v>
      </c>
      <c r="J795" s="27"/>
      <c r="K795" s="40"/>
      <c r="L795" s="29" t="s">
        <v>126</v>
      </c>
      <c r="M795" s="29" t="s">
        <v>126</v>
      </c>
      <c r="N795" s="29" t="s">
        <v>126</v>
      </c>
    </row>
    <row r="796" spans="2:14" x14ac:dyDescent="0.25">
      <c r="B796" s="27" t="s">
        <v>123</v>
      </c>
      <c r="C796" s="28">
        <v>520628</v>
      </c>
      <c r="D796" s="28" t="s">
        <v>1853</v>
      </c>
      <c r="E796" s="27" t="s">
        <v>32</v>
      </c>
      <c r="F796" s="6" t="s">
        <v>1095</v>
      </c>
      <c r="G796" s="28" t="s">
        <v>55</v>
      </c>
      <c r="H796" s="28" t="s">
        <v>129</v>
      </c>
      <c r="I796" s="98">
        <v>0.3</v>
      </c>
      <c r="J796" s="27"/>
      <c r="K796" s="40"/>
      <c r="L796" s="29" t="s">
        <v>126</v>
      </c>
      <c r="M796" s="29" t="s">
        <v>126</v>
      </c>
      <c r="N796" s="29" t="s">
        <v>126</v>
      </c>
    </row>
    <row r="797" spans="2:14" x14ac:dyDescent="0.25">
      <c r="B797" s="27" t="s">
        <v>123</v>
      </c>
      <c r="C797" s="28">
        <v>520644</v>
      </c>
      <c r="D797" s="28" t="s">
        <v>1854</v>
      </c>
      <c r="E797" s="27" t="s">
        <v>32</v>
      </c>
      <c r="F797" s="6" t="s">
        <v>1095</v>
      </c>
      <c r="G797" s="28" t="s">
        <v>55</v>
      </c>
      <c r="H797" s="28" t="s">
        <v>129</v>
      </c>
      <c r="I797" s="98">
        <v>0.3</v>
      </c>
      <c r="J797" s="27"/>
      <c r="K797" s="40"/>
      <c r="L797" s="29" t="s">
        <v>126</v>
      </c>
      <c r="M797" s="29" t="s">
        <v>126</v>
      </c>
      <c r="N797" s="29" t="s">
        <v>126</v>
      </c>
    </row>
    <row r="798" spans="2:14" x14ac:dyDescent="0.25">
      <c r="B798" s="27" t="s">
        <v>123</v>
      </c>
      <c r="C798" s="28">
        <v>552118</v>
      </c>
      <c r="D798" s="28" t="s">
        <v>1855</v>
      </c>
      <c r="E798" s="27" t="s">
        <v>32</v>
      </c>
      <c r="F798" s="6" t="s">
        <v>1095</v>
      </c>
      <c r="G798" s="28" t="s">
        <v>55</v>
      </c>
      <c r="H798" s="28" t="s">
        <v>129</v>
      </c>
      <c r="I798" s="98">
        <v>0.3</v>
      </c>
      <c r="J798" s="27"/>
      <c r="K798" s="40"/>
      <c r="L798" s="29" t="s">
        <v>126</v>
      </c>
      <c r="M798" s="29" t="s">
        <v>126</v>
      </c>
      <c r="N798" s="29" t="s">
        <v>126</v>
      </c>
    </row>
    <row r="799" spans="2:14" x14ac:dyDescent="0.25">
      <c r="B799" s="27" t="s">
        <v>123</v>
      </c>
      <c r="C799" s="28">
        <v>562060</v>
      </c>
      <c r="D799" s="28" t="s">
        <v>1856</v>
      </c>
      <c r="E799" s="27" t="s">
        <v>32</v>
      </c>
      <c r="F799" s="6" t="s">
        <v>1095</v>
      </c>
      <c r="G799" s="28" t="s">
        <v>55</v>
      </c>
      <c r="H799" s="28" t="s">
        <v>129</v>
      </c>
      <c r="I799" s="98">
        <v>0.3</v>
      </c>
      <c r="J799" s="27"/>
      <c r="K799" s="40"/>
      <c r="L799" s="29" t="s">
        <v>126</v>
      </c>
      <c r="M799" s="29" t="s">
        <v>126</v>
      </c>
      <c r="N799" s="29" t="s">
        <v>126</v>
      </c>
    </row>
    <row r="800" spans="2:14" x14ac:dyDescent="0.25">
      <c r="B800" s="27" t="s">
        <v>123</v>
      </c>
      <c r="C800" s="28">
        <v>567480</v>
      </c>
      <c r="D800" s="28" t="s">
        <v>1857</v>
      </c>
      <c r="E800" s="27" t="s">
        <v>32</v>
      </c>
      <c r="F800" s="6" t="s">
        <v>1095</v>
      </c>
      <c r="G800" s="28" t="s">
        <v>55</v>
      </c>
      <c r="H800" s="28" t="s">
        <v>129</v>
      </c>
      <c r="I800" s="98">
        <v>0.3</v>
      </c>
      <c r="J800" s="27"/>
      <c r="K800" s="40"/>
      <c r="L800" s="29" t="s">
        <v>126</v>
      </c>
      <c r="M800" s="29" t="s">
        <v>126</v>
      </c>
      <c r="N800" s="29" t="s">
        <v>126</v>
      </c>
    </row>
    <row r="801" spans="2:14" x14ac:dyDescent="0.25">
      <c r="B801" s="27" t="s">
        <v>123</v>
      </c>
      <c r="C801" s="28">
        <v>575278</v>
      </c>
      <c r="D801" s="28" t="s">
        <v>1858</v>
      </c>
      <c r="E801" s="27" t="s">
        <v>32</v>
      </c>
      <c r="F801" s="6" t="s">
        <v>1095</v>
      </c>
      <c r="G801" s="28" t="s">
        <v>55</v>
      </c>
      <c r="H801" s="28" t="s">
        <v>129</v>
      </c>
      <c r="I801" s="98">
        <v>0.3</v>
      </c>
      <c r="J801" s="27"/>
      <c r="K801" s="40"/>
      <c r="L801" s="29" t="s">
        <v>126</v>
      </c>
      <c r="M801" s="29" t="s">
        <v>126</v>
      </c>
      <c r="N801" s="29" t="s">
        <v>126</v>
      </c>
    </row>
    <row r="802" spans="2:14" x14ac:dyDescent="0.25">
      <c r="B802" s="27" t="s">
        <v>123</v>
      </c>
      <c r="C802" s="28">
        <v>582116</v>
      </c>
      <c r="D802" s="28" t="s">
        <v>1859</v>
      </c>
      <c r="E802" s="27" t="s">
        <v>32</v>
      </c>
      <c r="F802" s="6" t="s">
        <v>1095</v>
      </c>
      <c r="G802" s="28" t="s">
        <v>55</v>
      </c>
      <c r="H802" s="28" t="s">
        <v>129</v>
      </c>
      <c r="I802" s="98">
        <v>0.3</v>
      </c>
      <c r="J802" s="27"/>
      <c r="K802" s="40"/>
      <c r="L802" s="29" t="s">
        <v>126</v>
      </c>
      <c r="M802" s="29" t="s">
        <v>126</v>
      </c>
      <c r="N802" s="29" t="s">
        <v>126</v>
      </c>
    </row>
    <row r="803" spans="2:14" x14ac:dyDescent="0.25">
      <c r="B803" s="27" t="s">
        <v>123</v>
      </c>
      <c r="C803" s="28">
        <v>595204</v>
      </c>
      <c r="D803" s="28" t="s">
        <v>1860</v>
      </c>
      <c r="E803" s="27" t="s">
        <v>32</v>
      </c>
      <c r="F803" s="6" t="s">
        <v>1095</v>
      </c>
      <c r="G803" s="28" t="s">
        <v>55</v>
      </c>
      <c r="H803" s="28" t="s">
        <v>129</v>
      </c>
      <c r="I803" s="98">
        <v>0.3</v>
      </c>
      <c r="J803" s="27"/>
      <c r="K803" s="40"/>
      <c r="L803" s="29" t="s">
        <v>126</v>
      </c>
      <c r="M803" s="29" t="s">
        <v>126</v>
      </c>
      <c r="N803" s="29" t="s">
        <v>126</v>
      </c>
    </row>
    <row r="804" spans="2:14" x14ac:dyDescent="0.25">
      <c r="B804" s="27" t="s">
        <v>123</v>
      </c>
      <c r="C804" s="28">
        <v>595205</v>
      </c>
      <c r="D804" s="28" t="s">
        <v>1861</v>
      </c>
      <c r="E804" s="27" t="s">
        <v>32</v>
      </c>
      <c r="F804" s="6" t="s">
        <v>1095</v>
      </c>
      <c r="G804" s="28" t="s">
        <v>55</v>
      </c>
      <c r="H804" s="28" t="s">
        <v>129</v>
      </c>
      <c r="I804" s="98">
        <v>0.3</v>
      </c>
      <c r="J804" s="27"/>
      <c r="K804" s="40"/>
      <c r="L804" s="29" t="s">
        <v>126</v>
      </c>
      <c r="M804" s="29" t="s">
        <v>126</v>
      </c>
      <c r="N804" s="29" t="s">
        <v>126</v>
      </c>
    </row>
    <row r="805" spans="2:14" x14ac:dyDescent="0.25">
      <c r="B805" s="27" t="s">
        <v>123</v>
      </c>
      <c r="C805" s="28">
        <v>595209</v>
      </c>
      <c r="D805" s="28" t="s">
        <v>1862</v>
      </c>
      <c r="E805" s="27" t="s">
        <v>32</v>
      </c>
      <c r="F805" s="6" t="s">
        <v>1095</v>
      </c>
      <c r="G805" s="28" t="s">
        <v>55</v>
      </c>
      <c r="H805" s="28" t="s">
        <v>129</v>
      </c>
      <c r="I805" s="98">
        <v>0.3</v>
      </c>
      <c r="J805" s="27"/>
      <c r="K805" s="40"/>
      <c r="L805" s="29" t="s">
        <v>126</v>
      </c>
      <c r="M805" s="29" t="s">
        <v>126</v>
      </c>
      <c r="N805" s="29" t="s">
        <v>126</v>
      </c>
    </row>
    <row r="806" spans="2:14" x14ac:dyDescent="0.25">
      <c r="B806" s="27" t="s">
        <v>123</v>
      </c>
      <c r="C806" s="28">
        <v>76365</v>
      </c>
      <c r="D806" s="28" t="s">
        <v>1863</v>
      </c>
      <c r="E806" s="27" t="s">
        <v>32</v>
      </c>
      <c r="F806" s="6" t="s">
        <v>1095</v>
      </c>
      <c r="G806" s="28" t="s">
        <v>55</v>
      </c>
      <c r="H806" s="28" t="s">
        <v>129</v>
      </c>
      <c r="I806" s="98">
        <v>0.3</v>
      </c>
      <c r="J806" s="27"/>
      <c r="K806" s="40"/>
      <c r="L806" s="29" t="s">
        <v>126</v>
      </c>
      <c r="M806" s="29" t="s">
        <v>126</v>
      </c>
      <c r="N806" s="29" t="s">
        <v>126</v>
      </c>
    </row>
    <row r="807" spans="2:14" x14ac:dyDescent="0.25">
      <c r="B807" s="27" t="s">
        <v>123</v>
      </c>
      <c r="C807" s="28">
        <v>225690</v>
      </c>
      <c r="D807" s="28" t="s">
        <v>1864</v>
      </c>
      <c r="E807" s="27" t="s">
        <v>32</v>
      </c>
      <c r="F807" s="6" t="s">
        <v>1095</v>
      </c>
      <c r="G807" s="28" t="s">
        <v>55</v>
      </c>
      <c r="H807" s="28" t="s">
        <v>129</v>
      </c>
      <c r="I807" s="98">
        <v>0.3</v>
      </c>
      <c r="J807" s="27"/>
      <c r="K807" s="40"/>
      <c r="L807" s="29" t="s">
        <v>126</v>
      </c>
      <c r="M807" s="29" t="s">
        <v>126</v>
      </c>
      <c r="N807" s="29" t="s">
        <v>126</v>
      </c>
    </row>
    <row r="808" spans="2:14" x14ac:dyDescent="0.25">
      <c r="B808" s="27" t="s">
        <v>123</v>
      </c>
      <c r="C808" s="28">
        <v>358075</v>
      </c>
      <c r="D808" s="28" t="s">
        <v>1865</v>
      </c>
      <c r="E808" s="27" t="s">
        <v>32</v>
      </c>
      <c r="F808" s="6" t="s">
        <v>1095</v>
      </c>
      <c r="G808" s="28" t="s">
        <v>55</v>
      </c>
      <c r="H808" s="28" t="s">
        <v>129</v>
      </c>
      <c r="I808" s="98">
        <v>0.3</v>
      </c>
      <c r="J808" s="27"/>
      <c r="K808" s="40"/>
      <c r="L808" s="29" t="s">
        <v>126</v>
      </c>
      <c r="M808" s="29" t="s">
        <v>126</v>
      </c>
      <c r="N808" s="29" t="s">
        <v>126</v>
      </c>
    </row>
    <row r="809" spans="2:14" x14ac:dyDescent="0.25">
      <c r="B809" s="27" t="s">
        <v>123</v>
      </c>
      <c r="C809" s="28">
        <v>358084</v>
      </c>
      <c r="D809" s="28" t="s">
        <v>1866</v>
      </c>
      <c r="E809" s="27" t="s">
        <v>32</v>
      </c>
      <c r="F809" s="6" t="s">
        <v>1095</v>
      </c>
      <c r="G809" s="28" t="s">
        <v>55</v>
      </c>
      <c r="H809" s="28" t="s">
        <v>129</v>
      </c>
      <c r="I809" s="98">
        <v>0.3</v>
      </c>
      <c r="J809" s="27"/>
      <c r="K809" s="40"/>
      <c r="L809" s="29" t="s">
        <v>126</v>
      </c>
      <c r="M809" s="29" t="s">
        <v>126</v>
      </c>
      <c r="N809" s="29" t="s">
        <v>126</v>
      </c>
    </row>
    <row r="810" spans="2:14" x14ac:dyDescent="0.25">
      <c r="B810" s="27" t="s">
        <v>123</v>
      </c>
      <c r="C810" s="28">
        <v>430190</v>
      </c>
      <c r="D810" s="28" t="s">
        <v>1867</v>
      </c>
      <c r="E810" s="27" t="s">
        <v>32</v>
      </c>
      <c r="F810" s="6" t="s">
        <v>1095</v>
      </c>
      <c r="G810" s="28" t="s">
        <v>55</v>
      </c>
      <c r="H810" s="28" t="s">
        <v>129</v>
      </c>
      <c r="I810" s="98">
        <v>0.3</v>
      </c>
      <c r="J810" s="27"/>
      <c r="K810" s="40"/>
      <c r="L810" s="29" t="s">
        <v>126</v>
      </c>
      <c r="M810" s="29" t="s">
        <v>126</v>
      </c>
      <c r="N810" s="29" t="s">
        <v>126</v>
      </c>
    </row>
    <row r="811" spans="2:14" x14ac:dyDescent="0.25">
      <c r="B811" s="27" t="s">
        <v>123</v>
      </c>
      <c r="C811" s="28">
        <v>485715</v>
      </c>
      <c r="D811" s="28" t="s">
        <v>1868</v>
      </c>
      <c r="E811" s="27" t="s">
        <v>32</v>
      </c>
      <c r="F811" s="6" t="s">
        <v>1095</v>
      </c>
      <c r="G811" s="28" t="s">
        <v>55</v>
      </c>
      <c r="H811" s="28" t="s">
        <v>129</v>
      </c>
      <c r="I811" s="98">
        <v>0.3</v>
      </c>
      <c r="J811" s="27"/>
      <c r="K811" s="40"/>
      <c r="L811" s="29" t="s">
        <v>126</v>
      </c>
      <c r="M811" s="29" t="s">
        <v>126</v>
      </c>
      <c r="N811" s="29" t="s">
        <v>126</v>
      </c>
    </row>
    <row r="812" spans="2:14" x14ac:dyDescent="0.25">
      <c r="B812" s="27" t="s">
        <v>123</v>
      </c>
      <c r="C812" s="28">
        <v>512910</v>
      </c>
      <c r="D812" s="28" t="s">
        <v>1869</v>
      </c>
      <c r="E812" s="27" t="s">
        <v>32</v>
      </c>
      <c r="F812" s="6" t="s">
        <v>1095</v>
      </c>
      <c r="G812" s="28" t="s">
        <v>55</v>
      </c>
      <c r="H812" s="28" t="s">
        <v>129</v>
      </c>
      <c r="I812" s="98">
        <v>0.3</v>
      </c>
      <c r="J812" s="27"/>
      <c r="K812" s="40"/>
      <c r="L812" s="29" t="s">
        <v>126</v>
      </c>
      <c r="M812" s="29" t="s">
        <v>126</v>
      </c>
      <c r="N812" s="29" t="s">
        <v>126</v>
      </c>
    </row>
    <row r="813" spans="2:14" x14ac:dyDescent="0.25">
      <c r="B813" s="27" t="s">
        <v>123</v>
      </c>
      <c r="C813" s="28">
        <v>513697</v>
      </c>
      <c r="D813" s="28" t="s">
        <v>1870</v>
      </c>
      <c r="E813" s="27" t="s">
        <v>32</v>
      </c>
      <c r="F813" s="6" t="s">
        <v>1095</v>
      </c>
      <c r="G813" s="28" t="s">
        <v>55</v>
      </c>
      <c r="H813" s="28" t="s">
        <v>129</v>
      </c>
      <c r="I813" s="98">
        <v>0.3</v>
      </c>
      <c r="J813" s="27"/>
      <c r="K813" s="40"/>
      <c r="L813" s="29" t="s">
        <v>126</v>
      </c>
      <c r="M813" s="29" t="s">
        <v>126</v>
      </c>
      <c r="N813" s="29" t="s">
        <v>126</v>
      </c>
    </row>
    <row r="814" spans="2:14" x14ac:dyDescent="0.25">
      <c r="B814" s="27" t="s">
        <v>123</v>
      </c>
      <c r="C814" s="28">
        <v>516669</v>
      </c>
      <c r="D814" s="28" t="s">
        <v>1871</v>
      </c>
      <c r="E814" s="27" t="s">
        <v>32</v>
      </c>
      <c r="F814" s="6" t="s">
        <v>1095</v>
      </c>
      <c r="G814" s="28" t="s">
        <v>55</v>
      </c>
      <c r="H814" s="28" t="s">
        <v>129</v>
      </c>
      <c r="I814" s="98">
        <v>0.3</v>
      </c>
      <c r="J814" s="27"/>
      <c r="K814" s="40"/>
      <c r="L814" s="29" t="s">
        <v>126</v>
      </c>
      <c r="M814" s="29" t="s">
        <v>126</v>
      </c>
      <c r="N814" s="29" t="s">
        <v>126</v>
      </c>
    </row>
    <row r="815" spans="2:14" x14ac:dyDescent="0.25">
      <c r="B815" s="27" t="s">
        <v>123</v>
      </c>
      <c r="C815" s="28">
        <v>520217</v>
      </c>
      <c r="D815" s="28" t="s">
        <v>1872</v>
      </c>
      <c r="E815" s="27" t="s">
        <v>32</v>
      </c>
      <c r="F815" s="6" t="s">
        <v>1095</v>
      </c>
      <c r="G815" s="28" t="s">
        <v>55</v>
      </c>
      <c r="H815" s="28" t="s">
        <v>129</v>
      </c>
      <c r="I815" s="98">
        <v>0.3</v>
      </c>
      <c r="J815" s="27"/>
      <c r="K815" s="40"/>
      <c r="L815" s="29" t="s">
        <v>126</v>
      </c>
      <c r="M815" s="29" t="s">
        <v>126</v>
      </c>
      <c r="N815" s="29" t="s">
        <v>126</v>
      </c>
    </row>
    <row r="816" spans="2:14" x14ac:dyDescent="0.25">
      <c r="B816" s="27" t="s">
        <v>123</v>
      </c>
      <c r="C816" s="28">
        <v>520222</v>
      </c>
      <c r="D816" s="28" t="s">
        <v>1873</v>
      </c>
      <c r="E816" s="27" t="s">
        <v>32</v>
      </c>
      <c r="F816" s="6" t="s">
        <v>1095</v>
      </c>
      <c r="G816" s="28" t="s">
        <v>55</v>
      </c>
      <c r="H816" s="28" t="s">
        <v>129</v>
      </c>
      <c r="I816" s="98">
        <v>0.3</v>
      </c>
      <c r="J816" s="27"/>
      <c r="K816" s="40"/>
      <c r="L816" s="29" t="s">
        <v>126</v>
      </c>
      <c r="M816" s="29" t="s">
        <v>126</v>
      </c>
      <c r="N816" s="29" t="s">
        <v>126</v>
      </c>
    </row>
    <row r="817" spans="2:14" x14ac:dyDescent="0.25">
      <c r="B817" s="27" t="s">
        <v>123</v>
      </c>
      <c r="C817" s="28">
        <v>520634</v>
      </c>
      <c r="D817" s="28" t="s">
        <v>1874</v>
      </c>
      <c r="E817" s="27" t="s">
        <v>32</v>
      </c>
      <c r="F817" s="6" t="s">
        <v>1095</v>
      </c>
      <c r="G817" s="28" t="s">
        <v>55</v>
      </c>
      <c r="H817" s="28" t="s">
        <v>129</v>
      </c>
      <c r="I817" s="98">
        <v>0.3</v>
      </c>
      <c r="J817" s="27"/>
      <c r="K817" s="40"/>
      <c r="L817" s="29" t="s">
        <v>126</v>
      </c>
      <c r="M817" s="29" t="s">
        <v>126</v>
      </c>
      <c r="N817" s="29" t="s">
        <v>126</v>
      </c>
    </row>
    <row r="818" spans="2:14" x14ac:dyDescent="0.25">
      <c r="B818" s="27" t="s">
        <v>123</v>
      </c>
      <c r="C818" s="28">
        <v>520635</v>
      </c>
      <c r="D818" s="28" t="s">
        <v>1875</v>
      </c>
      <c r="E818" s="27" t="s">
        <v>32</v>
      </c>
      <c r="F818" s="6" t="s">
        <v>1095</v>
      </c>
      <c r="G818" s="28" t="s">
        <v>55</v>
      </c>
      <c r="H818" s="28" t="s">
        <v>129</v>
      </c>
      <c r="I818" s="98">
        <v>0.3</v>
      </c>
      <c r="J818" s="27"/>
      <c r="K818" s="40"/>
      <c r="L818" s="29" t="s">
        <v>126</v>
      </c>
      <c r="M818" s="29" t="s">
        <v>126</v>
      </c>
      <c r="N818" s="29" t="s">
        <v>126</v>
      </c>
    </row>
    <row r="819" spans="2:14" x14ac:dyDescent="0.25">
      <c r="B819" s="27" t="s">
        <v>123</v>
      </c>
      <c r="C819" s="28">
        <v>520639</v>
      </c>
      <c r="D819" s="28" t="s">
        <v>1876</v>
      </c>
      <c r="E819" s="27" t="s">
        <v>32</v>
      </c>
      <c r="F819" s="6" t="s">
        <v>1095</v>
      </c>
      <c r="G819" s="28" t="s">
        <v>55</v>
      </c>
      <c r="H819" s="28" t="s">
        <v>129</v>
      </c>
      <c r="I819" s="98">
        <v>0.3</v>
      </c>
      <c r="J819" s="27"/>
      <c r="K819" s="40"/>
      <c r="L819" s="29" t="s">
        <v>126</v>
      </c>
      <c r="M819" s="29" t="s">
        <v>126</v>
      </c>
      <c r="N819" s="29" t="s">
        <v>126</v>
      </c>
    </row>
    <row r="820" spans="2:14" x14ac:dyDescent="0.25">
      <c r="B820" s="27" t="s">
        <v>123</v>
      </c>
      <c r="C820" s="28">
        <v>520643</v>
      </c>
      <c r="D820" s="28" t="s">
        <v>1877</v>
      </c>
      <c r="E820" s="27" t="s">
        <v>32</v>
      </c>
      <c r="F820" s="6" t="s">
        <v>1095</v>
      </c>
      <c r="G820" s="28" t="s">
        <v>55</v>
      </c>
      <c r="H820" s="28" t="s">
        <v>129</v>
      </c>
      <c r="I820" s="98">
        <v>0.3</v>
      </c>
      <c r="J820" s="27"/>
      <c r="K820" s="40"/>
      <c r="L820" s="29" t="s">
        <v>126</v>
      </c>
      <c r="M820" s="29" t="s">
        <v>126</v>
      </c>
      <c r="N820" s="29" t="s">
        <v>126</v>
      </c>
    </row>
    <row r="821" spans="2:14" x14ac:dyDescent="0.25">
      <c r="B821" s="27" t="s">
        <v>123</v>
      </c>
      <c r="C821" s="28">
        <v>520646</v>
      </c>
      <c r="D821" s="28" t="s">
        <v>1878</v>
      </c>
      <c r="E821" s="27" t="s">
        <v>32</v>
      </c>
      <c r="F821" s="6" t="s">
        <v>1095</v>
      </c>
      <c r="G821" s="28" t="s">
        <v>55</v>
      </c>
      <c r="H821" s="28" t="s">
        <v>129</v>
      </c>
      <c r="I821" s="98">
        <v>0.3</v>
      </c>
      <c r="J821" s="27"/>
      <c r="K821" s="40"/>
      <c r="L821" s="29" t="s">
        <v>126</v>
      </c>
      <c r="M821" s="29" t="s">
        <v>126</v>
      </c>
      <c r="N821" s="29" t="s">
        <v>126</v>
      </c>
    </row>
    <row r="822" spans="2:14" x14ac:dyDescent="0.25">
      <c r="B822" s="27" t="s">
        <v>123</v>
      </c>
      <c r="C822" s="28">
        <v>522106</v>
      </c>
      <c r="D822" s="28" t="s">
        <v>1879</v>
      </c>
      <c r="E822" s="27" t="s">
        <v>32</v>
      </c>
      <c r="F822" s="6" t="s">
        <v>1095</v>
      </c>
      <c r="G822" s="28" t="s">
        <v>55</v>
      </c>
      <c r="H822" s="28" t="s">
        <v>129</v>
      </c>
      <c r="I822" s="98">
        <v>0.3</v>
      </c>
      <c r="J822" s="27"/>
      <c r="K822" s="40"/>
      <c r="L822" s="29" t="s">
        <v>126</v>
      </c>
      <c r="M822" s="29" t="s">
        <v>126</v>
      </c>
      <c r="N822" s="29" t="s">
        <v>126</v>
      </c>
    </row>
    <row r="823" spans="2:14" x14ac:dyDescent="0.25">
      <c r="B823" s="27" t="s">
        <v>123</v>
      </c>
      <c r="C823" s="28">
        <v>522107</v>
      </c>
      <c r="D823" s="28" t="s">
        <v>1880</v>
      </c>
      <c r="E823" s="27" t="s">
        <v>32</v>
      </c>
      <c r="F823" s="6" t="s">
        <v>1095</v>
      </c>
      <c r="G823" s="28" t="s">
        <v>55</v>
      </c>
      <c r="H823" s="28" t="s">
        <v>129</v>
      </c>
      <c r="I823" s="98">
        <v>0.3</v>
      </c>
      <c r="J823" s="27"/>
      <c r="K823" s="40"/>
      <c r="L823" s="29" t="s">
        <v>126</v>
      </c>
      <c r="M823" s="29" t="s">
        <v>126</v>
      </c>
      <c r="N823" s="29" t="s">
        <v>126</v>
      </c>
    </row>
    <row r="824" spans="2:14" x14ac:dyDescent="0.25">
      <c r="B824" s="27" t="s">
        <v>123</v>
      </c>
      <c r="C824" s="28">
        <v>539159</v>
      </c>
      <c r="D824" s="28" t="s">
        <v>1881</v>
      </c>
      <c r="E824" s="27" t="s">
        <v>32</v>
      </c>
      <c r="F824" s="6" t="s">
        <v>1095</v>
      </c>
      <c r="G824" s="28" t="s">
        <v>55</v>
      </c>
      <c r="H824" s="28" t="s">
        <v>129</v>
      </c>
      <c r="I824" s="98">
        <v>0.3</v>
      </c>
      <c r="J824" s="27"/>
      <c r="K824" s="40"/>
      <c r="L824" s="29" t="s">
        <v>126</v>
      </c>
      <c r="M824" s="29" t="s">
        <v>126</v>
      </c>
      <c r="N824" s="29" t="s">
        <v>126</v>
      </c>
    </row>
    <row r="825" spans="2:14" x14ac:dyDescent="0.25">
      <c r="B825" s="27" t="s">
        <v>123</v>
      </c>
      <c r="C825" s="28">
        <v>539160</v>
      </c>
      <c r="D825" s="28" t="s">
        <v>1882</v>
      </c>
      <c r="E825" s="27" t="s">
        <v>32</v>
      </c>
      <c r="F825" s="6" t="s">
        <v>1095</v>
      </c>
      <c r="G825" s="28" t="s">
        <v>55</v>
      </c>
      <c r="H825" s="28" t="s">
        <v>129</v>
      </c>
      <c r="I825" s="98">
        <v>0.3</v>
      </c>
      <c r="J825" s="27"/>
      <c r="K825" s="40"/>
      <c r="L825" s="29" t="s">
        <v>126</v>
      </c>
      <c r="M825" s="29" t="s">
        <v>126</v>
      </c>
      <c r="N825" s="29" t="s">
        <v>126</v>
      </c>
    </row>
    <row r="826" spans="2:14" x14ac:dyDescent="0.25">
      <c r="B826" s="27" t="s">
        <v>123</v>
      </c>
      <c r="C826" s="28">
        <v>543083</v>
      </c>
      <c r="D826" s="28" t="s">
        <v>1883</v>
      </c>
      <c r="E826" s="27" t="s">
        <v>32</v>
      </c>
      <c r="F826" s="6" t="s">
        <v>1095</v>
      </c>
      <c r="G826" s="28" t="s">
        <v>55</v>
      </c>
      <c r="H826" s="28" t="s">
        <v>129</v>
      </c>
      <c r="I826" s="98">
        <v>0.3</v>
      </c>
      <c r="J826" s="27"/>
      <c r="K826" s="40"/>
      <c r="L826" s="29" t="s">
        <v>126</v>
      </c>
      <c r="M826" s="29" t="s">
        <v>126</v>
      </c>
      <c r="N826" s="29" t="s">
        <v>126</v>
      </c>
    </row>
    <row r="827" spans="2:14" x14ac:dyDescent="0.25">
      <c r="B827" s="27" t="s">
        <v>123</v>
      </c>
      <c r="C827" s="28">
        <v>552116</v>
      </c>
      <c r="D827" s="28" t="s">
        <v>1884</v>
      </c>
      <c r="E827" s="27" t="s">
        <v>32</v>
      </c>
      <c r="F827" s="6" t="s">
        <v>1095</v>
      </c>
      <c r="G827" s="28" t="s">
        <v>55</v>
      </c>
      <c r="H827" s="28" t="s">
        <v>129</v>
      </c>
      <c r="I827" s="98">
        <v>0.3</v>
      </c>
      <c r="J827" s="27"/>
      <c r="K827" s="40"/>
      <c r="L827" s="29" t="s">
        <v>126</v>
      </c>
      <c r="M827" s="29" t="s">
        <v>126</v>
      </c>
      <c r="N827" s="29" t="s">
        <v>126</v>
      </c>
    </row>
    <row r="828" spans="2:14" x14ac:dyDescent="0.25">
      <c r="B828" s="27" t="s">
        <v>123</v>
      </c>
      <c r="C828" s="28">
        <v>552117</v>
      </c>
      <c r="D828" s="28" t="s">
        <v>1885</v>
      </c>
      <c r="E828" s="27" t="s">
        <v>32</v>
      </c>
      <c r="F828" s="6" t="s">
        <v>1095</v>
      </c>
      <c r="G828" s="28" t="s">
        <v>55</v>
      </c>
      <c r="H828" s="28" t="s">
        <v>129</v>
      </c>
      <c r="I828" s="98">
        <v>0.3</v>
      </c>
      <c r="J828" s="27"/>
      <c r="K828" s="40"/>
      <c r="L828" s="29" t="s">
        <v>126</v>
      </c>
      <c r="M828" s="29" t="s">
        <v>126</v>
      </c>
      <c r="N828" s="29" t="s">
        <v>126</v>
      </c>
    </row>
    <row r="829" spans="2:14" x14ac:dyDescent="0.25">
      <c r="B829" s="27" t="s">
        <v>123</v>
      </c>
      <c r="C829" s="28">
        <v>564469</v>
      </c>
      <c r="D829" s="28" t="s">
        <v>1886</v>
      </c>
      <c r="E829" s="27" t="s">
        <v>32</v>
      </c>
      <c r="F829" s="6" t="s">
        <v>1095</v>
      </c>
      <c r="G829" s="28" t="s">
        <v>55</v>
      </c>
      <c r="H829" s="28" t="s">
        <v>129</v>
      </c>
      <c r="I829" s="98">
        <v>0.3</v>
      </c>
      <c r="J829" s="27"/>
      <c r="K829" s="40"/>
      <c r="L829" s="29" t="s">
        <v>126</v>
      </c>
      <c r="M829" s="29" t="s">
        <v>126</v>
      </c>
      <c r="N829" s="29" t="s">
        <v>126</v>
      </c>
    </row>
    <row r="830" spans="2:14" x14ac:dyDescent="0.25">
      <c r="B830" s="27" t="s">
        <v>123</v>
      </c>
      <c r="C830" s="28">
        <v>567479</v>
      </c>
      <c r="D830" s="28" t="s">
        <v>1887</v>
      </c>
      <c r="E830" s="27" t="s">
        <v>32</v>
      </c>
      <c r="F830" s="6" t="s">
        <v>1095</v>
      </c>
      <c r="G830" s="28" t="s">
        <v>55</v>
      </c>
      <c r="H830" s="28" t="s">
        <v>129</v>
      </c>
      <c r="I830" s="98">
        <v>0.3</v>
      </c>
      <c r="J830" s="27"/>
      <c r="K830" s="40"/>
      <c r="L830" s="29" t="s">
        <v>126</v>
      </c>
      <c r="M830" s="29" t="s">
        <v>126</v>
      </c>
      <c r="N830" s="29" t="s">
        <v>126</v>
      </c>
    </row>
    <row r="831" spans="2:14" x14ac:dyDescent="0.25">
      <c r="B831" s="27" t="s">
        <v>123</v>
      </c>
      <c r="C831" s="28">
        <v>575277</v>
      </c>
      <c r="D831" s="28" t="s">
        <v>1888</v>
      </c>
      <c r="E831" s="27" t="s">
        <v>32</v>
      </c>
      <c r="F831" s="6" t="s">
        <v>1095</v>
      </c>
      <c r="G831" s="28" t="s">
        <v>55</v>
      </c>
      <c r="H831" s="28" t="s">
        <v>129</v>
      </c>
      <c r="I831" s="98">
        <v>0.3</v>
      </c>
      <c r="J831" s="27"/>
      <c r="K831" s="40"/>
      <c r="L831" s="29" t="s">
        <v>126</v>
      </c>
      <c r="M831" s="29" t="s">
        <v>126</v>
      </c>
      <c r="N831" s="29" t="s">
        <v>126</v>
      </c>
    </row>
    <row r="832" spans="2:14" x14ac:dyDescent="0.25">
      <c r="B832" s="27" t="s">
        <v>123</v>
      </c>
      <c r="C832" s="28">
        <v>575281</v>
      </c>
      <c r="D832" s="28" t="s">
        <v>1889</v>
      </c>
      <c r="E832" s="27" t="s">
        <v>32</v>
      </c>
      <c r="F832" s="6" t="s">
        <v>1095</v>
      </c>
      <c r="G832" s="28" t="s">
        <v>55</v>
      </c>
      <c r="H832" s="28" t="s">
        <v>129</v>
      </c>
      <c r="I832" s="98">
        <v>0.3</v>
      </c>
      <c r="J832" s="27"/>
      <c r="K832" s="40"/>
      <c r="L832" s="29" t="s">
        <v>126</v>
      </c>
      <c r="M832" s="29" t="s">
        <v>126</v>
      </c>
      <c r="N832" s="29" t="s">
        <v>126</v>
      </c>
    </row>
    <row r="833" spans="2:14" x14ac:dyDescent="0.25">
      <c r="B833" s="27" t="s">
        <v>123</v>
      </c>
      <c r="C833" s="28">
        <v>582117</v>
      </c>
      <c r="D833" s="28" t="s">
        <v>1890</v>
      </c>
      <c r="E833" s="27" t="s">
        <v>32</v>
      </c>
      <c r="F833" s="6" t="s">
        <v>1095</v>
      </c>
      <c r="G833" s="28" t="s">
        <v>55</v>
      </c>
      <c r="H833" s="28" t="s">
        <v>129</v>
      </c>
      <c r="I833" s="98">
        <v>0.3</v>
      </c>
      <c r="J833" s="27"/>
      <c r="K833" s="40"/>
      <c r="L833" s="29" t="s">
        <v>126</v>
      </c>
      <c r="M833" s="29" t="s">
        <v>126</v>
      </c>
      <c r="N833" s="29" t="s">
        <v>126</v>
      </c>
    </row>
    <row r="834" spans="2:14" x14ac:dyDescent="0.25">
      <c r="B834" s="27" t="s">
        <v>123</v>
      </c>
      <c r="C834" s="28">
        <v>584934</v>
      </c>
      <c r="D834" s="28" t="s">
        <v>1891</v>
      </c>
      <c r="E834" s="27" t="s">
        <v>32</v>
      </c>
      <c r="F834" s="6" t="s">
        <v>1095</v>
      </c>
      <c r="G834" s="28" t="s">
        <v>55</v>
      </c>
      <c r="H834" s="28" t="s">
        <v>129</v>
      </c>
      <c r="I834" s="98">
        <v>0.3</v>
      </c>
      <c r="J834" s="27"/>
      <c r="K834" s="40"/>
      <c r="L834" s="29" t="s">
        <v>126</v>
      </c>
      <c r="M834" s="29" t="s">
        <v>126</v>
      </c>
      <c r="N834" s="29" t="s">
        <v>126</v>
      </c>
    </row>
    <row r="835" spans="2:14" x14ac:dyDescent="0.25">
      <c r="B835" s="27" t="s">
        <v>123</v>
      </c>
      <c r="C835" s="28">
        <v>584935</v>
      </c>
      <c r="D835" s="28" t="s">
        <v>1892</v>
      </c>
      <c r="E835" s="27" t="s">
        <v>32</v>
      </c>
      <c r="F835" s="6" t="s">
        <v>1095</v>
      </c>
      <c r="G835" s="28" t="s">
        <v>55</v>
      </c>
      <c r="H835" s="28" t="s">
        <v>129</v>
      </c>
      <c r="I835" s="98">
        <v>0.3</v>
      </c>
      <c r="J835" s="27"/>
      <c r="K835" s="40"/>
      <c r="L835" s="29" t="s">
        <v>126</v>
      </c>
      <c r="M835" s="29" t="s">
        <v>126</v>
      </c>
      <c r="N835" s="29" t="s">
        <v>126</v>
      </c>
    </row>
    <row r="836" spans="2:14" x14ac:dyDescent="0.25">
      <c r="B836" s="27" t="s">
        <v>123</v>
      </c>
      <c r="C836" s="28">
        <v>595195</v>
      </c>
      <c r="D836" s="28" t="s">
        <v>1893</v>
      </c>
      <c r="E836" s="27" t="s">
        <v>32</v>
      </c>
      <c r="F836" s="6" t="s">
        <v>1095</v>
      </c>
      <c r="G836" s="28" t="s">
        <v>55</v>
      </c>
      <c r="H836" s="28" t="s">
        <v>129</v>
      </c>
      <c r="I836" s="98">
        <v>0.3</v>
      </c>
      <c r="J836" s="27"/>
      <c r="K836" s="40"/>
      <c r="L836" s="29" t="s">
        <v>126</v>
      </c>
      <c r="M836" s="29" t="s">
        <v>126</v>
      </c>
      <c r="N836" s="29" t="s">
        <v>126</v>
      </c>
    </row>
    <row r="837" spans="2:14" x14ac:dyDescent="0.25">
      <c r="B837" s="27" t="s">
        <v>123</v>
      </c>
      <c r="C837" s="28">
        <v>595201</v>
      </c>
      <c r="D837" s="28" t="s">
        <v>1894</v>
      </c>
      <c r="E837" s="27" t="s">
        <v>32</v>
      </c>
      <c r="F837" s="6" t="s">
        <v>1095</v>
      </c>
      <c r="G837" s="28" t="s">
        <v>55</v>
      </c>
      <c r="H837" s="28" t="s">
        <v>129</v>
      </c>
      <c r="I837" s="98">
        <v>0.3</v>
      </c>
      <c r="J837" s="27"/>
      <c r="K837" s="40"/>
      <c r="L837" s="29" t="s">
        <v>126</v>
      </c>
      <c r="M837" s="29" t="s">
        <v>126</v>
      </c>
      <c r="N837" s="29" t="s">
        <v>126</v>
      </c>
    </row>
    <row r="838" spans="2:14" x14ac:dyDescent="0.25">
      <c r="B838" s="27" t="s">
        <v>123</v>
      </c>
      <c r="C838" s="28">
        <v>595202</v>
      </c>
      <c r="D838" s="28" t="s">
        <v>1895</v>
      </c>
      <c r="E838" s="27" t="s">
        <v>32</v>
      </c>
      <c r="F838" s="6" t="s">
        <v>1095</v>
      </c>
      <c r="G838" s="28" t="s">
        <v>55</v>
      </c>
      <c r="H838" s="28" t="s">
        <v>129</v>
      </c>
      <c r="I838" s="98">
        <v>0.3</v>
      </c>
      <c r="J838" s="27"/>
      <c r="K838" s="40"/>
      <c r="L838" s="29" t="s">
        <v>126</v>
      </c>
      <c r="M838" s="29" t="s">
        <v>126</v>
      </c>
      <c r="N838" s="29" t="s">
        <v>126</v>
      </c>
    </row>
    <row r="839" spans="2:14" x14ac:dyDescent="0.25">
      <c r="B839" s="27" t="s">
        <v>123</v>
      </c>
      <c r="C839" s="28">
        <v>595203</v>
      </c>
      <c r="D839" s="28" t="s">
        <v>1896</v>
      </c>
      <c r="E839" s="27" t="s">
        <v>32</v>
      </c>
      <c r="F839" s="6" t="s">
        <v>1095</v>
      </c>
      <c r="G839" s="28" t="s">
        <v>55</v>
      </c>
      <c r="H839" s="28" t="s">
        <v>129</v>
      </c>
      <c r="I839" s="98">
        <v>0.3</v>
      </c>
      <c r="J839" s="27"/>
      <c r="K839" s="40"/>
      <c r="L839" s="29" t="s">
        <v>126</v>
      </c>
      <c r="M839" s="29" t="s">
        <v>126</v>
      </c>
      <c r="N839" s="29" t="s">
        <v>126</v>
      </c>
    </row>
    <row r="840" spans="2:14" x14ac:dyDescent="0.25">
      <c r="B840" s="27" t="s">
        <v>123</v>
      </c>
      <c r="C840" s="28">
        <v>599859</v>
      </c>
      <c r="D840" s="28" t="s">
        <v>1897</v>
      </c>
      <c r="E840" s="27" t="s">
        <v>32</v>
      </c>
      <c r="F840" s="6" t="s">
        <v>1095</v>
      </c>
      <c r="G840" s="28" t="s">
        <v>55</v>
      </c>
      <c r="H840" s="28" t="s">
        <v>129</v>
      </c>
      <c r="I840" s="98">
        <v>0.3</v>
      </c>
      <c r="J840" s="27"/>
      <c r="K840" s="40"/>
      <c r="L840" s="29" t="s">
        <v>126</v>
      </c>
      <c r="M840" s="29" t="s">
        <v>126</v>
      </c>
      <c r="N840" s="29" t="s">
        <v>126</v>
      </c>
    </row>
    <row r="841" spans="2:14" x14ac:dyDescent="0.25">
      <c r="B841" s="27" t="s">
        <v>123</v>
      </c>
      <c r="C841" s="28">
        <v>599860</v>
      </c>
      <c r="D841" s="28" t="s">
        <v>1898</v>
      </c>
      <c r="E841" s="27" t="s">
        <v>32</v>
      </c>
      <c r="F841" s="6" t="s">
        <v>1095</v>
      </c>
      <c r="G841" s="28" t="s">
        <v>55</v>
      </c>
      <c r="H841" s="28" t="s">
        <v>129</v>
      </c>
      <c r="I841" s="98">
        <v>0.3</v>
      </c>
      <c r="J841" s="27"/>
      <c r="K841" s="40"/>
      <c r="L841" s="29" t="s">
        <v>126</v>
      </c>
      <c r="M841" s="29" t="s">
        <v>126</v>
      </c>
      <c r="N841" s="29" t="s">
        <v>126</v>
      </c>
    </row>
    <row r="842" spans="2:14" x14ac:dyDescent="0.25">
      <c r="B842" s="27" t="s">
        <v>123</v>
      </c>
      <c r="C842" s="28">
        <v>600130</v>
      </c>
      <c r="D842" s="28" t="s">
        <v>1899</v>
      </c>
      <c r="E842" s="27" t="s">
        <v>32</v>
      </c>
      <c r="F842" s="6" t="s">
        <v>1095</v>
      </c>
      <c r="G842" s="28" t="s">
        <v>55</v>
      </c>
      <c r="H842" s="28" t="s">
        <v>129</v>
      </c>
      <c r="I842" s="98">
        <v>0.3</v>
      </c>
      <c r="J842" s="27"/>
      <c r="K842" s="40"/>
      <c r="L842" s="29" t="s">
        <v>126</v>
      </c>
      <c r="M842" s="29" t="s">
        <v>126</v>
      </c>
      <c r="N842" s="29" t="s">
        <v>126</v>
      </c>
    </row>
    <row r="843" spans="2:14" x14ac:dyDescent="0.25">
      <c r="B843" s="27" t="s">
        <v>123</v>
      </c>
      <c r="C843" s="28">
        <v>600202</v>
      </c>
      <c r="D843" s="28" t="s">
        <v>1900</v>
      </c>
      <c r="E843" s="27" t="s">
        <v>32</v>
      </c>
      <c r="F843" s="6" t="s">
        <v>1095</v>
      </c>
      <c r="G843" s="28" t="s">
        <v>55</v>
      </c>
      <c r="H843" s="28" t="s">
        <v>129</v>
      </c>
      <c r="I843" s="98">
        <v>0.3</v>
      </c>
      <c r="J843" s="27"/>
      <c r="K843" s="40"/>
      <c r="L843" s="29" t="s">
        <v>126</v>
      </c>
      <c r="M843" s="29" t="s">
        <v>126</v>
      </c>
      <c r="N843" s="29" t="s">
        <v>126</v>
      </c>
    </row>
    <row r="844" spans="2:14" x14ac:dyDescent="0.25">
      <c r="B844" s="27" t="s">
        <v>123</v>
      </c>
      <c r="C844" s="28">
        <v>155233</v>
      </c>
      <c r="D844" s="28" t="s">
        <v>1901</v>
      </c>
      <c r="E844" s="27" t="s">
        <v>32</v>
      </c>
      <c r="F844" s="6" t="s">
        <v>1095</v>
      </c>
      <c r="G844" s="28" t="s">
        <v>55</v>
      </c>
      <c r="H844" s="28" t="s">
        <v>129</v>
      </c>
      <c r="I844" s="98">
        <v>0.3</v>
      </c>
      <c r="J844" s="27"/>
      <c r="K844" s="40"/>
      <c r="L844" s="29" t="s">
        <v>126</v>
      </c>
      <c r="M844" s="29" t="s">
        <v>126</v>
      </c>
      <c r="N844" s="29" t="s">
        <v>126</v>
      </c>
    </row>
    <row r="845" spans="2:14" x14ac:dyDescent="0.25">
      <c r="B845" s="27" t="s">
        <v>123</v>
      </c>
      <c r="C845" s="28">
        <v>225685</v>
      </c>
      <c r="D845" s="28" t="s">
        <v>1902</v>
      </c>
      <c r="E845" s="27" t="s">
        <v>32</v>
      </c>
      <c r="F845" s="6" t="s">
        <v>1095</v>
      </c>
      <c r="G845" s="28" t="s">
        <v>55</v>
      </c>
      <c r="H845" s="28" t="s">
        <v>129</v>
      </c>
      <c r="I845" s="98">
        <v>0.3</v>
      </c>
      <c r="J845" s="27"/>
      <c r="K845" s="40"/>
      <c r="L845" s="29" t="s">
        <v>126</v>
      </c>
      <c r="M845" s="29" t="s">
        <v>126</v>
      </c>
      <c r="N845" s="29" t="s">
        <v>126</v>
      </c>
    </row>
    <row r="846" spans="2:14" x14ac:dyDescent="0.25">
      <c r="B846" s="27" t="s">
        <v>123</v>
      </c>
      <c r="C846" s="28">
        <v>319191</v>
      </c>
      <c r="D846" s="28" t="s">
        <v>1903</v>
      </c>
      <c r="E846" s="27" t="s">
        <v>32</v>
      </c>
      <c r="F846" s="6" t="s">
        <v>1095</v>
      </c>
      <c r="G846" s="28" t="s">
        <v>55</v>
      </c>
      <c r="H846" s="28" t="s">
        <v>129</v>
      </c>
      <c r="I846" s="98">
        <v>0.3</v>
      </c>
      <c r="J846" s="27"/>
      <c r="K846" s="40"/>
      <c r="L846" s="29" t="s">
        <v>126</v>
      </c>
      <c r="M846" s="29" t="s">
        <v>126</v>
      </c>
      <c r="N846" s="29" t="s">
        <v>126</v>
      </c>
    </row>
    <row r="847" spans="2:14" x14ac:dyDescent="0.25">
      <c r="B847" s="27" t="s">
        <v>123</v>
      </c>
      <c r="C847" s="28">
        <v>339901</v>
      </c>
      <c r="D847" s="28" t="s">
        <v>1904</v>
      </c>
      <c r="E847" s="27" t="s">
        <v>32</v>
      </c>
      <c r="F847" s="6" t="s">
        <v>1095</v>
      </c>
      <c r="G847" s="28" t="s">
        <v>55</v>
      </c>
      <c r="H847" s="28" t="s">
        <v>129</v>
      </c>
      <c r="I847" s="98">
        <v>0.3</v>
      </c>
      <c r="J847" s="27"/>
      <c r="K847" s="40"/>
      <c r="L847" s="29" t="s">
        <v>126</v>
      </c>
      <c r="M847" s="29" t="s">
        <v>126</v>
      </c>
      <c r="N847" s="29" t="s">
        <v>126</v>
      </c>
    </row>
    <row r="848" spans="2:14" x14ac:dyDescent="0.25">
      <c r="B848" s="27" t="s">
        <v>123</v>
      </c>
      <c r="C848" s="28">
        <v>461728</v>
      </c>
      <c r="D848" s="28" t="s">
        <v>1905</v>
      </c>
      <c r="E848" s="27" t="s">
        <v>32</v>
      </c>
      <c r="F848" s="6" t="s">
        <v>1095</v>
      </c>
      <c r="G848" s="28" t="s">
        <v>55</v>
      </c>
      <c r="H848" s="28" t="s">
        <v>129</v>
      </c>
      <c r="I848" s="98">
        <v>0.3</v>
      </c>
      <c r="J848" s="27"/>
      <c r="K848" s="40"/>
      <c r="L848" s="29" t="s">
        <v>126</v>
      </c>
      <c r="M848" s="29" t="s">
        <v>126</v>
      </c>
      <c r="N848" s="29" t="s">
        <v>126</v>
      </c>
    </row>
    <row r="849" spans="2:14" x14ac:dyDescent="0.25">
      <c r="B849" s="27" t="s">
        <v>123</v>
      </c>
      <c r="C849" s="28">
        <v>476784</v>
      </c>
      <c r="D849" s="28" t="s">
        <v>1906</v>
      </c>
      <c r="E849" s="27" t="s">
        <v>32</v>
      </c>
      <c r="F849" s="6" t="s">
        <v>1095</v>
      </c>
      <c r="G849" s="28" t="s">
        <v>55</v>
      </c>
      <c r="H849" s="28" t="s">
        <v>129</v>
      </c>
      <c r="I849" s="98">
        <v>0.3</v>
      </c>
      <c r="J849" s="27"/>
      <c r="K849" s="40"/>
      <c r="L849" s="29" t="s">
        <v>126</v>
      </c>
      <c r="M849" s="29" t="s">
        <v>126</v>
      </c>
      <c r="N849" s="29" t="s">
        <v>126</v>
      </c>
    </row>
    <row r="850" spans="2:14" x14ac:dyDescent="0.25">
      <c r="B850" s="27" t="s">
        <v>123</v>
      </c>
      <c r="C850" s="28">
        <v>488636</v>
      </c>
      <c r="D850" s="28" t="s">
        <v>1907</v>
      </c>
      <c r="E850" s="27" t="s">
        <v>32</v>
      </c>
      <c r="F850" s="6" t="s">
        <v>1095</v>
      </c>
      <c r="G850" s="28" t="s">
        <v>55</v>
      </c>
      <c r="H850" s="28" t="s">
        <v>129</v>
      </c>
      <c r="I850" s="98">
        <v>0.3</v>
      </c>
      <c r="J850" s="27"/>
      <c r="K850" s="40"/>
      <c r="L850" s="29" t="s">
        <v>126</v>
      </c>
      <c r="M850" s="29" t="s">
        <v>126</v>
      </c>
      <c r="N850" s="29" t="s">
        <v>126</v>
      </c>
    </row>
    <row r="851" spans="2:14" x14ac:dyDescent="0.25">
      <c r="B851" s="27" t="s">
        <v>123</v>
      </c>
      <c r="C851" s="28">
        <v>497711</v>
      </c>
      <c r="D851" s="28" t="s">
        <v>1908</v>
      </c>
      <c r="E851" s="27" t="s">
        <v>32</v>
      </c>
      <c r="F851" s="6" t="s">
        <v>1095</v>
      </c>
      <c r="G851" s="28" t="s">
        <v>55</v>
      </c>
      <c r="H851" s="28" t="s">
        <v>129</v>
      </c>
      <c r="I851" s="98">
        <v>0.3</v>
      </c>
      <c r="J851" s="27"/>
      <c r="K851" s="40"/>
      <c r="L851" s="29" t="s">
        <v>126</v>
      </c>
      <c r="M851" s="29" t="s">
        <v>126</v>
      </c>
      <c r="N851" s="29" t="s">
        <v>126</v>
      </c>
    </row>
    <row r="852" spans="2:14" x14ac:dyDescent="0.25">
      <c r="B852" s="27" t="s">
        <v>123</v>
      </c>
      <c r="C852" s="28">
        <v>512912</v>
      </c>
      <c r="D852" s="28" t="s">
        <v>1909</v>
      </c>
      <c r="E852" s="27" t="s">
        <v>32</v>
      </c>
      <c r="F852" s="6" t="s">
        <v>1095</v>
      </c>
      <c r="G852" s="28" t="s">
        <v>55</v>
      </c>
      <c r="H852" s="28" t="s">
        <v>129</v>
      </c>
      <c r="I852" s="98">
        <v>0.3</v>
      </c>
      <c r="J852" s="27"/>
      <c r="K852" s="40"/>
      <c r="L852" s="29" t="s">
        <v>126</v>
      </c>
      <c r="M852" s="29" t="s">
        <v>126</v>
      </c>
      <c r="N852" s="29" t="s">
        <v>126</v>
      </c>
    </row>
    <row r="853" spans="2:14" x14ac:dyDescent="0.25">
      <c r="B853" s="27" t="s">
        <v>123</v>
      </c>
      <c r="C853" s="28">
        <v>512914</v>
      </c>
      <c r="D853" s="28" t="s">
        <v>1910</v>
      </c>
      <c r="E853" s="27" t="s">
        <v>32</v>
      </c>
      <c r="F853" s="6" t="s">
        <v>1095</v>
      </c>
      <c r="G853" s="28" t="s">
        <v>55</v>
      </c>
      <c r="H853" s="28" t="s">
        <v>129</v>
      </c>
      <c r="I853" s="98">
        <v>0.3</v>
      </c>
      <c r="J853" s="27"/>
      <c r="K853" s="40"/>
      <c r="L853" s="29" t="s">
        <v>126</v>
      </c>
      <c r="M853" s="29" t="s">
        <v>126</v>
      </c>
      <c r="N853" s="29" t="s">
        <v>126</v>
      </c>
    </row>
    <row r="854" spans="2:14" x14ac:dyDescent="0.25">
      <c r="B854" s="27" t="s">
        <v>123</v>
      </c>
      <c r="C854" s="28">
        <v>549472</v>
      </c>
      <c r="D854" s="28" t="s">
        <v>1911</v>
      </c>
      <c r="E854" s="27" t="s">
        <v>32</v>
      </c>
      <c r="F854" s="6" t="s">
        <v>1095</v>
      </c>
      <c r="G854" s="28" t="s">
        <v>55</v>
      </c>
      <c r="H854" s="28" t="s">
        <v>129</v>
      </c>
      <c r="I854" s="98">
        <v>0.3</v>
      </c>
      <c r="J854" s="27"/>
      <c r="K854" s="40"/>
      <c r="L854" s="29" t="s">
        <v>126</v>
      </c>
      <c r="M854" s="29" t="s">
        <v>126</v>
      </c>
      <c r="N854" s="29" t="s">
        <v>126</v>
      </c>
    </row>
    <row r="855" spans="2:14" x14ac:dyDescent="0.25">
      <c r="B855" s="27" t="s">
        <v>123</v>
      </c>
      <c r="C855" s="28">
        <v>552119</v>
      </c>
      <c r="D855" s="28" t="s">
        <v>1912</v>
      </c>
      <c r="E855" s="27" t="s">
        <v>32</v>
      </c>
      <c r="F855" s="6" t="s">
        <v>1095</v>
      </c>
      <c r="G855" s="28" t="s">
        <v>55</v>
      </c>
      <c r="H855" s="28" t="s">
        <v>129</v>
      </c>
      <c r="I855" s="98">
        <v>0.3</v>
      </c>
      <c r="J855" s="27"/>
      <c r="K855" s="40"/>
      <c r="L855" s="29" t="s">
        <v>126</v>
      </c>
      <c r="M855" s="29" t="s">
        <v>126</v>
      </c>
      <c r="N855" s="29" t="s">
        <v>126</v>
      </c>
    </row>
    <row r="856" spans="2:14" x14ac:dyDescent="0.25">
      <c r="B856" s="27" t="s">
        <v>123</v>
      </c>
      <c r="C856" s="28">
        <v>567481</v>
      </c>
      <c r="D856" s="28" t="s">
        <v>1913</v>
      </c>
      <c r="E856" s="27" t="s">
        <v>32</v>
      </c>
      <c r="F856" s="6" t="s">
        <v>1095</v>
      </c>
      <c r="G856" s="28" t="s">
        <v>55</v>
      </c>
      <c r="H856" s="28" t="s">
        <v>129</v>
      </c>
      <c r="I856" s="98">
        <v>0.3</v>
      </c>
      <c r="J856" s="27"/>
      <c r="K856" s="40"/>
      <c r="L856" s="29" t="s">
        <v>126</v>
      </c>
      <c r="M856" s="29" t="s">
        <v>126</v>
      </c>
      <c r="N856" s="29" t="s">
        <v>126</v>
      </c>
    </row>
    <row r="857" spans="2:14" x14ac:dyDescent="0.25">
      <c r="B857" s="27" t="s">
        <v>123</v>
      </c>
      <c r="C857" s="28">
        <v>567482</v>
      </c>
      <c r="D857" s="28" t="s">
        <v>1914</v>
      </c>
      <c r="E857" s="27" t="s">
        <v>32</v>
      </c>
      <c r="F857" s="6" t="s">
        <v>1095</v>
      </c>
      <c r="G857" s="28" t="s">
        <v>55</v>
      </c>
      <c r="H857" s="28" t="s">
        <v>129</v>
      </c>
      <c r="I857" s="98">
        <v>0.3</v>
      </c>
      <c r="J857" s="27"/>
      <c r="K857" s="40"/>
      <c r="L857" s="29" t="s">
        <v>126</v>
      </c>
      <c r="M857" s="29" t="s">
        <v>126</v>
      </c>
      <c r="N857" s="29" t="s">
        <v>126</v>
      </c>
    </row>
    <row r="858" spans="2:14" x14ac:dyDescent="0.25">
      <c r="B858" s="27" t="s">
        <v>123</v>
      </c>
      <c r="C858" s="28">
        <v>567483</v>
      </c>
      <c r="D858" s="28" t="s">
        <v>1915</v>
      </c>
      <c r="E858" s="27" t="s">
        <v>32</v>
      </c>
      <c r="F858" s="6" t="s">
        <v>1095</v>
      </c>
      <c r="G858" s="28" t="s">
        <v>55</v>
      </c>
      <c r="H858" s="28" t="s">
        <v>129</v>
      </c>
      <c r="I858" s="98">
        <v>0.3</v>
      </c>
      <c r="J858" s="27"/>
      <c r="K858" s="40"/>
      <c r="L858" s="29" t="s">
        <v>126</v>
      </c>
      <c r="M858" s="29" t="s">
        <v>126</v>
      </c>
      <c r="N858" s="29" t="s">
        <v>126</v>
      </c>
    </row>
    <row r="859" spans="2:14" x14ac:dyDescent="0.25">
      <c r="B859" s="27" t="s">
        <v>123</v>
      </c>
      <c r="C859" s="28">
        <v>575276</v>
      </c>
      <c r="D859" s="28" t="s">
        <v>1916</v>
      </c>
      <c r="E859" s="27" t="s">
        <v>32</v>
      </c>
      <c r="F859" s="6" t="s">
        <v>1095</v>
      </c>
      <c r="G859" s="28" t="s">
        <v>55</v>
      </c>
      <c r="H859" s="28" t="s">
        <v>129</v>
      </c>
      <c r="I859" s="98">
        <v>0.3</v>
      </c>
      <c r="J859" s="27"/>
      <c r="K859" s="40"/>
      <c r="L859" s="29" t="s">
        <v>126</v>
      </c>
      <c r="M859" s="29" t="s">
        <v>126</v>
      </c>
      <c r="N859" s="29" t="s">
        <v>126</v>
      </c>
    </row>
    <row r="860" spans="2:14" x14ac:dyDescent="0.25">
      <c r="B860" s="27" t="s">
        <v>123</v>
      </c>
      <c r="C860" s="28">
        <v>575280</v>
      </c>
      <c r="D860" s="28" t="s">
        <v>1917</v>
      </c>
      <c r="E860" s="27" t="s">
        <v>32</v>
      </c>
      <c r="F860" s="6" t="s">
        <v>1095</v>
      </c>
      <c r="G860" s="28" t="s">
        <v>55</v>
      </c>
      <c r="H860" s="28" t="s">
        <v>129</v>
      </c>
      <c r="I860" s="98">
        <v>0.3</v>
      </c>
      <c r="J860" s="27"/>
      <c r="K860" s="40"/>
      <c r="L860" s="29" t="s">
        <v>126</v>
      </c>
      <c r="M860" s="29" t="s">
        <v>126</v>
      </c>
      <c r="N860" s="29" t="s">
        <v>126</v>
      </c>
    </row>
    <row r="861" spans="2:14" x14ac:dyDescent="0.25">
      <c r="B861" s="27" t="s">
        <v>123</v>
      </c>
      <c r="C861" s="28">
        <v>582114</v>
      </c>
      <c r="D861" s="28" t="s">
        <v>1918</v>
      </c>
      <c r="E861" s="27" t="s">
        <v>32</v>
      </c>
      <c r="F861" s="6" t="s">
        <v>1095</v>
      </c>
      <c r="G861" s="28" t="s">
        <v>55</v>
      </c>
      <c r="H861" s="28" t="s">
        <v>129</v>
      </c>
      <c r="I861" s="98">
        <v>0.3</v>
      </c>
      <c r="J861" s="27"/>
      <c r="K861" s="40"/>
      <c r="L861" s="29" t="s">
        <v>126</v>
      </c>
      <c r="M861" s="29" t="s">
        <v>126</v>
      </c>
      <c r="N861" s="29" t="s">
        <v>126</v>
      </c>
    </row>
    <row r="862" spans="2:14" x14ac:dyDescent="0.25">
      <c r="B862" s="27" t="s">
        <v>123</v>
      </c>
      <c r="C862" s="28">
        <v>582115</v>
      </c>
      <c r="D862" s="28" t="s">
        <v>1919</v>
      </c>
      <c r="E862" s="27" t="s">
        <v>32</v>
      </c>
      <c r="F862" s="6" t="s">
        <v>1095</v>
      </c>
      <c r="G862" s="28" t="s">
        <v>55</v>
      </c>
      <c r="H862" s="28" t="s">
        <v>129</v>
      </c>
      <c r="I862" s="98">
        <v>0.3</v>
      </c>
      <c r="J862" s="27"/>
      <c r="K862" s="40"/>
      <c r="L862" s="29" t="s">
        <v>126</v>
      </c>
      <c r="M862" s="29" t="s">
        <v>126</v>
      </c>
      <c r="N862" s="29" t="s">
        <v>126</v>
      </c>
    </row>
    <row r="863" spans="2:14" x14ac:dyDescent="0.25">
      <c r="B863" s="27" t="s">
        <v>123</v>
      </c>
      <c r="C863" s="28">
        <v>595206</v>
      </c>
      <c r="D863" s="28" t="s">
        <v>1920</v>
      </c>
      <c r="E863" s="27" t="s">
        <v>32</v>
      </c>
      <c r="F863" s="6" t="s">
        <v>1095</v>
      </c>
      <c r="G863" s="28" t="s">
        <v>55</v>
      </c>
      <c r="H863" s="28" t="s">
        <v>129</v>
      </c>
      <c r="I863" s="98">
        <v>0.3</v>
      </c>
      <c r="J863" s="27"/>
      <c r="K863" s="40"/>
      <c r="L863" s="29" t="s">
        <v>126</v>
      </c>
      <c r="M863" s="29" t="s">
        <v>126</v>
      </c>
      <c r="N863" s="29" t="s">
        <v>126</v>
      </c>
    </row>
    <row r="864" spans="2:14" x14ac:dyDescent="0.25">
      <c r="B864" s="27" t="s">
        <v>123</v>
      </c>
      <c r="C864" s="28">
        <v>595207</v>
      </c>
      <c r="D864" s="28" t="s">
        <v>1921</v>
      </c>
      <c r="E864" s="27" t="s">
        <v>32</v>
      </c>
      <c r="F864" s="6" t="s">
        <v>1095</v>
      </c>
      <c r="G864" s="28" t="s">
        <v>55</v>
      </c>
      <c r="H864" s="28" t="s">
        <v>129</v>
      </c>
      <c r="I864" s="98">
        <v>0.3</v>
      </c>
      <c r="J864" s="27"/>
      <c r="K864" s="40"/>
      <c r="L864" s="29" t="s">
        <v>126</v>
      </c>
      <c r="M864" s="29" t="s">
        <v>126</v>
      </c>
      <c r="N864" s="29" t="s">
        <v>126</v>
      </c>
    </row>
    <row r="865" spans="2:14" x14ac:dyDescent="0.25">
      <c r="B865" s="27" t="s">
        <v>123</v>
      </c>
      <c r="C865" s="28">
        <v>595208</v>
      </c>
      <c r="D865" s="28" t="s">
        <v>1922</v>
      </c>
      <c r="E865" s="27" t="s">
        <v>32</v>
      </c>
      <c r="F865" s="6" t="s">
        <v>1095</v>
      </c>
      <c r="G865" s="28" t="s">
        <v>55</v>
      </c>
      <c r="H865" s="28" t="s">
        <v>129</v>
      </c>
      <c r="I865" s="98">
        <v>0.3</v>
      </c>
      <c r="J865" s="27"/>
      <c r="K865" s="40"/>
      <c r="L865" s="29" t="s">
        <v>126</v>
      </c>
      <c r="M865" s="29" t="s">
        <v>126</v>
      </c>
      <c r="N865" s="29" t="s">
        <v>126</v>
      </c>
    </row>
    <row r="866" spans="2:14" x14ac:dyDescent="0.25">
      <c r="B866" s="27" t="s">
        <v>123</v>
      </c>
      <c r="C866" s="28">
        <v>600126</v>
      </c>
      <c r="D866" s="28" t="s">
        <v>1923</v>
      </c>
      <c r="E866" s="27" t="s">
        <v>32</v>
      </c>
      <c r="F866" s="6" t="s">
        <v>1095</v>
      </c>
      <c r="G866" s="28" t="s">
        <v>55</v>
      </c>
      <c r="H866" s="28" t="s">
        <v>129</v>
      </c>
      <c r="I866" s="98">
        <v>0.3</v>
      </c>
      <c r="J866" s="27"/>
      <c r="K866" s="40"/>
      <c r="L866" s="29" t="s">
        <v>126</v>
      </c>
      <c r="M866" s="29" t="s">
        <v>126</v>
      </c>
      <c r="N866" s="29" t="s">
        <v>126</v>
      </c>
    </row>
    <row r="867" spans="2:14" x14ac:dyDescent="0.25">
      <c r="B867" s="27" t="s">
        <v>123</v>
      </c>
      <c r="C867" s="28">
        <v>600127</v>
      </c>
      <c r="D867" s="28" t="s">
        <v>1924</v>
      </c>
      <c r="E867" s="27" t="s">
        <v>32</v>
      </c>
      <c r="F867" s="6" t="s">
        <v>1095</v>
      </c>
      <c r="G867" s="28" t="s">
        <v>55</v>
      </c>
      <c r="H867" s="28" t="s">
        <v>129</v>
      </c>
      <c r="I867" s="98">
        <v>0.3</v>
      </c>
      <c r="J867" s="27"/>
      <c r="K867" s="40"/>
      <c r="L867" s="29" t="s">
        <v>126</v>
      </c>
      <c r="M867" s="29" t="s">
        <v>126</v>
      </c>
      <c r="N867" s="29" t="s">
        <v>126</v>
      </c>
    </row>
    <row r="868" spans="2:14" x14ac:dyDescent="0.25">
      <c r="B868" s="27" t="s">
        <v>123</v>
      </c>
      <c r="C868" s="28">
        <v>600128</v>
      </c>
      <c r="D868" s="28" t="s">
        <v>1925</v>
      </c>
      <c r="E868" s="27" t="s">
        <v>32</v>
      </c>
      <c r="F868" s="6" t="s">
        <v>1095</v>
      </c>
      <c r="G868" s="28" t="s">
        <v>55</v>
      </c>
      <c r="H868" s="28" t="s">
        <v>129</v>
      </c>
      <c r="I868" s="98">
        <v>0.3</v>
      </c>
      <c r="J868" s="27"/>
      <c r="K868" s="40"/>
      <c r="L868" s="29" t="s">
        <v>126</v>
      </c>
      <c r="M868" s="29" t="s">
        <v>126</v>
      </c>
      <c r="N868" s="29" t="s">
        <v>126</v>
      </c>
    </row>
    <row r="869" spans="2:14" x14ac:dyDescent="0.25">
      <c r="B869" s="27" t="s">
        <v>123</v>
      </c>
      <c r="C869" s="28">
        <v>225686</v>
      </c>
      <c r="D869" s="28" t="s">
        <v>1926</v>
      </c>
      <c r="E869" s="27" t="s">
        <v>32</v>
      </c>
      <c r="F869" s="6" t="s">
        <v>1095</v>
      </c>
      <c r="G869" s="28" t="s">
        <v>55</v>
      </c>
      <c r="H869" s="28" t="s">
        <v>129</v>
      </c>
      <c r="I869" s="98">
        <v>0.3</v>
      </c>
      <c r="J869" s="27"/>
      <c r="K869" s="40"/>
      <c r="L869" s="29" t="s">
        <v>126</v>
      </c>
      <c r="M869" s="29" t="s">
        <v>126</v>
      </c>
      <c r="N869" s="29" t="s">
        <v>126</v>
      </c>
    </row>
    <row r="870" spans="2:14" x14ac:dyDescent="0.25">
      <c r="B870" s="27" t="s">
        <v>123</v>
      </c>
      <c r="C870" s="28">
        <v>358091</v>
      </c>
      <c r="D870" s="28" t="s">
        <v>1927</v>
      </c>
      <c r="E870" s="27" t="s">
        <v>32</v>
      </c>
      <c r="F870" s="6" t="s">
        <v>1095</v>
      </c>
      <c r="G870" s="28" t="s">
        <v>55</v>
      </c>
      <c r="H870" s="28" t="s">
        <v>129</v>
      </c>
      <c r="I870" s="98">
        <v>0.3</v>
      </c>
      <c r="J870" s="27"/>
      <c r="K870" s="40"/>
      <c r="L870" s="29" t="s">
        <v>126</v>
      </c>
      <c r="M870" s="29" t="s">
        <v>126</v>
      </c>
      <c r="N870" s="29" t="s">
        <v>126</v>
      </c>
    </row>
    <row r="871" spans="2:14" x14ac:dyDescent="0.25">
      <c r="B871" s="27" t="s">
        <v>123</v>
      </c>
      <c r="C871" s="28">
        <v>392405</v>
      </c>
      <c r="D871" s="28" t="s">
        <v>1928</v>
      </c>
      <c r="E871" s="27" t="s">
        <v>32</v>
      </c>
      <c r="F871" s="6" t="s">
        <v>1095</v>
      </c>
      <c r="G871" s="28" t="s">
        <v>55</v>
      </c>
      <c r="H871" s="28" t="s">
        <v>129</v>
      </c>
      <c r="I871" s="98">
        <v>0.3</v>
      </c>
      <c r="J871" s="27"/>
      <c r="K871" s="40"/>
      <c r="L871" s="29" t="s">
        <v>126</v>
      </c>
      <c r="M871" s="29" t="s">
        <v>126</v>
      </c>
      <c r="N871" s="29" t="s">
        <v>126</v>
      </c>
    </row>
    <row r="872" spans="2:14" x14ac:dyDescent="0.25">
      <c r="B872" s="27" t="s">
        <v>123</v>
      </c>
      <c r="C872" s="28">
        <v>405171</v>
      </c>
      <c r="D872" s="28" t="s">
        <v>1929</v>
      </c>
      <c r="E872" s="27" t="s">
        <v>32</v>
      </c>
      <c r="F872" s="6" t="s">
        <v>1095</v>
      </c>
      <c r="G872" s="28" t="s">
        <v>55</v>
      </c>
      <c r="H872" s="28" t="s">
        <v>129</v>
      </c>
      <c r="I872" s="98">
        <v>0.3</v>
      </c>
      <c r="J872" s="27"/>
      <c r="K872" s="40"/>
      <c r="L872" s="29" t="s">
        <v>126</v>
      </c>
      <c r="M872" s="29" t="s">
        <v>126</v>
      </c>
      <c r="N872" s="29" t="s">
        <v>126</v>
      </c>
    </row>
    <row r="873" spans="2:14" x14ac:dyDescent="0.25">
      <c r="B873" s="27" t="s">
        <v>123</v>
      </c>
      <c r="C873" s="28">
        <v>521056</v>
      </c>
      <c r="D873" s="28" t="s">
        <v>1930</v>
      </c>
      <c r="E873" s="27" t="s">
        <v>32</v>
      </c>
      <c r="F873" s="6" t="s">
        <v>1095</v>
      </c>
      <c r="G873" s="28" t="s">
        <v>55</v>
      </c>
      <c r="H873" s="28" t="s">
        <v>129</v>
      </c>
      <c r="I873" s="98">
        <v>0.3</v>
      </c>
      <c r="J873" s="27"/>
      <c r="K873" s="40"/>
      <c r="L873" s="29" t="s">
        <v>126</v>
      </c>
      <c r="M873" s="29" t="s">
        <v>126</v>
      </c>
      <c r="N873" s="29" t="s">
        <v>126</v>
      </c>
    </row>
    <row r="874" spans="2:14" x14ac:dyDescent="0.25">
      <c r="B874" s="27" t="s">
        <v>123</v>
      </c>
      <c r="C874" s="28">
        <v>28002</v>
      </c>
      <c r="D874" s="28" t="s">
        <v>1931</v>
      </c>
      <c r="E874" s="27" t="s">
        <v>32</v>
      </c>
      <c r="F874" s="6" t="s">
        <v>1095</v>
      </c>
      <c r="G874" s="28" t="s">
        <v>55</v>
      </c>
      <c r="H874" s="28" t="s">
        <v>129</v>
      </c>
      <c r="I874" s="98">
        <v>0.3</v>
      </c>
      <c r="J874" s="27"/>
      <c r="K874" s="40"/>
      <c r="L874" s="29" t="s">
        <v>126</v>
      </c>
      <c r="M874" s="29" t="s">
        <v>126</v>
      </c>
      <c r="N874" s="29" t="s">
        <v>126</v>
      </c>
    </row>
    <row r="875" spans="2:14" x14ac:dyDescent="0.25">
      <c r="B875" s="27" t="s">
        <v>123</v>
      </c>
      <c r="C875" s="28">
        <v>29206</v>
      </c>
      <c r="D875" s="28" t="s">
        <v>1932</v>
      </c>
      <c r="E875" s="27" t="s">
        <v>32</v>
      </c>
      <c r="F875" s="6" t="s">
        <v>1095</v>
      </c>
      <c r="G875" s="28" t="s">
        <v>55</v>
      </c>
      <c r="H875" s="28" t="s">
        <v>129</v>
      </c>
      <c r="I875" s="98">
        <v>0.3</v>
      </c>
      <c r="J875" s="27"/>
      <c r="K875" s="40"/>
      <c r="L875" s="29" t="s">
        <v>126</v>
      </c>
      <c r="M875" s="29" t="s">
        <v>126</v>
      </c>
      <c r="N875" s="29" t="s">
        <v>126</v>
      </c>
    </row>
    <row r="876" spans="2:14" x14ac:dyDescent="0.25">
      <c r="B876" s="27" t="s">
        <v>123</v>
      </c>
      <c r="C876" s="28">
        <v>29208</v>
      </c>
      <c r="D876" s="28" t="s">
        <v>1933</v>
      </c>
      <c r="E876" s="27" t="s">
        <v>32</v>
      </c>
      <c r="F876" s="6" t="s">
        <v>1095</v>
      </c>
      <c r="G876" s="28" t="s">
        <v>55</v>
      </c>
      <c r="H876" s="28" t="s">
        <v>129</v>
      </c>
      <c r="I876" s="98">
        <v>0.3</v>
      </c>
      <c r="J876" s="27"/>
      <c r="K876" s="40"/>
      <c r="L876" s="29" t="s">
        <v>126</v>
      </c>
      <c r="M876" s="29" t="s">
        <v>126</v>
      </c>
      <c r="N876" s="29" t="s">
        <v>126</v>
      </c>
    </row>
    <row r="877" spans="2:14" x14ac:dyDescent="0.25">
      <c r="B877" s="27" t="s">
        <v>123</v>
      </c>
      <c r="C877" s="28">
        <v>29213</v>
      </c>
      <c r="D877" s="28" t="s">
        <v>1934</v>
      </c>
      <c r="E877" s="27" t="s">
        <v>32</v>
      </c>
      <c r="F877" s="6" t="s">
        <v>1095</v>
      </c>
      <c r="G877" s="28" t="s">
        <v>55</v>
      </c>
      <c r="H877" s="28" t="s">
        <v>129</v>
      </c>
      <c r="I877" s="98">
        <v>0.3</v>
      </c>
      <c r="J877" s="27"/>
      <c r="K877" s="40"/>
      <c r="L877" s="29" t="s">
        <v>126</v>
      </c>
      <c r="M877" s="29" t="s">
        <v>126</v>
      </c>
      <c r="N877" s="29" t="s">
        <v>126</v>
      </c>
    </row>
    <row r="878" spans="2:14" x14ac:dyDescent="0.25">
      <c r="B878" s="27" t="s">
        <v>123</v>
      </c>
      <c r="C878" s="28">
        <v>29214</v>
      </c>
      <c r="D878" s="28" t="s">
        <v>1935</v>
      </c>
      <c r="E878" s="27" t="s">
        <v>32</v>
      </c>
      <c r="F878" s="6" t="s">
        <v>1095</v>
      </c>
      <c r="G878" s="28" t="s">
        <v>55</v>
      </c>
      <c r="H878" s="28" t="s">
        <v>129</v>
      </c>
      <c r="I878" s="98">
        <v>0.3</v>
      </c>
      <c r="J878" s="27"/>
      <c r="K878" s="40"/>
      <c r="L878" s="29" t="s">
        <v>126</v>
      </c>
      <c r="M878" s="29" t="s">
        <v>126</v>
      </c>
      <c r="N878" s="29" t="s">
        <v>126</v>
      </c>
    </row>
    <row r="879" spans="2:14" x14ac:dyDescent="0.25">
      <c r="B879" s="27" t="s">
        <v>123</v>
      </c>
      <c r="C879" s="28">
        <v>29215</v>
      </c>
      <c r="D879" s="28" t="s">
        <v>1936</v>
      </c>
      <c r="E879" s="27" t="s">
        <v>32</v>
      </c>
      <c r="F879" s="6" t="s">
        <v>1095</v>
      </c>
      <c r="G879" s="28" t="s">
        <v>55</v>
      </c>
      <c r="H879" s="28" t="s">
        <v>129</v>
      </c>
      <c r="I879" s="98">
        <v>0.3</v>
      </c>
      <c r="J879" s="27"/>
      <c r="K879" s="40"/>
      <c r="L879" s="29" t="s">
        <v>126</v>
      </c>
      <c r="M879" s="29" t="s">
        <v>126</v>
      </c>
      <c r="N879" s="29" t="s">
        <v>126</v>
      </c>
    </row>
    <row r="880" spans="2:14" x14ac:dyDescent="0.25">
      <c r="B880" s="27" t="s">
        <v>123</v>
      </c>
      <c r="C880" s="28">
        <v>29217</v>
      </c>
      <c r="D880" s="28" t="s">
        <v>1937</v>
      </c>
      <c r="E880" s="27" t="s">
        <v>32</v>
      </c>
      <c r="F880" s="6" t="s">
        <v>1095</v>
      </c>
      <c r="G880" s="28" t="s">
        <v>55</v>
      </c>
      <c r="H880" s="28" t="s">
        <v>129</v>
      </c>
      <c r="I880" s="98">
        <v>0.3</v>
      </c>
      <c r="J880" s="27"/>
      <c r="K880" s="40"/>
      <c r="L880" s="29" t="s">
        <v>126</v>
      </c>
      <c r="M880" s="29" t="s">
        <v>126</v>
      </c>
      <c r="N880" s="29" t="s">
        <v>126</v>
      </c>
    </row>
    <row r="881" spans="2:14" x14ac:dyDescent="0.25">
      <c r="B881" s="27" t="s">
        <v>123</v>
      </c>
      <c r="C881" s="28">
        <v>29221</v>
      </c>
      <c r="D881" s="28" t="s">
        <v>1938</v>
      </c>
      <c r="E881" s="27" t="s">
        <v>32</v>
      </c>
      <c r="F881" s="6" t="s">
        <v>1095</v>
      </c>
      <c r="G881" s="28" t="s">
        <v>55</v>
      </c>
      <c r="H881" s="28" t="s">
        <v>129</v>
      </c>
      <c r="I881" s="98">
        <v>0.3</v>
      </c>
      <c r="J881" s="27"/>
      <c r="K881" s="40"/>
      <c r="L881" s="29" t="s">
        <v>126</v>
      </c>
      <c r="M881" s="29" t="s">
        <v>126</v>
      </c>
      <c r="N881" s="29" t="s">
        <v>126</v>
      </c>
    </row>
    <row r="882" spans="2:14" x14ac:dyDescent="0.25">
      <c r="B882" s="27" t="s">
        <v>123</v>
      </c>
      <c r="C882" s="28">
        <v>29226</v>
      </c>
      <c r="D882" s="28" t="s">
        <v>1939</v>
      </c>
      <c r="E882" s="27" t="s">
        <v>32</v>
      </c>
      <c r="F882" s="6" t="s">
        <v>1095</v>
      </c>
      <c r="G882" s="28" t="s">
        <v>55</v>
      </c>
      <c r="H882" s="28" t="s">
        <v>129</v>
      </c>
      <c r="I882" s="98">
        <v>0.3</v>
      </c>
      <c r="J882" s="27"/>
      <c r="K882" s="40"/>
      <c r="L882" s="29" t="s">
        <v>126</v>
      </c>
      <c r="M882" s="29" t="s">
        <v>126</v>
      </c>
      <c r="N882" s="29" t="s">
        <v>126</v>
      </c>
    </row>
    <row r="883" spans="2:14" x14ac:dyDescent="0.25">
      <c r="B883" s="27" t="s">
        <v>123</v>
      </c>
      <c r="C883" s="28">
        <v>29229</v>
      </c>
      <c r="D883" s="28" t="s">
        <v>1940</v>
      </c>
      <c r="E883" s="27" t="s">
        <v>32</v>
      </c>
      <c r="F883" s="6" t="s">
        <v>1095</v>
      </c>
      <c r="G883" s="28" t="s">
        <v>55</v>
      </c>
      <c r="H883" s="28" t="s">
        <v>129</v>
      </c>
      <c r="I883" s="98">
        <v>0.3</v>
      </c>
      <c r="J883" s="27"/>
      <c r="K883" s="40"/>
      <c r="L883" s="29" t="s">
        <v>126</v>
      </c>
      <c r="M883" s="29" t="s">
        <v>126</v>
      </c>
      <c r="N883" s="29" t="s">
        <v>126</v>
      </c>
    </row>
    <row r="884" spans="2:14" x14ac:dyDescent="0.25">
      <c r="B884" s="27" t="s">
        <v>123</v>
      </c>
      <c r="C884" s="28">
        <v>29230</v>
      </c>
      <c r="D884" s="28" t="s">
        <v>1941</v>
      </c>
      <c r="E884" s="27" t="s">
        <v>32</v>
      </c>
      <c r="F884" s="6" t="s">
        <v>1095</v>
      </c>
      <c r="G884" s="28" t="s">
        <v>55</v>
      </c>
      <c r="H884" s="28" t="s">
        <v>129</v>
      </c>
      <c r="I884" s="98">
        <v>0.3</v>
      </c>
      <c r="J884" s="27"/>
      <c r="K884" s="40"/>
      <c r="L884" s="29" t="s">
        <v>126</v>
      </c>
      <c r="M884" s="29" t="s">
        <v>126</v>
      </c>
      <c r="N884" s="29" t="s">
        <v>126</v>
      </c>
    </row>
    <row r="885" spans="2:14" x14ac:dyDescent="0.25">
      <c r="B885" s="27" t="s">
        <v>123</v>
      </c>
      <c r="C885" s="28">
        <v>56531</v>
      </c>
      <c r="D885" s="28" t="s">
        <v>1942</v>
      </c>
      <c r="E885" s="27" t="s">
        <v>32</v>
      </c>
      <c r="F885" s="6" t="s">
        <v>1095</v>
      </c>
      <c r="G885" s="28" t="s">
        <v>55</v>
      </c>
      <c r="H885" s="28" t="s">
        <v>129</v>
      </c>
      <c r="I885" s="98">
        <v>0.3</v>
      </c>
      <c r="J885" s="27"/>
      <c r="K885" s="40"/>
      <c r="L885" s="29" t="s">
        <v>126</v>
      </c>
      <c r="M885" s="29" t="s">
        <v>126</v>
      </c>
      <c r="N885" s="29" t="s">
        <v>126</v>
      </c>
    </row>
    <row r="886" spans="2:14" x14ac:dyDescent="0.25">
      <c r="B886" s="27" t="s">
        <v>123</v>
      </c>
      <c r="C886" s="28">
        <v>225897</v>
      </c>
      <c r="D886" s="28" t="s">
        <v>1943</v>
      </c>
      <c r="E886" s="27" t="s">
        <v>32</v>
      </c>
      <c r="F886" s="6" t="s">
        <v>1095</v>
      </c>
      <c r="G886" s="28" t="s">
        <v>55</v>
      </c>
      <c r="H886" s="28" t="s">
        <v>129</v>
      </c>
      <c r="I886" s="98">
        <v>0.3</v>
      </c>
      <c r="J886" s="27"/>
      <c r="K886" s="40"/>
      <c r="L886" s="29" t="s">
        <v>126</v>
      </c>
      <c r="M886" s="29" t="s">
        <v>126</v>
      </c>
      <c r="N886" s="29" t="s">
        <v>126</v>
      </c>
    </row>
    <row r="887" spans="2:14" x14ac:dyDescent="0.25">
      <c r="B887" s="27" t="s">
        <v>123</v>
      </c>
      <c r="C887" s="28">
        <v>258114</v>
      </c>
      <c r="D887" s="28" t="s">
        <v>1944</v>
      </c>
      <c r="E887" s="27" t="s">
        <v>32</v>
      </c>
      <c r="F887" s="6" t="s">
        <v>1095</v>
      </c>
      <c r="G887" s="28" t="s">
        <v>55</v>
      </c>
      <c r="H887" s="28" t="s">
        <v>129</v>
      </c>
      <c r="I887" s="98">
        <v>0.3</v>
      </c>
      <c r="J887" s="27"/>
      <c r="K887" s="40"/>
      <c r="L887" s="29" t="s">
        <v>126</v>
      </c>
      <c r="M887" s="29" t="s">
        <v>126</v>
      </c>
      <c r="N887" s="29" t="s">
        <v>126</v>
      </c>
    </row>
    <row r="888" spans="2:14" x14ac:dyDescent="0.25">
      <c r="B888" s="27" t="s">
        <v>123</v>
      </c>
      <c r="C888" s="28">
        <v>258115</v>
      </c>
      <c r="D888" s="28" t="s">
        <v>1945</v>
      </c>
      <c r="E888" s="27" t="s">
        <v>32</v>
      </c>
      <c r="F888" s="6" t="s">
        <v>1095</v>
      </c>
      <c r="G888" s="28" t="s">
        <v>55</v>
      </c>
      <c r="H888" s="28" t="s">
        <v>129</v>
      </c>
      <c r="I888" s="98">
        <v>0.3</v>
      </c>
      <c r="J888" s="27"/>
      <c r="K888" s="40"/>
      <c r="L888" s="29" t="s">
        <v>126</v>
      </c>
      <c r="M888" s="29" t="s">
        <v>126</v>
      </c>
      <c r="N888" s="29" t="s">
        <v>126</v>
      </c>
    </row>
    <row r="889" spans="2:14" x14ac:dyDescent="0.25">
      <c r="B889" s="27" t="s">
        <v>123</v>
      </c>
      <c r="C889" s="28">
        <v>258116</v>
      </c>
      <c r="D889" s="28" t="s">
        <v>1946</v>
      </c>
      <c r="E889" s="27" t="s">
        <v>32</v>
      </c>
      <c r="F889" s="6" t="s">
        <v>1095</v>
      </c>
      <c r="G889" s="28" t="s">
        <v>55</v>
      </c>
      <c r="H889" s="28" t="s">
        <v>129</v>
      </c>
      <c r="I889" s="98">
        <v>0.3</v>
      </c>
      <c r="J889" s="27"/>
      <c r="K889" s="40"/>
      <c r="L889" s="29" t="s">
        <v>126</v>
      </c>
      <c r="M889" s="29" t="s">
        <v>126</v>
      </c>
      <c r="N889" s="29" t="s">
        <v>126</v>
      </c>
    </row>
    <row r="890" spans="2:14" x14ac:dyDescent="0.25">
      <c r="B890" s="27" t="s">
        <v>123</v>
      </c>
      <c r="C890" s="28">
        <v>258117</v>
      </c>
      <c r="D890" s="28" t="s">
        <v>1947</v>
      </c>
      <c r="E890" s="27" t="s">
        <v>32</v>
      </c>
      <c r="F890" s="6" t="s">
        <v>1095</v>
      </c>
      <c r="G890" s="28" t="s">
        <v>55</v>
      </c>
      <c r="H890" s="28" t="s">
        <v>129</v>
      </c>
      <c r="I890" s="98">
        <v>0.3</v>
      </c>
      <c r="J890" s="27"/>
      <c r="K890" s="40"/>
      <c r="L890" s="29" t="s">
        <v>126</v>
      </c>
      <c r="M890" s="29" t="s">
        <v>126</v>
      </c>
      <c r="N890" s="29" t="s">
        <v>126</v>
      </c>
    </row>
    <row r="891" spans="2:14" x14ac:dyDescent="0.25">
      <c r="B891" s="27" t="s">
        <v>123</v>
      </c>
      <c r="C891" s="28">
        <v>294377</v>
      </c>
      <c r="D891" s="28" t="s">
        <v>1948</v>
      </c>
      <c r="E891" s="27" t="s">
        <v>32</v>
      </c>
      <c r="F891" s="6" t="s">
        <v>1095</v>
      </c>
      <c r="G891" s="28" t="s">
        <v>55</v>
      </c>
      <c r="H891" s="28" t="s">
        <v>129</v>
      </c>
      <c r="I891" s="98">
        <v>0.3</v>
      </c>
      <c r="J891" s="27"/>
      <c r="K891" s="40"/>
      <c r="L891" s="29" t="s">
        <v>126</v>
      </c>
      <c r="M891" s="29" t="s">
        <v>126</v>
      </c>
      <c r="N891" s="29" t="s">
        <v>126</v>
      </c>
    </row>
    <row r="892" spans="2:14" x14ac:dyDescent="0.25">
      <c r="B892" s="27" t="s">
        <v>123</v>
      </c>
      <c r="C892" s="28">
        <v>310238</v>
      </c>
      <c r="D892" s="28" t="s">
        <v>1949</v>
      </c>
      <c r="E892" s="27" t="s">
        <v>32</v>
      </c>
      <c r="F892" s="6" t="s">
        <v>1095</v>
      </c>
      <c r="G892" s="28" t="s">
        <v>55</v>
      </c>
      <c r="H892" s="28" t="s">
        <v>129</v>
      </c>
      <c r="I892" s="98">
        <v>0.3</v>
      </c>
      <c r="J892" s="27"/>
      <c r="K892" s="40"/>
      <c r="L892" s="29" t="s">
        <v>126</v>
      </c>
      <c r="M892" s="29" t="s">
        <v>126</v>
      </c>
      <c r="N892" s="29" t="s">
        <v>126</v>
      </c>
    </row>
    <row r="893" spans="2:14" x14ac:dyDescent="0.25">
      <c r="B893" s="27" t="s">
        <v>123</v>
      </c>
      <c r="C893" s="28">
        <v>343361</v>
      </c>
      <c r="D893" s="28" t="s">
        <v>1950</v>
      </c>
      <c r="E893" s="27" t="s">
        <v>32</v>
      </c>
      <c r="F893" s="6" t="s">
        <v>1095</v>
      </c>
      <c r="G893" s="28" t="s">
        <v>55</v>
      </c>
      <c r="H893" s="28" t="s">
        <v>129</v>
      </c>
      <c r="I893" s="98">
        <v>0.3</v>
      </c>
      <c r="J893" s="27"/>
      <c r="K893" s="40"/>
      <c r="L893" s="29" t="s">
        <v>126</v>
      </c>
      <c r="M893" s="29" t="s">
        <v>126</v>
      </c>
      <c r="N893" s="29" t="s">
        <v>126</v>
      </c>
    </row>
    <row r="894" spans="2:14" x14ac:dyDescent="0.25">
      <c r="B894" s="27" t="s">
        <v>123</v>
      </c>
      <c r="C894" s="28">
        <v>392394</v>
      </c>
      <c r="D894" s="28" t="s">
        <v>1951</v>
      </c>
      <c r="E894" s="27" t="s">
        <v>32</v>
      </c>
      <c r="F894" s="6" t="s">
        <v>1095</v>
      </c>
      <c r="G894" s="28" t="s">
        <v>55</v>
      </c>
      <c r="H894" s="28" t="s">
        <v>129</v>
      </c>
      <c r="I894" s="98">
        <v>0.3</v>
      </c>
      <c r="J894" s="27"/>
      <c r="K894" s="40"/>
      <c r="L894" s="29" t="s">
        <v>126</v>
      </c>
      <c r="M894" s="29" t="s">
        <v>126</v>
      </c>
      <c r="N894" s="29" t="s">
        <v>126</v>
      </c>
    </row>
    <row r="895" spans="2:14" x14ac:dyDescent="0.25">
      <c r="B895" s="27" t="s">
        <v>123</v>
      </c>
      <c r="C895" s="28">
        <v>471811</v>
      </c>
      <c r="D895" s="28" t="s">
        <v>1952</v>
      </c>
      <c r="E895" s="27" t="s">
        <v>32</v>
      </c>
      <c r="F895" s="6" t="s">
        <v>1095</v>
      </c>
      <c r="G895" s="28" t="s">
        <v>55</v>
      </c>
      <c r="H895" s="28" t="s">
        <v>129</v>
      </c>
      <c r="I895" s="98">
        <v>0.3</v>
      </c>
      <c r="J895" s="27"/>
      <c r="K895" s="40"/>
      <c r="L895" s="29" t="s">
        <v>126</v>
      </c>
      <c r="M895" s="29" t="s">
        <v>126</v>
      </c>
      <c r="N895" s="29" t="s">
        <v>126</v>
      </c>
    </row>
    <row r="896" spans="2:14" x14ac:dyDescent="0.25">
      <c r="B896" s="27" t="s">
        <v>123</v>
      </c>
      <c r="C896" s="28">
        <v>471812</v>
      </c>
      <c r="D896" s="28" t="s">
        <v>1953</v>
      </c>
      <c r="E896" s="27" t="s">
        <v>32</v>
      </c>
      <c r="F896" s="6" t="s">
        <v>1095</v>
      </c>
      <c r="G896" s="28" t="s">
        <v>55</v>
      </c>
      <c r="H896" s="28" t="s">
        <v>129</v>
      </c>
      <c r="I896" s="98">
        <v>0.3</v>
      </c>
      <c r="J896" s="27"/>
      <c r="K896" s="40"/>
      <c r="L896" s="29" t="s">
        <v>126</v>
      </c>
      <c r="M896" s="29" t="s">
        <v>126</v>
      </c>
      <c r="N896" s="29" t="s">
        <v>126</v>
      </c>
    </row>
    <row r="897" spans="2:14" x14ac:dyDescent="0.25">
      <c r="B897" s="27" t="s">
        <v>123</v>
      </c>
      <c r="C897" s="28">
        <v>471813</v>
      </c>
      <c r="D897" s="28" t="s">
        <v>1954</v>
      </c>
      <c r="E897" s="27" t="s">
        <v>32</v>
      </c>
      <c r="F897" s="6" t="s">
        <v>1095</v>
      </c>
      <c r="G897" s="28" t="s">
        <v>55</v>
      </c>
      <c r="H897" s="28" t="s">
        <v>129</v>
      </c>
      <c r="I897" s="98">
        <v>0.3</v>
      </c>
      <c r="J897" s="27"/>
      <c r="K897" s="40"/>
      <c r="L897" s="29" t="s">
        <v>126</v>
      </c>
      <c r="M897" s="29" t="s">
        <v>126</v>
      </c>
      <c r="N897" s="29" t="s">
        <v>126</v>
      </c>
    </row>
    <row r="898" spans="2:14" x14ac:dyDescent="0.25">
      <c r="B898" s="27" t="s">
        <v>123</v>
      </c>
      <c r="C898" s="28">
        <v>500952</v>
      </c>
      <c r="D898" s="28" t="s">
        <v>1955</v>
      </c>
      <c r="E898" s="27" t="s">
        <v>32</v>
      </c>
      <c r="F898" s="6" t="s">
        <v>1095</v>
      </c>
      <c r="G898" s="28" t="s">
        <v>55</v>
      </c>
      <c r="H898" s="28" t="s">
        <v>129</v>
      </c>
      <c r="I898" s="98">
        <v>0.3</v>
      </c>
      <c r="J898" s="27"/>
      <c r="K898" s="40"/>
      <c r="L898" s="29" t="s">
        <v>126</v>
      </c>
      <c r="M898" s="29" t="s">
        <v>126</v>
      </c>
      <c r="N898" s="29" t="s">
        <v>126</v>
      </c>
    </row>
    <row r="899" spans="2:14" x14ac:dyDescent="0.25">
      <c r="B899" s="27" t="s">
        <v>123</v>
      </c>
      <c r="C899" s="28">
        <v>500953</v>
      </c>
      <c r="D899" s="28" t="s">
        <v>1956</v>
      </c>
      <c r="E899" s="27" t="s">
        <v>32</v>
      </c>
      <c r="F899" s="6" t="s">
        <v>1095</v>
      </c>
      <c r="G899" s="28" t="s">
        <v>55</v>
      </c>
      <c r="H899" s="28" t="s">
        <v>129</v>
      </c>
      <c r="I899" s="98">
        <v>0.3</v>
      </c>
      <c r="J899" s="27"/>
      <c r="K899" s="40"/>
      <c r="L899" s="29" t="s">
        <v>126</v>
      </c>
      <c r="M899" s="29" t="s">
        <v>126</v>
      </c>
      <c r="N899" s="29" t="s">
        <v>126</v>
      </c>
    </row>
    <row r="900" spans="2:14" x14ac:dyDescent="0.25">
      <c r="B900" s="27" t="s">
        <v>123</v>
      </c>
      <c r="C900" s="28">
        <v>500955</v>
      </c>
      <c r="D900" s="28" t="s">
        <v>1957</v>
      </c>
      <c r="E900" s="27" t="s">
        <v>32</v>
      </c>
      <c r="F900" s="6" t="s">
        <v>1095</v>
      </c>
      <c r="G900" s="28" t="s">
        <v>55</v>
      </c>
      <c r="H900" s="28" t="s">
        <v>129</v>
      </c>
      <c r="I900" s="98">
        <v>0.3</v>
      </c>
      <c r="J900" s="27"/>
      <c r="K900" s="40"/>
      <c r="L900" s="29" t="s">
        <v>126</v>
      </c>
      <c r="M900" s="29" t="s">
        <v>126</v>
      </c>
      <c r="N900" s="29" t="s">
        <v>126</v>
      </c>
    </row>
    <row r="901" spans="2:14" x14ac:dyDescent="0.25">
      <c r="B901" s="27" t="s">
        <v>123</v>
      </c>
      <c r="C901" s="28">
        <v>500956</v>
      </c>
      <c r="D901" s="28" t="s">
        <v>1958</v>
      </c>
      <c r="E901" s="27" t="s">
        <v>32</v>
      </c>
      <c r="F901" s="6" t="s">
        <v>1095</v>
      </c>
      <c r="G901" s="28" t="s">
        <v>55</v>
      </c>
      <c r="H901" s="28" t="s">
        <v>129</v>
      </c>
      <c r="I901" s="98">
        <v>0.3</v>
      </c>
      <c r="J901" s="27"/>
      <c r="K901" s="40"/>
      <c r="L901" s="29" t="s">
        <v>126</v>
      </c>
      <c r="M901" s="29" t="s">
        <v>126</v>
      </c>
      <c r="N901" s="29" t="s">
        <v>126</v>
      </c>
    </row>
    <row r="902" spans="2:14" x14ac:dyDescent="0.25">
      <c r="B902" s="27" t="s">
        <v>123</v>
      </c>
      <c r="C902" s="28">
        <v>541499</v>
      </c>
      <c r="D902" s="28" t="s">
        <v>1959</v>
      </c>
      <c r="E902" s="27" t="s">
        <v>32</v>
      </c>
      <c r="F902" s="6" t="s">
        <v>1095</v>
      </c>
      <c r="G902" s="28" t="s">
        <v>55</v>
      </c>
      <c r="H902" s="28" t="s">
        <v>129</v>
      </c>
      <c r="I902" s="98">
        <v>0.3</v>
      </c>
      <c r="J902" s="27"/>
      <c r="K902" s="40"/>
      <c r="L902" s="29" t="s">
        <v>126</v>
      </c>
      <c r="M902" s="29" t="s">
        <v>126</v>
      </c>
      <c r="N902" s="29" t="s">
        <v>126</v>
      </c>
    </row>
    <row r="903" spans="2:14" x14ac:dyDescent="0.25">
      <c r="B903" s="27" t="s">
        <v>123</v>
      </c>
      <c r="C903" s="28">
        <v>561705</v>
      </c>
      <c r="D903" s="28" t="s">
        <v>1960</v>
      </c>
      <c r="E903" s="27" t="s">
        <v>32</v>
      </c>
      <c r="F903" s="6" t="s">
        <v>1095</v>
      </c>
      <c r="G903" s="28" t="s">
        <v>55</v>
      </c>
      <c r="H903" s="28" t="s">
        <v>129</v>
      </c>
      <c r="I903" s="98">
        <v>0.3</v>
      </c>
      <c r="J903" s="27"/>
      <c r="K903" s="40"/>
      <c r="L903" s="29" t="s">
        <v>126</v>
      </c>
      <c r="M903" s="29" t="s">
        <v>126</v>
      </c>
      <c r="N903" s="29" t="s">
        <v>126</v>
      </c>
    </row>
    <row r="904" spans="2:14" x14ac:dyDescent="0.25">
      <c r="B904" s="27" t="s">
        <v>123</v>
      </c>
      <c r="C904" s="28">
        <v>561706</v>
      </c>
      <c r="D904" s="28" t="s">
        <v>1961</v>
      </c>
      <c r="E904" s="27" t="s">
        <v>32</v>
      </c>
      <c r="F904" s="6" t="s">
        <v>1095</v>
      </c>
      <c r="G904" s="28" t="s">
        <v>55</v>
      </c>
      <c r="H904" s="28" t="s">
        <v>129</v>
      </c>
      <c r="I904" s="98">
        <v>0.3</v>
      </c>
      <c r="J904" s="27"/>
      <c r="K904" s="40"/>
      <c r="L904" s="29" t="s">
        <v>126</v>
      </c>
      <c r="M904" s="29" t="s">
        <v>126</v>
      </c>
      <c r="N904" s="29" t="s">
        <v>126</v>
      </c>
    </row>
    <row r="905" spans="2:14" x14ac:dyDescent="0.25">
      <c r="B905" s="27" t="s">
        <v>123</v>
      </c>
      <c r="C905" s="28">
        <v>561707</v>
      </c>
      <c r="D905" s="28" t="s">
        <v>1962</v>
      </c>
      <c r="E905" s="27" t="s">
        <v>32</v>
      </c>
      <c r="F905" s="6" t="s">
        <v>1095</v>
      </c>
      <c r="G905" s="28" t="s">
        <v>55</v>
      </c>
      <c r="H905" s="28" t="s">
        <v>129</v>
      </c>
      <c r="I905" s="98">
        <v>0.3</v>
      </c>
      <c r="J905" s="27"/>
      <c r="K905" s="40"/>
      <c r="L905" s="29" t="s">
        <v>126</v>
      </c>
      <c r="M905" s="29" t="s">
        <v>126</v>
      </c>
      <c r="N905" s="29" t="s">
        <v>126</v>
      </c>
    </row>
    <row r="906" spans="2:14" x14ac:dyDescent="0.25">
      <c r="B906" s="27" t="s">
        <v>123</v>
      </c>
      <c r="C906" s="28">
        <v>561708</v>
      </c>
      <c r="D906" s="28" t="s">
        <v>1963</v>
      </c>
      <c r="E906" s="27" t="s">
        <v>32</v>
      </c>
      <c r="F906" s="6" t="s">
        <v>1095</v>
      </c>
      <c r="G906" s="28" t="s">
        <v>55</v>
      </c>
      <c r="H906" s="28" t="s">
        <v>129</v>
      </c>
      <c r="I906" s="98">
        <v>0.3</v>
      </c>
      <c r="J906" s="27"/>
      <c r="K906" s="40"/>
      <c r="L906" s="29" t="s">
        <v>126</v>
      </c>
      <c r="M906" s="29" t="s">
        <v>126</v>
      </c>
      <c r="N906" s="29" t="s">
        <v>126</v>
      </c>
    </row>
    <row r="907" spans="2:14" x14ac:dyDescent="0.25">
      <c r="B907" s="27" t="s">
        <v>123</v>
      </c>
      <c r="C907" s="28">
        <v>561709</v>
      </c>
      <c r="D907" s="28" t="s">
        <v>1964</v>
      </c>
      <c r="E907" s="27" t="s">
        <v>32</v>
      </c>
      <c r="F907" s="6" t="s">
        <v>1095</v>
      </c>
      <c r="G907" s="28" t="s">
        <v>55</v>
      </c>
      <c r="H907" s="28" t="s">
        <v>129</v>
      </c>
      <c r="I907" s="98">
        <v>0.3</v>
      </c>
      <c r="J907" s="27"/>
      <c r="K907" s="40"/>
      <c r="L907" s="29" t="s">
        <v>126</v>
      </c>
      <c r="M907" s="29" t="s">
        <v>126</v>
      </c>
      <c r="N907" s="29" t="s">
        <v>126</v>
      </c>
    </row>
    <row r="908" spans="2:14" x14ac:dyDescent="0.25">
      <c r="B908" s="27" t="s">
        <v>123</v>
      </c>
      <c r="C908" s="28">
        <v>561710</v>
      </c>
      <c r="D908" s="28" t="s">
        <v>1965</v>
      </c>
      <c r="E908" s="27" t="s">
        <v>32</v>
      </c>
      <c r="F908" s="6" t="s">
        <v>1095</v>
      </c>
      <c r="G908" s="28" t="s">
        <v>55</v>
      </c>
      <c r="H908" s="28" t="s">
        <v>129</v>
      </c>
      <c r="I908" s="98">
        <v>0.3</v>
      </c>
      <c r="J908" s="27"/>
      <c r="K908" s="40"/>
      <c r="L908" s="29" t="s">
        <v>126</v>
      </c>
      <c r="M908" s="29" t="s">
        <v>126</v>
      </c>
      <c r="N908" s="29" t="s">
        <v>126</v>
      </c>
    </row>
    <row r="909" spans="2:14" x14ac:dyDescent="0.25">
      <c r="B909" s="27" t="s">
        <v>123</v>
      </c>
      <c r="C909" s="28">
        <v>561711</v>
      </c>
      <c r="D909" s="28" t="s">
        <v>1966</v>
      </c>
      <c r="E909" s="27" t="s">
        <v>32</v>
      </c>
      <c r="F909" s="6" t="s">
        <v>1095</v>
      </c>
      <c r="G909" s="28" t="s">
        <v>55</v>
      </c>
      <c r="H909" s="28" t="s">
        <v>129</v>
      </c>
      <c r="I909" s="98">
        <v>0.3</v>
      </c>
      <c r="J909" s="27"/>
      <c r="K909" s="40"/>
      <c r="L909" s="29" t="s">
        <v>126</v>
      </c>
      <c r="M909" s="29" t="s">
        <v>126</v>
      </c>
      <c r="N909" s="29" t="s">
        <v>126</v>
      </c>
    </row>
    <row r="910" spans="2:14" x14ac:dyDescent="0.25">
      <c r="B910" s="27" t="s">
        <v>123</v>
      </c>
      <c r="C910" s="28">
        <v>561712</v>
      </c>
      <c r="D910" s="28" t="s">
        <v>1967</v>
      </c>
      <c r="E910" s="27" t="s">
        <v>32</v>
      </c>
      <c r="F910" s="6" t="s">
        <v>1095</v>
      </c>
      <c r="G910" s="28" t="s">
        <v>55</v>
      </c>
      <c r="H910" s="28" t="s">
        <v>129</v>
      </c>
      <c r="I910" s="98">
        <v>0.3</v>
      </c>
      <c r="J910" s="27"/>
      <c r="K910" s="40"/>
      <c r="L910" s="29" t="s">
        <v>126</v>
      </c>
      <c r="M910" s="29" t="s">
        <v>126</v>
      </c>
      <c r="N910" s="29" t="s">
        <v>126</v>
      </c>
    </row>
    <row r="911" spans="2:14" x14ac:dyDescent="0.25">
      <c r="B911" s="27" t="s">
        <v>123</v>
      </c>
      <c r="C911" s="28">
        <v>561713</v>
      </c>
      <c r="D911" s="28" t="s">
        <v>1968</v>
      </c>
      <c r="E911" s="27" t="s">
        <v>32</v>
      </c>
      <c r="F911" s="6" t="s">
        <v>1095</v>
      </c>
      <c r="G911" s="28" t="s">
        <v>55</v>
      </c>
      <c r="H911" s="28" t="s">
        <v>129</v>
      </c>
      <c r="I911" s="98">
        <v>0.3</v>
      </c>
      <c r="J911" s="27"/>
      <c r="K911" s="40"/>
      <c r="L911" s="29" t="s">
        <v>126</v>
      </c>
      <c r="M911" s="29" t="s">
        <v>126</v>
      </c>
      <c r="N911" s="29" t="s">
        <v>126</v>
      </c>
    </row>
    <row r="912" spans="2:14" x14ac:dyDescent="0.25">
      <c r="B912" s="27" t="s">
        <v>123</v>
      </c>
      <c r="C912" s="28">
        <v>12765</v>
      </c>
      <c r="D912" s="28" t="s">
        <v>1969</v>
      </c>
      <c r="E912" s="27" t="s">
        <v>32</v>
      </c>
      <c r="F912" s="6" t="s">
        <v>1095</v>
      </c>
      <c r="G912" s="28" t="s">
        <v>55</v>
      </c>
      <c r="H912" s="28" t="s">
        <v>129</v>
      </c>
      <c r="I912" s="98">
        <v>0.2</v>
      </c>
      <c r="J912" s="27"/>
      <c r="K912" s="40"/>
      <c r="L912" s="29" t="s">
        <v>126</v>
      </c>
      <c r="M912" s="29" t="s">
        <v>126</v>
      </c>
      <c r="N912" s="29" t="s">
        <v>126</v>
      </c>
    </row>
    <row r="913" spans="2:14" x14ac:dyDescent="0.25">
      <c r="B913" s="27" t="s">
        <v>123</v>
      </c>
      <c r="C913" s="28">
        <v>72555</v>
      </c>
      <c r="D913" s="28" t="s">
        <v>1970</v>
      </c>
      <c r="E913" s="27" t="s">
        <v>32</v>
      </c>
      <c r="F913" s="6" t="s">
        <v>1095</v>
      </c>
      <c r="G913" s="28" t="s">
        <v>55</v>
      </c>
      <c r="H913" s="28" t="s">
        <v>129</v>
      </c>
      <c r="I913" s="98">
        <v>0.2</v>
      </c>
      <c r="J913" s="27"/>
      <c r="K913" s="40"/>
      <c r="L913" s="29" t="s">
        <v>126</v>
      </c>
      <c r="M913" s="29" t="s">
        <v>126</v>
      </c>
      <c r="N913" s="29" t="s">
        <v>126</v>
      </c>
    </row>
    <row r="914" spans="2:14" x14ac:dyDescent="0.25">
      <c r="B914" s="27" t="s">
        <v>123</v>
      </c>
      <c r="C914" s="28">
        <v>94914</v>
      </c>
      <c r="D914" s="28" t="s">
        <v>1971</v>
      </c>
      <c r="E914" s="27" t="s">
        <v>32</v>
      </c>
      <c r="F914" s="6" t="s">
        <v>1095</v>
      </c>
      <c r="G914" s="28" t="s">
        <v>55</v>
      </c>
      <c r="H914" s="28" t="s">
        <v>129</v>
      </c>
      <c r="I914" s="98">
        <v>0.2</v>
      </c>
      <c r="J914" s="27"/>
      <c r="K914" s="40"/>
      <c r="L914" s="29" t="s">
        <v>126</v>
      </c>
      <c r="M914" s="29" t="s">
        <v>126</v>
      </c>
      <c r="N914" s="29" t="s">
        <v>126</v>
      </c>
    </row>
    <row r="915" spans="2:14" x14ac:dyDescent="0.25">
      <c r="B915" s="27" t="s">
        <v>123</v>
      </c>
      <c r="C915" s="28">
        <v>95464</v>
      </c>
      <c r="D915" s="28" t="s">
        <v>1972</v>
      </c>
      <c r="E915" s="27" t="s">
        <v>32</v>
      </c>
      <c r="F915" s="6" t="s">
        <v>1095</v>
      </c>
      <c r="G915" s="28" t="s">
        <v>55</v>
      </c>
      <c r="H915" s="28" t="s">
        <v>129</v>
      </c>
      <c r="I915" s="98">
        <v>0.2</v>
      </c>
      <c r="J915" s="27"/>
      <c r="K915" s="40"/>
      <c r="L915" s="29" t="s">
        <v>126</v>
      </c>
      <c r="M915" s="29" t="s">
        <v>126</v>
      </c>
      <c r="N915" s="29" t="s">
        <v>126</v>
      </c>
    </row>
    <row r="916" spans="2:14" x14ac:dyDescent="0.25">
      <c r="B916" s="27" t="s">
        <v>123</v>
      </c>
      <c r="C916" s="28">
        <v>96141</v>
      </c>
      <c r="D916" s="28" t="s">
        <v>1973</v>
      </c>
      <c r="E916" s="27" t="s">
        <v>32</v>
      </c>
      <c r="F916" s="6" t="s">
        <v>1095</v>
      </c>
      <c r="G916" s="28" t="s">
        <v>55</v>
      </c>
      <c r="H916" s="28" t="s">
        <v>129</v>
      </c>
      <c r="I916" s="98">
        <v>0.2</v>
      </c>
      <c r="J916" s="27"/>
      <c r="K916" s="40"/>
      <c r="L916" s="29" t="s">
        <v>126</v>
      </c>
      <c r="M916" s="29" t="s">
        <v>126</v>
      </c>
      <c r="N916" s="29" t="s">
        <v>126</v>
      </c>
    </row>
    <row r="917" spans="2:14" x14ac:dyDescent="0.25">
      <c r="B917" s="27" t="s">
        <v>123</v>
      </c>
      <c r="C917" s="28">
        <v>96282</v>
      </c>
      <c r="D917" s="28" t="s">
        <v>1974</v>
      </c>
      <c r="E917" s="27" t="s">
        <v>32</v>
      </c>
      <c r="F917" s="6" t="s">
        <v>1095</v>
      </c>
      <c r="G917" s="28" t="s">
        <v>55</v>
      </c>
      <c r="H917" s="28" t="s">
        <v>129</v>
      </c>
      <c r="I917" s="98">
        <v>0.2</v>
      </c>
      <c r="J917" s="27"/>
      <c r="K917" s="40"/>
      <c r="L917" s="29" t="s">
        <v>126</v>
      </c>
      <c r="M917" s="29" t="s">
        <v>126</v>
      </c>
      <c r="N917" s="29" t="s">
        <v>126</v>
      </c>
    </row>
    <row r="918" spans="2:14" x14ac:dyDescent="0.25">
      <c r="B918" s="27" t="s">
        <v>123</v>
      </c>
      <c r="C918" s="28">
        <v>541609</v>
      </c>
      <c r="D918" s="28" t="s">
        <v>1975</v>
      </c>
      <c r="E918" s="27" t="s">
        <v>32</v>
      </c>
      <c r="F918" s="6" t="s">
        <v>1095</v>
      </c>
      <c r="G918" s="28" t="s">
        <v>55</v>
      </c>
      <c r="H918" s="28" t="s">
        <v>129</v>
      </c>
      <c r="I918" s="98">
        <v>0.2</v>
      </c>
      <c r="J918" s="27"/>
      <c r="K918" s="29"/>
      <c r="L918" s="29" t="s">
        <v>126</v>
      </c>
      <c r="M918" s="29" t="s">
        <v>126</v>
      </c>
      <c r="N918" s="29" t="s">
        <v>126</v>
      </c>
    </row>
    <row r="919" spans="2:14" x14ac:dyDescent="0.25">
      <c r="B919" s="27" t="s">
        <v>123</v>
      </c>
      <c r="C919" s="28">
        <v>144554</v>
      </c>
      <c r="D919" s="28" t="s">
        <v>1976</v>
      </c>
      <c r="E919" s="27" t="s">
        <v>32</v>
      </c>
      <c r="F919" s="6" t="s">
        <v>1095</v>
      </c>
      <c r="G919" s="28" t="s">
        <v>55</v>
      </c>
      <c r="H919" s="28" t="s">
        <v>129</v>
      </c>
      <c r="I919" s="98">
        <v>0.25</v>
      </c>
      <c r="J919" s="27"/>
      <c r="K919" s="29"/>
      <c r="L919" s="29" t="s">
        <v>126</v>
      </c>
      <c r="M919" s="29" t="s">
        <v>126</v>
      </c>
      <c r="N919" s="29" t="s">
        <v>126</v>
      </c>
    </row>
    <row r="920" spans="2:14" x14ac:dyDescent="0.25">
      <c r="B920" s="27" t="s">
        <v>123</v>
      </c>
      <c r="C920" s="28">
        <v>496358</v>
      </c>
      <c r="D920" s="28" t="s">
        <v>1977</v>
      </c>
      <c r="E920" s="27" t="s">
        <v>32</v>
      </c>
      <c r="F920" s="6" t="s">
        <v>1095</v>
      </c>
      <c r="G920" s="28" t="s">
        <v>55</v>
      </c>
      <c r="H920" s="28" t="s">
        <v>129</v>
      </c>
      <c r="I920" s="98">
        <v>0.25</v>
      </c>
      <c r="J920" s="27"/>
      <c r="K920" s="29"/>
      <c r="L920" s="29" t="s">
        <v>126</v>
      </c>
      <c r="M920" s="29" t="s">
        <v>126</v>
      </c>
      <c r="N920" s="29" t="s">
        <v>126</v>
      </c>
    </row>
    <row r="921" spans="2:14" x14ac:dyDescent="0.25">
      <c r="B921" s="27" t="s">
        <v>123</v>
      </c>
      <c r="C921" s="28">
        <v>513786</v>
      </c>
      <c r="D921" s="28" t="s">
        <v>1978</v>
      </c>
      <c r="E921" s="27" t="s">
        <v>32</v>
      </c>
      <c r="F921" s="6" t="s">
        <v>1095</v>
      </c>
      <c r="G921" s="28" t="s">
        <v>55</v>
      </c>
      <c r="H921" s="28" t="s">
        <v>129</v>
      </c>
      <c r="I921" s="98">
        <v>0.25</v>
      </c>
      <c r="J921" s="27"/>
      <c r="K921" s="29"/>
      <c r="L921" s="29" t="s">
        <v>126</v>
      </c>
      <c r="M921" s="29" t="s">
        <v>126</v>
      </c>
      <c r="N921" s="29" t="s">
        <v>126</v>
      </c>
    </row>
    <row r="922" spans="2:14" x14ac:dyDescent="0.25">
      <c r="B922" s="27" t="s">
        <v>123</v>
      </c>
      <c r="C922" s="28">
        <v>550998</v>
      </c>
      <c r="D922" s="28" t="s">
        <v>1979</v>
      </c>
      <c r="E922" s="27" t="s">
        <v>32</v>
      </c>
      <c r="F922" s="6" t="s">
        <v>1095</v>
      </c>
      <c r="G922" s="28" t="s">
        <v>55</v>
      </c>
      <c r="H922" s="28" t="s">
        <v>129</v>
      </c>
      <c r="I922" s="98">
        <v>0.25</v>
      </c>
      <c r="J922" s="27"/>
      <c r="K922" s="29"/>
      <c r="L922" s="29" t="s">
        <v>126</v>
      </c>
      <c r="M922" s="29" t="s">
        <v>126</v>
      </c>
      <c r="N922" s="29" t="s">
        <v>126</v>
      </c>
    </row>
    <row r="923" spans="2:14" x14ac:dyDescent="0.25">
      <c r="B923" s="27" t="s">
        <v>123</v>
      </c>
      <c r="C923" s="28">
        <v>600930</v>
      </c>
      <c r="D923" s="28" t="s">
        <v>1980</v>
      </c>
      <c r="E923" s="27" t="s">
        <v>32</v>
      </c>
      <c r="F923" s="6" t="s">
        <v>1095</v>
      </c>
      <c r="G923" s="28" t="s">
        <v>55</v>
      </c>
      <c r="H923" s="28" t="s">
        <v>129</v>
      </c>
      <c r="I923" s="98">
        <v>0.25</v>
      </c>
      <c r="J923" s="27"/>
      <c r="K923" s="29"/>
      <c r="L923" s="29" t="s">
        <v>126</v>
      </c>
      <c r="M923" s="29" t="s">
        <v>126</v>
      </c>
      <c r="N923" s="29" t="s">
        <v>126</v>
      </c>
    </row>
    <row r="924" spans="2:14" x14ac:dyDescent="0.25">
      <c r="B924" s="27" t="s">
        <v>123</v>
      </c>
      <c r="C924" s="28">
        <v>212025</v>
      </c>
      <c r="D924" s="28" t="s">
        <v>1981</v>
      </c>
      <c r="E924" s="27" t="s">
        <v>32</v>
      </c>
      <c r="F924" s="6" t="s">
        <v>1095</v>
      </c>
      <c r="G924" s="28" t="s">
        <v>55</v>
      </c>
      <c r="H924" s="28" t="s">
        <v>129</v>
      </c>
      <c r="I924" s="98">
        <v>0.3</v>
      </c>
      <c r="J924" s="27"/>
      <c r="K924" s="29"/>
      <c r="L924" s="29" t="s">
        <v>126</v>
      </c>
      <c r="M924" s="29" t="s">
        <v>126</v>
      </c>
      <c r="N924" s="29" t="s">
        <v>126</v>
      </c>
    </row>
    <row r="925" spans="2:14" x14ac:dyDescent="0.25">
      <c r="B925" s="27" t="s">
        <v>123</v>
      </c>
      <c r="C925" s="28">
        <v>212021</v>
      </c>
      <c r="D925" s="28" t="s">
        <v>1982</v>
      </c>
      <c r="E925" s="27" t="s">
        <v>32</v>
      </c>
      <c r="F925" s="6" t="s">
        <v>1095</v>
      </c>
      <c r="G925" s="28" t="s">
        <v>55</v>
      </c>
      <c r="H925" s="28" t="s">
        <v>129</v>
      </c>
      <c r="I925" s="98">
        <v>0.3</v>
      </c>
      <c r="J925" s="27"/>
      <c r="K925" s="29"/>
      <c r="L925" s="29" t="s">
        <v>126</v>
      </c>
      <c r="M925" s="29" t="s">
        <v>126</v>
      </c>
      <c r="N925" s="29" t="s">
        <v>126</v>
      </c>
    </row>
    <row r="926" spans="2:14" x14ac:dyDescent="0.25">
      <c r="B926" s="27" t="s">
        <v>123</v>
      </c>
      <c r="C926" s="28">
        <v>482229</v>
      </c>
      <c r="D926" s="28" t="s">
        <v>1983</v>
      </c>
      <c r="E926" s="27" t="s">
        <v>32</v>
      </c>
      <c r="F926" s="6" t="s">
        <v>1095</v>
      </c>
      <c r="G926" s="28" t="s">
        <v>55</v>
      </c>
      <c r="H926" s="28" t="s">
        <v>129</v>
      </c>
      <c r="I926" s="98">
        <v>0.3</v>
      </c>
      <c r="J926" s="27"/>
      <c r="K926" s="29"/>
      <c r="L926" s="29" t="s">
        <v>126</v>
      </c>
      <c r="M926" s="29" t="s">
        <v>126</v>
      </c>
      <c r="N926" s="29" t="s">
        <v>126</v>
      </c>
    </row>
    <row r="927" spans="2:14" x14ac:dyDescent="0.25">
      <c r="B927" s="27" t="s">
        <v>123</v>
      </c>
      <c r="C927" s="28">
        <v>519317</v>
      </c>
      <c r="D927" s="28" t="s">
        <v>1984</v>
      </c>
      <c r="E927" s="27" t="s">
        <v>32</v>
      </c>
      <c r="F927" s="6" t="s">
        <v>1095</v>
      </c>
      <c r="G927" s="28" t="s">
        <v>55</v>
      </c>
      <c r="H927" s="28" t="s">
        <v>129</v>
      </c>
      <c r="I927" s="98">
        <v>0.3</v>
      </c>
      <c r="J927" s="27"/>
      <c r="K927" s="29"/>
      <c r="L927" s="29" t="s">
        <v>126</v>
      </c>
      <c r="M927" s="29" t="s">
        <v>126</v>
      </c>
      <c r="N927" s="29" t="s">
        <v>126</v>
      </c>
    </row>
    <row r="928" spans="2:14" x14ac:dyDescent="0.25">
      <c r="B928" s="27" t="s">
        <v>123</v>
      </c>
      <c r="C928" s="28">
        <v>229724</v>
      </c>
      <c r="D928" s="28" t="s">
        <v>1985</v>
      </c>
      <c r="E928" s="27" t="s">
        <v>32</v>
      </c>
      <c r="F928" s="6" t="s">
        <v>1095</v>
      </c>
      <c r="G928" s="28" t="s">
        <v>55</v>
      </c>
      <c r="H928" s="28" t="s">
        <v>129</v>
      </c>
      <c r="I928" s="98">
        <v>0.2</v>
      </c>
      <c r="J928" s="27"/>
      <c r="K928" s="29"/>
      <c r="L928" s="29" t="s">
        <v>126</v>
      </c>
      <c r="M928" s="29" t="s">
        <v>126</v>
      </c>
      <c r="N928" s="29" t="s">
        <v>126</v>
      </c>
    </row>
    <row r="929" spans="2:14" x14ac:dyDescent="0.25">
      <c r="B929" s="27" t="s">
        <v>123</v>
      </c>
      <c r="C929" s="28">
        <v>236219</v>
      </c>
      <c r="D929" s="28" t="s">
        <v>1986</v>
      </c>
      <c r="E929" s="27" t="s">
        <v>32</v>
      </c>
      <c r="F929" s="6" t="s">
        <v>1095</v>
      </c>
      <c r="G929" s="28" t="s">
        <v>55</v>
      </c>
      <c r="H929" s="28" t="s">
        <v>129</v>
      </c>
      <c r="I929" s="98">
        <v>0.3</v>
      </c>
      <c r="J929" s="27"/>
      <c r="K929" s="29"/>
      <c r="L929" s="29" t="s">
        <v>126</v>
      </c>
      <c r="M929" s="29" t="s">
        <v>126</v>
      </c>
      <c r="N929" s="29" t="s">
        <v>126</v>
      </c>
    </row>
    <row r="930" spans="2:14" x14ac:dyDescent="0.25">
      <c r="B930" s="27" t="s">
        <v>123</v>
      </c>
      <c r="C930" s="28">
        <v>274700</v>
      </c>
      <c r="D930" s="28" t="s">
        <v>1987</v>
      </c>
      <c r="E930" s="27" t="s">
        <v>32</v>
      </c>
      <c r="F930" s="6" t="s">
        <v>1095</v>
      </c>
      <c r="G930" s="28" t="s">
        <v>55</v>
      </c>
      <c r="H930" s="28" t="s">
        <v>129</v>
      </c>
      <c r="I930" s="98">
        <v>0.2</v>
      </c>
      <c r="J930" s="27"/>
      <c r="K930" s="29"/>
      <c r="L930" s="29" t="s">
        <v>126</v>
      </c>
      <c r="M930" s="29" t="s">
        <v>126</v>
      </c>
      <c r="N930" s="29" t="s">
        <v>126</v>
      </c>
    </row>
    <row r="931" spans="2:14" x14ac:dyDescent="0.25">
      <c r="B931" s="27" t="s">
        <v>123</v>
      </c>
      <c r="C931" s="28">
        <v>212010</v>
      </c>
      <c r="D931" s="28" t="s">
        <v>1988</v>
      </c>
      <c r="E931" s="27" t="s">
        <v>32</v>
      </c>
      <c r="F931" s="6" t="s">
        <v>1095</v>
      </c>
      <c r="G931" s="28" t="s">
        <v>55</v>
      </c>
      <c r="H931" s="28" t="s">
        <v>129</v>
      </c>
      <c r="I931" s="98">
        <v>0.3</v>
      </c>
      <c r="J931" s="27"/>
      <c r="K931" s="29"/>
      <c r="L931" s="29" t="s">
        <v>126</v>
      </c>
      <c r="M931" s="29" t="s">
        <v>126</v>
      </c>
      <c r="N931" s="29" t="s">
        <v>126</v>
      </c>
    </row>
    <row r="932" spans="2:14" x14ac:dyDescent="0.25">
      <c r="B932" s="27" t="s">
        <v>123</v>
      </c>
      <c r="C932" s="28">
        <v>588758</v>
      </c>
      <c r="D932" s="28" t="s">
        <v>1989</v>
      </c>
      <c r="E932" s="27" t="s">
        <v>32</v>
      </c>
      <c r="F932" s="6" t="s">
        <v>1095</v>
      </c>
      <c r="G932" s="28" t="s">
        <v>55</v>
      </c>
      <c r="H932" s="28" t="s">
        <v>129</v>
      </c>
      <c r="I932" s="98">
        <v>0.3</v>
      </c>
      <c r="J932" s="27"/>
      <c r="K932" s="29"/>
      <c r="L932" s="29" t="s">
        <v>126</v>
      </c>
      <c r="M932" s="29" t="s">
        <v>126</v>
      </c>
      <c r="N932" s="29" t="s">
        <v>126</v>
      </c>
    </row>
    <row r="933" spans="2:14" x14ac:dyDescent="0.25">
      <c r="B933" s="27" t="s">
        <v>123</v>
      </c>
      <c r="C933" s="28">
        <v>358866</v>
      </c>
      <c r="D933" s="28" t="s">
        <v>1990</v>
      </c>
      <c r="E933" s="27" t="s">
        <v>32</v>
      </c>
      <c r="F933" s="6" t="s">
        <v>1095</v>
      </c>
      <c r="G933" s="28" t="s">
        <v>55</v>
      </c>
      <c r="H933" s="28" t="s">
        <v>129</v>
      </c>
      <c r="I933" s="98">
        <v>0.3</v>
      </c>
      <c r="J933" s="27"/>
      <c r="K933" s="29"/>
      <c r="L933" s="29" t="s">
        <v>126</v>
      </c>
      <c r="M933" s="29" t="s">
        <v>126</v>
      </c>
      <c r="N933" s="29" t="s">
        <v>126</v>
      </c>
    </row>
    <row r="934" spans="2:14" x14ac:dyDescent="0.25">
      <c r="B934" s="27" t="s">
        <v>123</v>
      </c>
      <c r="C934" s="28">
        <v>358865</v>
      </c>
      <c r="D934" s="28" t="s">
        <v>1991</v>
      </c>
      <c r="E934" s="27" t="s">
        <v>32</v>
      </c>
      <c r="F934" s="6" t="s">
        <v>1095</v>
      </c>
      <c r="G934" s="28" t="s">
        <v>55</v>
      </c>
      <c r="H934" s="28" t="s">
        <v>129</v>
      </c>
      <c r="I934" s="98">
        <v>0.3</v>
      </c>
      <c r="J934" s="27"/>
      <c r="K934" s="29"/>
      <c r="L934" s="29" t="s">
        <v>126</v>
      </c>
      <c r="M934" s="29" t="s">
        <v>126</v>
      </c>
      <c r="N934" s="29" t="s">
        <v>126</v>
      </c>
    </row>
    <row r="935" spans="2:14" x14ac:dyDescent="0.25">
      <c r="B935" s="27" t="s">
        <v>123</v>
      </c>
      <c r="C935" s="28">
        <v>395617</v>
      </c>
      <c r="D935" s="28" t="s">
        <v>1992</v>
      </c>
      <c r="E935" s="27" t="s">
        <v>32</v>
      </c>
      <c r="F935" s="6" t="s">
        <v>1095</v>
      </c>
      <c r="G935" s="28" t="s">
        <v>55</v>
      </c>
      <c r="H935" s="28" t="s">
        <v>129</v>
      </c>
      <c r="I935" s="98">
        <v>0.3</v>
      </c>
      <c r="J935" s="27"/>
      <c r="K935" s="29"/>
      <c r="L935" s="29" t="s">
        <v>126</v>
      </c>
      <c r="M935" s="29" t="s">
        <v>126</v>
      </c>
      <c r="N935" s="29" t="s">
        <v>126</v>
      </c>
    </row>
    <row r="936" spans="2:14" x14ac:dyDescent="0.25">
      <c r="B936" s="27" t="s">
        <v>123</v>
      </c>
      <c r="C936" s="28">
        <v>358868</v>
      </c>
      <c r="D936" s="28" t="s">
        <v>1993</v>
      </c>
      <c r="E936" s="27" t="s">
        <v>32</v>
      </c>
      <c r="F936" s="6" t="s">
        <v>1095</v>
      </c>
      <c r="G936" s="28" t="s">
        <v>55</v>
      </c>
      <c r="H936" s="28" t="s">
        <v>129</v>
      </c>
      <c r="I936" s="98">
        <v>0.3</v>
      </c>
      <c r="J936" s="27"/>
      <c r="K936" s="29"/>
      <c r="L936" s="29" t="s">
        <v>126</v>
      </c>
      <c r="M936" s="29" t="s">
        <v>126</v>
      </c>
      <c r="N936" s="29" t="s">
        <v>126</v>
      </c>
    </row>
    <row r="937" spans="2:14" x14ac:dyDescent="0.25">
      <c r="B937" s="27" t="s">
        <v>123</v>
      </c>
      <c r="C937" s="28">
        <v>285460</v>
      </c>
      <c r="D937" s="28" t="s">
        <v>1994</v>
      </c>
      <c r="E937" s="27" t="s">
        <v>32</v>
      </c>
      <c r="F937" s="6" t="s">
        <v>1095</v>
      </c>
      <c r="G937" s="28" t="s">
        <v>55</v>
      </c>
      <c r="H937" s="28" t="s">
        <v>129</v>
      </c>
      <c r="I937" s="98">
        <v>0.3</v>
      </c>
      <c r="J937" s="27"/>
      <c r="K937" s="29"/>
      <c r="L937" s="29" t="s">
        <v>126</v>
      </c>
      <c r="M937" s="29" t="s">
        <v>126</v>
      </c>
      <c r="N937" s="29" t="s">
        <v>126</v>
      </c>
    </row>
    <row r="938" spans="2:14" x14ac:dyDescent="0.25">
      <c r="B938" s="27" t="s">
        <v>123</v>
      </c>
      <c r="C938" s="28">
        <v>355951</v>
      </c>
      <c r="D938" s="28" t="s">
        <v>1995</v>
      </c>
      <c r="E938" s="27" t="s">
        <v>32</v>
      </c>
      <c r="F938" s="6" t="s">
        <v>1095</v>
      </c>
      <c r="G938" s="28" t="s">
        <v>55</v>
      </c>
      <c r="H938" s="28" t="s">
        <v>129</v>
      </c>
      <c r="I938" s="98">
        <v>0.3</v>
      </c>
      <c r="J938" s="27"/>
      <c r="K938" s="29"/>
      <c r="L938" s="29" t="s">
        <v>126</v>
      </c>
      <c r="M938" s="29" t="s">
        <v>126</v>
      </c>
      <c r="N938" s="29" t="s">
        <v>126</v>
      </c>
    </row>
    <row r="939" spans="2:14" x14ac:dyDescent="0.25">
      <c r="B939" s="27" t="s">
        <v>123</v>
      </c>
      <c r="C939" s="28">
        <v>411710</v>
      </c>
      <c r="D939" s="28" t="s">
        <v>1996</v>
      </c>
      <c r="E939" s="27" t="s">
        <v>32</v>
      </c>
      <c r="F939" s="6" t="s">
        <v>1095</v>
      </c>
      <c r="G939" s="28" t="s">
        <v>55</v>
      </c>
      <c r="H939" s="28" t="s">
        <v>129</v>
      </c>
      <c r="I939" s="98">
        <v>0.3</v>
      </c>
      <c r="J939" s="27"/>
      <c r="K939" s="29"/>
      <c r="L939" s="29" t="s">
        <v>126</v>
      </c>
      <c r="M939" s="29" t="s">
        <v>126</v>
      </c>
      <c r="N939" s="29" t="s">
        <v>126</v>
      </c>
    </row>
    <row r="940" spans="2:14" x14ac:dyDescent="0.25">
      <c r="B940" s="27" t="s">
        <v>123</v>
      </c>
      <c r="C940" s="28">
        <v>411711</v>
      </c>
      <c r="D940" s="28" t="s">
        <v>1997</v>
      </c>
      <c r="E940" s="27" t="s">
        <v>32</v>
      </c>
      <c r="F940" s="6" t="s">
        <v>1095</v>
      </c>
      <c r="G940" s="28" t="s">
        <v>55</v>
      </c>
      <c r="H940" s="28" t="s">
        <v>129</v>
      </c>
      <c r="I940" s="98">
        <v>0.3</v>
      </c>
      <c r="J940" s="27"/>
      <c r="K940" s="29"/>
      <c r="L940" s="29" t="s">
        <v>126</v>
      </c>
      <c r="M940" s="29" t="s">
        <v>126</v>
      </c>
      <c r="N940" s="29" t="s">
        <v>126</v>
      </c>
    </row>
    <row r="941" spans="2:14" x14ac:dyDescent="0.25">
      <c r="B941" s="27" t="s">
        <v>123</v>
      </c>
      <c r="C941" s="28">
        <v>460579</v>
      </c>
      <c r="D941" s="28" t="s">
        <v>1998</v>
      </c>
      <c r="E941" s="27" t="s">
        <v>32</v>
      </c>
      <c r="F941" s="6" t="s">
        <v>1095</v>
      </c>
      <c r="G941" s="28" t="s">
        <v>55</v>
      </c>
      <c r="H941" s="28" t="s">
        <v>129</v>
      </c>
      <c r="I941" s="98">
        <v>0.3</v>
      </c>
      <c r="J941" s="27"/>
      <c r="K941" s="29"/>
      <c r="L941" s="29" t="s">
        <v>126</v>
      </c>
      <c r="M941" s="29" t="s">
        <v>126</v>
      </c>
      <c r="N941" s="29" t="s">
        <v>126</v>
      </c>
    </row>
    <row r="942" spans="2:14" x14ac:dyDescent="0.25">
      <c r="B942" s="27" t="s">
        <v>123</v>
      </c>
      <c r="C942" s="28">
        <v>510641</v>
      </c>
      <c r="D942" s="28" t="s">
        <v>1999</v>
      </c>
      <c r="E942" s="27" t="s">
        <v>32</v>
      </c>
      <c r="F942" s="6" t="s">
        <v>1095</v>
      </c>
      <c r="G942" s="28" t="s">
        <v>55</v>
      </c>
      <c r="H942" s="28" t="s">
        <v>129</v>
      </c>
      <c r="I942" s="98">
        <v>0.3</v>
      </c>
      <c r="J942" s="27"/>
      <c r="K942" s="29"/>
      <c r="L942" s="29" t="s">
        <v>126</v>
      </c>
      <c r="M942" s="29" t="s">
        <v>126</v>
      </c>
      <c r="N942" s="29" t="s">
        <v>126</v>
      </c>
    </row>
    <row r="943" spans="2:14" x14ac:dyDescent="0.25">
      <c r="B943" s="27" t="s">
        <v>123</v>
      </c>
      <c r="C943" s="28">
        <v>533834</v>
      </c>
      <c r="D943" s="28" t="s">
        <v>2000</v>
      </c>
      <c r="E943" s="27" t="s">
        <v>32</v>
      </c>
      <c r="F943" s="6" t="s">
        <v>1095</v>
      </c>
      <c r="G943" s="28" t="s">
        <v>55</v>
      </c>
      <c r="H943" s="28" t="s">
        <v>129</v>
      </c>
      <c r="I943" s="98">
        <v>0.3</v>
      </c>
      <c r="J943" s="27"/>
      <c r="K943" s="29"/>
      <c r="L943" s="29" t="s">
        <v>126</v>
      </c>
      <c r="M943" s="29" t="s">
        <v>126</v>
      </c>
      <c r="N943" s="29" t="s">
        <v>126</v>
      </c>
    </row>
    <row r="944" spans="2:14" x14ac:dyDescent="0.25">
      <c r="B944" s="27" t="s">
        <v>123</v>
      </c>
      <c r="C944" s="28">
        <v>533835</v>
      </c>
      <c r="D944" s="28" t="s">
        <v>2001</v>
      </c>
      <c r="E944" s="27" t="s">
        <v>32</v>
      </c>
      <c r="F944" s="6" t="s">
        <v>1095</v>
      </c>
      <c r="G944" s="28" t="s">
        <v>55</v>
      </c>
      <c r="H944" s="28" t="s">
        <v>129</v>
      </c>
      <c r="I944" s="98">
        <v>0.3</v>
      </c>
      <c r="J944" s="27"/>
      <c r="K944" s="29"/>
      <c r="L944" s="29" t="s">
        <v>126</v>
      </c>
      <c r="M944" s="29" t="s">
        <v>126</v>
      </c>
      <c r="N944" s="29" t="s">
        <v>126</v>
      </c>
    </row>
    <row r="945" spans="2:14" x14ac:dyDescent="0.25">
      <c r="B945" s="27" t="s">
        <v>123</v>
      </c>
      <c r="C945" s="28">
        <v>533836</v>
      </c>
      <c r="D945" s="28" t="s">
        <v>2002</v>
      </c>
      <c r="E945" s="27" t="s">
        <v>32</v>
      </c>
      <c r="F945" s="6" t="s">
        <v>1095</v>
      </c>
      <c r="G945" s="28" t="s">
        <v>55</v>
      </c>
      <c r="H945" s="28" t="s">
        <v>129</v>
      </c>
      <c r="I945" s="98">
        <v>0.3</v>
      </c>
      <c r="J945" s="27"/>
      <c r="K945" s="29"/>
      <c r="L945" s="29" t="s">
        <v>126</v>
      </c>
      <c r="M945" s="29" t="s">
        <v>126</v>
      </c>
      <c r="N945" s="29" t="s">
        <v>126</v>
      </c>
    </row>
    <row r="946" spans="2:14" x14ac:dyDescent="0.25">
      <c r="B946" s="27" t="s">
        <v>123</v>
      </c>
      <c r="C946" s="28">
        <v>533837</v>
      </c>
      <c r="D946" s="28" t="s">
        <v>2003</v>
      </c>
      <c r="E946" s="27" t="s">
        <v>32</v>
      </c>
      <c r="F946" s="6" t="s">
        <v>1095</v>
      </c>
      <c r="G946" s="28" t="s">
        <v>55</v>
      </c>
      <c r="H946" s="28" t="s">
        <v>129</v>
      </c>
      <c r="I946" s="98">
        <v>0.3</v>
      </c>
      <c r="J946" s="27"/>
      <c r="K946" s="29"/>
      <c r="L946" s="29" t="s">
        <v>126</v>
      </c>
      <c r="M946" s="29" t="s">
        <v>126</v>
      </c>
      <c r="N946" s="29" t="s">
        <v>126</v>
      </c>
    </row>
    <row r="947" spans="2:14" x14ac:dyDescent="0.25">
      <c r="B947" s="27" t="s">
        <v>123</v>
      </c>
      <c r="C947" s="28">
        <v>533838</v>
      </c>
      <c r="D947" s="28" t="s">
        <v>2004</v>
      </c>
      <c r="E947" s="27" t="s">
        <v>32</v>
      </c>
      <c r="F947" s="6" t="s">
        <v>1095</v>
      </c>
      <c r="G947" s="28" t="s">
        <v>55</v>
      </c>
      <c r="H947" s="28" t="s">
        <v>129</v>
      </c>
      <c r="I947" s="98">
        <v>0.3</v>
      </c>
      <c r="J947" s="27"/>
      <c r="K947" s="29"/>
      <c r="L947" s="29" t="s">
        <v>126</v>
      </c>
      <c r="M947" s="29" t="s">
        <v>126</v>
      </c>
      <c r="N947" s="29" t="s">
        <v>126</v>
      </c>
    </row>
    <row r="948" spans="2:14" x14ac:dyDescent="0.25">
      <c r="B948" s="27" t="s">
        <v>123</v>
      </c>
      <c r="C948" s="28">
        <v>587510</v>
      </c>
      <c r="D948" s="28" t="s">
        <v>2005</v>
      </c>
      <c r="E948" s="27" t="s">
        <v>32</v>
      </c>
      <c r="F948" s="6" t="s">
        <v>1095</v>
      </c>
      <c r="G948" s="28" t="s">
        <v>55</v>
      </c>
      <c r="H948" s="28" t="s">
        <v>129</v>
      </c>
      <c r="I948" s="98">
        <v>0.3</v>
      </c>
      <c r="J948" s="27"/>
      <c r="K948" s="29"/>
      <c r="L948" s="29" t="s">
        <v>126</v>
      </c>
      <c r="M948" s="29" t="s">
        <v>126</v>
      </c>
      <c r="N948" s="29" t="s">
        <v>126</v>
      </c>
    </row>
    <row r="949" spans="2:14" x14ac:dyDescent="0.25">
      <c r="B949" s="27" t="s">
        <v>123</v>
      </c>
      <c r="C949" s="28">
        <v>587513</v>
      </c>
      <c r="D949" s="28" t="s">
        <v>2006</v>
      </c>
      <c r="E949" s="27" t="s">
        <v>32</v>
      </c>
      <c r="F949" s="6" t="s">
        <v>1095</v>
      </c>
      <c r="G949" s="28" t="s">
        <v>55</v>
      </c>
      <c r="H949" s="28" t="s">
        <v>129</v>
      </c>
      <c r="I949" s="98">
        <v>0.3</v>
      </c>
      <c r="J949" s="27"/>
      <c r="K949" s="29"/>
      <c r="L949" s="29" t="s">
        <v>126</v>
      </c>
      <c r="M949" s="29" t="s">
        <v>126</v>
      </c>
      <c r="N949" s="29" t="s">
        <v>126</v>
      </c>
    </row>
    <row r="950" spans="2:14" x14ac:dyDescent="0.25">
      <c r="B950" s="27" t="s">
        <v>123</v>
      </c>
      <c r="C950" s="28">
        <v>587519</v>
      </c>
      <c r="D950" s="28" t="s">
        <v>2007</v>
      </c>
      <c r="E950" s="27" t="s">
        <v>32</v>
      </c>
      <c r="F950" s="6" t="s">
        <v>1095</v>
      </c>
      <c r="G950" s="28" t="s">
        <v>55</v>
      </c>
      <c r="H950" s="28" t="s">
        <v>129</v>
      </c>
      <c r="I950" s="98">
        <v>0.3</v>
      </c>
      <c r="J950" s="27"/>
      <c r="K950" s="29"/>
      <c r="L950" s="29" t="s">
        <v>126</v>
      </c>
      <c r="M950" s="29" t="s">
        <v>126</v>
      </c>
      <c r="N950" s="29" t="s">
        <v>126</v>
      </c>
    </row>
    <row r="951" spans="2:14" x14ac:dyDescent="0.25">
      <c r="B951" s="27" t="s">
        <v>123</v>
      </c>
      <c r="C951" s="28">
        <v>588626</v>
      </c>
      <c r="D951" s="28" t="s">
        <v>2008</v>
      </c>
      <c r="E951" s="27" t="s">
        <v>32</v>
      </c>
      <c r="F951" s="6" t="s">
        <v>1095</v>
      </c>
      <c r="G951" s="28" t="s">
        <v>55</v>
      </c>
      <c r="H951" s="28" t="s">
        <v>129</v>
      </c>
      <c r="I951" s="98">
        <v>0.3</v>
      </c>
      <c r="J951" s="27"/>
      <c r="K951" s="29"/>
      <c r="L951" s="29" t="s">
        <v>126</v>
      </c>
      <c r="M951" s="29" t="s">
        <v>126</v>
      </c>
      <c r="N951" s="29" t="s">
        <v>126</v>
      </c>
    </row>
    <row r="952" spans="2:14" x14ac:dyDescent="0.25">
      <c r="B952" s="27" t="s">
        <v>123</v>
      </c>
      <c r="C952" s="28">
        <v>587908</v>
      </c>
      <c r="D952" s="28" t="s">
        <v>2009</v>
      </c>
      <c r="E952" s="27" t="s">
        <v>32</v>
      </c>
      <c r="F952" s="6" t="s">
        <v>1095</v>
      </c>
      <c r="G952" s="28" t="s">
        <v>55</v>
      </c>
      <c r="H952" s="28" t="s">
        <v>129</v>
      </c>
      <c r="I952" s="98">
        <v>0.2</v>
      </c>
      <c r="J952" s="27"/>
      <c r="K952" s="29"/>
      <c r="L952" s="29" t="s">
        <v>126</v>
      </c>
      <c r="M952" s="29" t="s">
        <v>126</v>
      </c>
      <c r="N952" s="29" t="s">
        <v>126</v>
      </c>
    </row>
    <row r="953" spans="2:14" x14ac:dyDescent="0.25">
      <c r="B953" s="27" t="s">
        <v>123</v>
      </c>
      <c r="C953" s="28">
        <v>587909</v>
      </c>
      <c r="D953" s="28" t="s">
        <v>2010</v>
      </c>
      <c r="E953" s="27" t="s">
        <v>32</v>
      </c>
      <c r="F953" s="6" t="s">
        <v>1095</v>
      </c>
      <c r="G953" s="28" t="s">
        <v>55</v>
      </c>
      <c r="H953" s="28" t="s">
        <v>129</v>
      </c>
      <c r="I953" s="98">
        <v>0.2</v>
      </c>
      <c r="J953" s="27"/>
      <c r="K953" s="29"/>
      <c r="L953" s="29" t="s">
        <v>126</v>
      </c>
      <c r="M953" s="29" t="s">
        <v>126</v>
      </c>
      <c r="N953" s="29" t="s">
        <v>126</v>
      </c>
    </row>
    <row r="954" spans="2:14" x14ac:dyDescent="0.25">
      <c r="B954" s="27" t="s">
        <v>123</v>
      </c>
      <c r="C954" s="28">
        <v>596471</v>
      </c>
      <c r="D954" s="28" t="s">
        <v>2011</v>
      </c>
      <c r="E954" s="27" t="s">
        <v>32</v>
      </c>
      <c r="F954" s="6" t="s">
        <v>1095</v>
      </c>
      <c r="G954" s="28" t="s">
        <v>55</v>
      </c>
      <c r="H954" s="28" t="s">
        <v>129</v>
      </c>
      <c r="I954" s="98">
        <v>0.4</v>
      </c>
      <c r="J954" s="27"/>
      <c r="K954" s="29"/>
      <c r="L954" s="29" t="s">
        <v>126</v>
      </c>
      <c r="M954" s="29" t="s">
        <v>126</v>
      </c>
      <c r="N954" s="29" t="s">
        <v>126</v>
      </c>
    </row>
    <row r="955" spans="2:14" x14ac:dyDescent="0.25">
      <c r="B955" s="27" t="s">
        <v>123</v>
      </c>
      <c r="C955" s="28">
        <v>596472</v>
      </c>
      <c r="D955" s="28" t="s">
        <v>2012</v>
      </c>
      <c r="E955" s="27" t="s">
        <v>32</v>
      </c>
      <c r="F955" s="6" t="s">
        <v>1095</v>
      </c>
      <c r="G955" s="28" t="s">
        <v>55</v>
      </c>
      <c r="H955" s="28" t="s">
        <v>129</v>
      </c>
      <c r="I955" s="98">
        <v>0.4</v>
      </c>
      <c r="J955" s="27"/>
      <c r="K955" s="29"/>
      <c r="L955" s="29" t="s">
        <v>126</v>
      </c>
      <c r="M955" s="29" t="s">
        <v>126</v>
      </c>
      <c r="N955" s="29" t="s">
        <v>126</v>
      </c>
    </row>
    <row r="956" spans="2:14" x14ac:dyDescent="0.25">
      <c r="B956" s="27" t="s">
        <v>123</v>
      </c>
      <c r="C956" s="28">
        <v>582359</v>
      </c>
      <c r="D956" s="28" t="s">
        <v>2013</v>
      </c>
      <c r="E956" s="27" t="s">
        <v>32</v>
      </c>
      <c r="F956" s="6" t="s">
        <v>1095</v>
      </c>
      <c r="G956" s="28" t="s">
        <v>55</v>
      </c>
      <c r="H956" s="28" t="s">
        <v>129</v>
      </c>
      <c r="I956" s="98">
        <v>0.4</v>
      </c>
      <c r="J956" s="27"/>
      <c r="K956" s="29"/>
      <c r="L956" s="29" t="s">
        <v>126</v>
      </c>
      <c r="M956" s="29" t="s">
        <v>126</v>
      </c>
      <c r="N956" s="29" t="s">
        <v>126</v>
      </c>
    </row>
    <row r="957" spans="2:14" x14ac:dyDescent="0.25">
      <c r="B957" s="27" t="s">
        <v>123</v>
      </c>
      <c r="C957" s="28">
        <v>599205</v>
      </c>
      <c r="D957" s="28" t="s">
        <v>2014</v>
      </c>
      <c r="E957" s="27" t="s">
        <v>32</v>
      </c>
      <c r="F957" s="6" t="s">
        <v>1095</v>
      </c>
      <c r="G957" s="28" t="s">
        <v>55</v>
      </c>
      <c r="H957" s="28" t="s">
        <v>129</v>
      </c>
      <c r="I957" s="98">
        <v>0.4</v>
      </c>
      <c r="J957" s="27"/>
      <c r="K957" s="29"/>
      <c r="L957" s="29" t="s">
        <v>126</v>
      </c>
      <c r="M957" s="29" t="s">
        <v>126</v>
      </c>
      <c r="N957" s="29" t="s">
        <v>126</v>
      </c>
    </row>
    <row r="958" spans="2:14" x14ac:dyDescent="0.25">
      <c r="B958" s="27" t="s">
        <v>123</v>
      </c>
      <c r="C958" s="28">
        <v>599206</v>
      </c>
      <c r="D958" s="28" t="s">
        <v>2015</v>
      </c>
      <c r="E958" s="27" t="s">
        <v>32</v>
      </c>
      <c r="F958" s="6" t="s">
        <v>1095</v>
      </c>
      <c r="G958" s="28" t="s">
        <v>55</v>
      </c>
      <c r="H958" s="28" t="s">
        <v>129</v>
      </c>
      <c r="I958" s="98">
        <v>0.4</v>
      </c>
      <c r="J958" s="27"/>
      <c r="K958" s="29"/>
      <c r="L958" s="29" t="s">
        <v>126</v>
      </c>
      <c r="M958" s="29" t="s">
        <v>126</v>
      </c>
      <c r="N958" s="29" t="s">
        <v>126</v>
      </c>
    </row>
    <row r="959" spans="2:14" x14ac:dyDescent="0.25">
      <c r="B959" s="27" t="s">
        <v>123</v>
      </c>
      <c r="C959" s="28">
        <v>582364</v>
      </c>
      <c r="D959" s="28" t="s">
        <v>2016</v>
      </c>
      <c r="E959" s="27" t="s">
        <v>32</v>
      </c>
      <c r="F959" s="6" t="s">
        <v>1095</v>
      </c>
      <c r="G959" s="28" t="s">
        <v>55</v>
      </c>
      <c r="H959" s="28" t="s">
        <v>129</v>
      </c>
      <c r="I959" s="98">
        <v>0.4</v>
      </c>
      <c r="J959" s="27"/>
      <c r="K959" s="29"/>
      <c r="L959" s="29" t="s">
        <v>126</v>
      </c>
      <c r="M959" s="29" t="s">
        <v>126</v>
      </c>
      <c r="N959" s="29" t="s">
        <v>126</v>
      </c>
    </row>
    <row r="960" spans="2:14" x14ac:dyDescent="0.25">
      <c r="B960" s="27" t="s">
        <v>123</v>
      </c>
      <c r="C960" s="28">
        <v>599209</v>
      </c>
      <c r="D960" s="28" t="s">
        <v>2017</v>
      </c>
      <c r="E960" s="27" t="s">
        <v>32</v>
      </c>
      <c r="F960" s="6" t="s">
        <v>1095</v>
      </c>
      <c r="G960" s="28" t="s">
        <v>55</v>
      </c>
      <c r="H960" s="28" t="s">
        <v>129</v>
      </c>
      <c r="I960" s="98">
        <v>0.4</v>
      </c>
      <c r="J960" s="27"/>
      <c r="K960" s="29"/>
      <c r="L960" s="29" t="s">
        <v>126</v>
      </c>
      <c r="M960" s="29" t="s">
        <v>126</v>
      </c>
      <c r="N960" s="29" t="s">
        <v>126</v>
      </c>
    </row>
    <row r="961" spans="2:14" x14ac:dyDescent="0.25">
      <c r="B961" s="27" t="s">
        <v>123</v>
      </c>
      <c r="C961" s="28">
        <v>599210</v>
      </c>
      <c r="D961" s="28" t="s">
        <v>2018</v>
      </c>
      <c r="E961" s="27" t="s">
        <v>32</v>
      </c>
      <c r="F961" s="6" t="s">
        <v>1095</v>
      </c>
      <c r="G961" s="28" t="s">
        <v>55</v>
      </c>
      <c r="H961" s="28" t="s">
        <v>129</v>
      </c>
      <c r="I961" s="98">
        <v>0.4</v>
      </c>
      <c r="J961" s="27"/>
      <c r="K961" s="29"/>
      <c r="L961" s="29" t="s">
        <v>126</v>
      </c>
      <c r="M961" s="29" t="s">
        <v>126</v>
      </c>
      <c r="N961" s="29" t="s">
        <v>126</v>
      </c>
    </row>
    <row r="962" spans="2:14" x14ac:dyDescent="0.25">
      <c r="B962" s="27" t="s">
        <v>123</v>
      </c>
      <c r="C962" s="28">
        <v>582355</v>
      </c>
      <c r="D962" s="28" t="s">
        <v>2019</v>
      </c>
      <c r="E962" s="27" t="s">
        <v>32</v>
      </c>
      <c r="F962" s="6" t="s">
        <v>1095</v>
      </c>
      <c r="G962" s="28" t="s">
        <v>55</v>
      </c>
      <c r="H962" s="28" t="s">
        <v>129</v>
      </c>
      <c r="I962" s="98">
        <v>0.4</v>
      </c>
      <c r="J962" s="27"/>
      <c r="K962" s="29"/>
      <c r="L962" s="29" t="s">
        <v>126</v>
      </c>
      <c r="M962" s="29" t="s">
        <v>126</v>
      </c>
      <c r="N962" s="29" t="s">
        <v>126</v>
      </c>
    </row>
    <row r="963" spans="2:14" x14ac:dyDescent="0.25">
      <c r="B963" s="27" t="s">
        <v>123</v>
      </c>
      <c r="C963" s="28">
        <v>582356</v>
      </c>
      <c r="D963" s="28" t="s">
        <v>2020</v>
      </c>
      <c r="E963" s="27" t="s">
        <v>32</v>
      </c>
      <c r="F963" s="6" t="s">
        <v>1095</v>
      </c>
      <c r="G963" s="28" t="s">
        <v>55</v>
      </c>
      <c r="H963" s="28" t="s">
        <v>129</v>
      </c>
      <c r="I963" s="98">
        <v>0.4</v>
      </c>
      <c r="J963" s="27"/>
      <c r="K963" s="29"/>
      <c r="L963" s="29" t="s">
        <v>126</v>
      </c>
      <c r="M963" s="29" t="s">
        <v>126</v>
      </c>
      <c r="N963" s="29" t="s">
        <v>126</v>
      </c>
    </row>
    <row r="964" spans="2:14" x14ac:dyDescent="0.25">
      <c r="B964" s="27" t="s">
        <v>123</v>
      </c>
      <c r="C964" s="28">
        <v>582360</v>
      </c>
      <c r="D964" s="28" t="s">
        <v>2021</v>
      </c>
      <c r="E964" s="27" t="s">
        <v>32</v>
      </c>
      <c r="F964" s="6" t="s">
        <v>1095</v>
      </c>
      <c r="G964" s="28" t="s">
        <v>55</v>
      </c>
      <c r="H964" s="28" t="s">
        <v>129</v>
      </c>
      <c r="I964" s="98">
        <v>0.4</v>
      </c>
      <c r="J964" s="27"/>
      <c r="K964" s="29"/>
      <c r="L964" s="29" t="s">
        <v>126</v>
      </c>
      <c r="M964" s="29" t="s">
        <v>126</v>
      </c>
      <c r="N964" s="29" t="s">
        <v>126</v>
      </c>
    </row>
    <row r="965" spans="2:14" x14ac:dyDescent="0.25">
      <c r="B965" s="27" t="s">
        <v>123</v>
      </c>
      <c r="C965" s="28">
        <v>582361</v>
      </c>
      <c r="D965" s="28" t="s">
        <v>2022</v>
      </c>
      <c r="E965" s="27" t="s">
        <v>32</v>
      </c>
      <c r="F965" s="6" t="s">
        <v>1095</v>
      </c>
      <c r="G965" s="28" t="s">
        <v>55</v>
      </c>
      <c r="H965" s="28" t="s">
        <v>129</v>
      </c>
      <c r="I965" s="98">
        <v>0.4</v>
      </c>
      <c r="J965" s="27"/>
      <c r="K965" s="29"/>
      <c r="L965" s="29" t="s">
        <v>126</v>
      </c>
      <c r="M965" s="29" t="s">
        <v>126</v>
      </c>
      <c r="N965" s="29" t="s">
        <v>126</v>
      </c>
    </row>
    <row r="966" spans="2:14" x14ac:dyDescent="0.25">
      <c r="B966" s="27" t="s">
        <v>123</v>
      </c>
      <c r="C966" s="28">
        <v>599211</v>
      </c>
      <c r="D966" s="28" t="s">
        <v>2023</v>
      </c>
      <c r="E966" s="27" t="s">
        <v>32</v>
      </c>
      <c r="F966" s="6" t="s">
        <v>1095</v>
      </c>
      <c r="G966" s="28" t="s">
        <v>55</v>
      </c>
      <c r="H966" s="28" t="s">
        <v>129</v>
      </c>
      <c r="I966" s="98">
        <v>0.4</v>
      </c>
      <c r="J966" s="27"/>
      <c r="K966" s="29"/>
      <c r="L966" s="29" t="s">
        <v>126</v>
      </c>
      <c r="M966" s="29" t="s">
        <v>126</v>
      </c>
      <c r="N966" s="29" t="s">
        <v>126</v>
      </c>
    </row>
    <row r="967" spans="2:14" x14ac:dyDescent="0.25">
      <c r="B967" s="27" t="s">
        <v>123</v>
      </c>
      <c r="C967" s="28">
        <v>599212</v>
      </c>
      <c r="D967" s="28" t="s">
        <v>2024</v>
      </c>
      <c r="E967" s="27" t="s">
        <v>32</v>
      </c>
      <c r="F967" s="6" t="s">
        <v>1095</v>
      </c>
      <c r="G967" s="28" t="s">
        <v>55</v>
      </c>
      <c r="H967" s="28" t="s">
        <v>129</v>
      </c>
      <c r="I967" s="98">
        <v>0.4</v>
      </c>
      <c r="J967" s="27"/>
      <c r="K967" s="29"/>
      <c r="L967" s="29" t="s">
        <v>126</v>
      </c>
      <c r="M967" s="29" t="s">
        <v>126</v>
      </c>
      <c r="N967" s="29" t="s">
        <v>126</v>
      </c>
    </row>
    <row r="968" spans="2:14" x14ac:dyDescent="0.25">
      <c r="B968" s="27" t="s">
        <v>123</v>
      </c>
      <c r="C968" s="28">
        <v>599207</v>
      </c>
      <c r="D968" s="28" t="s">
        <v>2025</v>
      </c>
      <c r="E968" s="27" t="s">
        <v>32</v>
      </c>
      <c r="F968" s="6" t="s">
        <v>1095</v>
      </c>
      <c r="G968" s="28" t="s">
        <v>55</v>
      </c>
      <c r="H968" s="28" t="s">
        <v>129</v>
      </c>
      <c r="I968" s="98">
        <v>0.4</v>
      </c>
      <c r="J968" s="27"/>
      <c r="K968" s="29"/>
      <c r="L968" s="29" t="s">
        <v>126</v>
      </c>
      <c r="M968" s="29" t="s">
        <v>126</v>
      </c>
      <c r="N968" s="29" t="s">
        <v>126</v>
      </c>
    </row>
    <row r="969" spans="2:14" x14ac:dyDescent="0.25">
      <c r="B969" s="27" t="s">
        <v>123</v>
      </c>
      <c r="C969" s="28">
        <v>599208</v>
      </c>
      <c r="D969" s="28" t="s">
        <v>2026</v>
      </c>
      <c r="E969" s="27" t="s">
        <v>32</v>
      </c>
      <c r="F969" s="6" t="s">
        <v>1095</v>
      </c>
      <c r="G969" s="28" t="s">
        <v>55</v>
      </c>
      <c r="H969" s="28" t="s">
        <v>129</v>
      </c>
      <c r="I969" s="98">
        <v>0.4</v>
      </c>
      <c r="J969" s="27"/>
      <c r="K969" s="29"/>
      <c r="L969" s="29" t="s">
        <v>126</v>
      </c>
      <c r="M969" s="29" t="s">
        <v>126</v>
      </c>
      <c r="N969" s="29" t="s">
        <v>126</v>
      </c>
    </row>
    <row r="970" spans="2:14" x14ac:dyDescent="0.25">
      <c r="B970" s="27" t="s">
        <v>123</v>
      </c>
      <c r="C970" s="28">
        <v>582363</v>
      </c>
      <c r="D970" s="28" t="s">
        <v>2027</v>
      </c>
      <c r="E970" s="27" t="s">
        <v>32</v>
      </c>
      <c r="F970" s="6" t="s">
        <v>1095</v>
      </c>
      <c r="G970" s="28" t="s">
        <v>55</v>
      </c>
      <c r="H970" s="28" t="s">
        <v>129</v>
      </c>
      <c r="I970" s="98">
        <v>0.4</v>
      </c>
      <c r="J970" s="27"/>
      <c r="K970" s="29"/>
      <c r="L970" s="29" t="s">
        <v>126</v>
      </c>
      <c r="M970" s="29" t="s">
        <v>126</v>
      </c>
      <c r="N970" s="29" t="s">
        <v>126</v>
      </c>
    </row>
    <row r="971" spans="2:14" x14ac:dyDescent="0.25">
      <c r="B971" s="27" t="s">
        <v>123</v>
      </c>
      <c r="C971" s="28">
        <v>582362</v>
      </c>
      <c r="D971" s="28" t="s">
        <v>2028</v>
      </c>
      <c r="E971" s="27" t="s">
        <v>32</v>
      </c>
      <c r="F971" s="6" t="s">
        <v>1095</v>
      </c>
      <c r="G971" s="28" t="s">
        <v>55</v>
      </c>
      <c r="H971" s="28" t="s">
        <v>129</v>
      </c>
      <c r="I971" s="98">
        <v>0.4</v>
      </c>
      <c r="J971" s="27"/>
      <c r="K971" s="29"/>
      <c r="L971" s="29" t="s">
        <v>126</v>
      </c>
      <c r="M971" s="29" t="s">
        <v>126</v>
      </c>
      <c r="N971" s="29" t="s">
        <v>126</v>
      </c>
    </row>
    <row r="972" spans="2:14" x14ac:dyDescent="0.25">
      <c r="B972" s="27" t="s">
        <v>123</v>
      </c>
      <c r="C972" s="28">
        <v>582357</v>
      </c>
      <c r="D972" s="28" t="s">
        <v>2029</v>
      </c>
      <c r="E972" s="27" t="s">
        <v>32</v>
      </c>
      <c r="F972" s="6" t="s">
        <v>1095</v>
      </c>
      <c r="G972" s="28" t="s">
        <v>55</v>
      </c>
      <c r="H972" s="28" t="s">
        <v>129</v>
      </c>
      <c r="I972" s="98">
        <v>0.4</v>
      </c>
      <c r="J972" s="27"/>
      <c r="K972" s="29"/>
      <c r="L972" s="29" t="s">
        <v>126</v>
      </c>
      <c r="M972" s="29" t="s">
        <v>126</v>
      </c>
      <c r="N972" s="29" t="s">
        <v>126</v>
      </c>
    </row>
    <row r="973" spans="2:14" x14ac:dyDescent="0.25">
      <c r="B973" s="27" t="s">
        <v>123</v>
      </c>
      <c r="C973" s="28">
        <v>582358</v>
      </c>
      <c r="D973" s="28" t="s">
        <v>2030</v>
      </c>
      <c r="E973" s="27" t="s">
        <v>32</v>
      </c>
      <c r="F973" s="6" t="s">
        <v>1095</v>
      </c>
      <c r="G973" s="28" t="s">
        <v>55</v>
      </c>
      <c r="H973" s="28" t="s">
        <v>129</v>
      </c>
      <c r="I973" s="98">
        <v>0.4</v>
      </c>
      <c r="J973" s="27"/>
      <c r="K973" s="29"/>
      <c r="L973" s="29" t="s">
        <v>126</v>
      </c>
      <c r="M973" s="29" t="s">
        <v>126</v>
      </c>
      <c r="N973" s="29" t="s">
        <v>126</v>
      </c>
    </row>
    <row r="974" spans="2:14" x14ac:dyDescent="0.25">
      <c r="B974" s="27" t="s">
        <v>123</v>
      </c>
      <c r="C974" s="28">
        <v>593064</v>
      </c>
      <c r="D974" s="28" t="s">
        <v>802</v>
      </c>
      <c r="E974" s="27" t="s">
        <v>32</v>
      </c>
      <c r="F974" s="6" t="s">
        <v>1095</v>
      </c>
      <c r="G974" s="28" t="s">
        <v>55</v>
      </c>
      <c r="H974" s="28" t="s">
        <v>129</v>
      </c>
      <c r="I974" s="98">
        <v>0.4</v>
      </c>
      <c r="J974" s="27"/>
      <c r="K974" s="29"/>
      <c r="L974" s="29" t="s">
        <v>126</v>
      </c>
      <c r="M974" s="29" t="s">
        <v>126</v>
      </c>
      <c r="N974" s="29" t="s">
        <v>126</v>
      </c>
    </row>
    <row r="975" spans="2:14" x14ac:dyDescent="0.25">
      <c r="B975" s="27" t="s">
        <v>123</v>
      </c>
      <c r="C975" s="28">
        <v>593065</v>
      </c>
      <c r="D975" s="28" t="s">
        <v>803</v>
      </c>
      <c r="E975" s="27" t="s">
        <v>32</v>
      </c>
      <c r="F975" s="6" t="s">
        <v>1095</v>
      </c>
      <c r="G975" s="28" t="s">
        <v>55</v>
      </c>
      <c r="H975" s="28" t="s">
        <v>129</v>
      </c>
      <c r="I975" s="98">
        <v>0.4</v>
      </c>
      <c r="J975" s="27"/>
      <c r="K975" s="29"/>
      <c r="L975" s="29" t="s">
        <v>126</v>
      </c>
      <c r="M975" s="29" t="s">
        <v>126</v>
      </c>
      <c r="N975" s="29" t="s">
        <v>126</v>
      </c>
    </row>
    <row r="976" spans="2:14" x14ac:dyDescent="0.25">
      <c r="B976" s="27" t="s">
        <v>123</v>
      </c>
      <c r="C976" s="28">
        <v>593066</v>
      </c>
      <c r="D976" s="28" t="s">
        <v>804</v>
      </c>
      <c r="E976" s="27" t="s">
        <v>32</v>
      </c>
      <c r="F976" s="6" t="s">
        <v>1095</v>
      </c>
      <c r="G976" s="28" t="s">
        <v>55</v>
      </c>
      <c r="H976" s="28" t="s">
        <v>129</v>
      </c>
      <c r="I976" s="98">
        <v>0.4</v>
      </c>
      <c r="J976" s="27"/>
      <c r="K976" s="29"/>
      <c r="L976" s="29" t="s">
        <v>126</v>
      </c>
      <c r="M976" s="29" t="s">
        <v>126</v>
      </c>
      <c r="N976" s="29" t="s">
        <v>126</v>
      </c>
    </row>
    <row r="977" spans="2:14" x14ac:dyDescent="0.25">
      <c r="B977" s="27" t="s">
        <v>123</v>
      </c>
      <c r="C977" s="28">
        <v>593067</v>
      </c>
      <c r="D977" s="28" t="s">
        <v>805</v>
      </c>
      <c r="E977" s="27" t="s">
        <v>32</v>
      </c>
      <c r="F977" s="6" t="s">
        <v>1095</v>
      </c>
      <c r="G977" s="28" t="s">
        <v>55</v>
      </c>
      <c r="H977" s="28" t="s">
        <v>129</v>
      </c>
      <c r="I977" s="98">
        <v>0.4</v>
      </c>
      <c r="J977" s="27"/>
      <c r="K977" s="29"/>
      <c r="L977" s="29" t="s">
        <v>126</v>
      </c>
      <c r="M977" s="29" t="s">
        <v>126</v>
      </c>
      <c r="N977" s="29" t="s">
        <v>126</v>
      </c>
    </row>
    <row r="978" spans="2:14" x14ac:dyDescent="0.25">
      <c r="B978" s="27" t="s">
        <v>123</v>
      </c>
      <c r="C978" s="28">
        <v>593068</v>
      </c>
      <c r="D978" s="28" t="s">
        <v>806</v>
      </c>
      <c r="E978" s="27" t="s">
        <v>32</v>
      </c>
      <c r="F978" s="6" t="s">
        <v>1095</v>
      </c>
      <c r="G978" s="28" t="s">
        <v>55</v>
      </c>
      <c r="H978" s="28" t="s">
        <v>129</v>
      </c>
      <c r="I978" s="98">
        <v>0.4</v>
      </c>
      <c r="J978" s="27"/>
      <c r="K978" s="29"/>
      <c r="L978" s="29" t="s">
        <v>126</v>
      </c>
      <c r="M978" s="29" t="s">
        <v>126</v>
      </c>
      <c r="N978" s="29" t="s">
        <v>126</v>
      </c>
    </row>
    <row r="979" spans="2:14" x14ac:dyDescent="0.25">
      <c r="B979" s="27" t="s">
        <v>123</v>
      </c>
      <c r="C979" s="28">
        <v>593069</v>
      </c>
      <c r="D979" s="28" t="s">
        <v>807</v>
      </c>
      <c r="E979" s="27" t="s">
        <v>32</v>
      </c>
      <c r="F979" s="6" t="s">
        <v>1095</v>
      </c>
      <c r="G979" s="28" t="s">
        <v>55</v>
      </c>
      <c r="H979" s="28" t="s">
        <v>129</v>
      </c>
      <c r="I979" s="98">
        <v>0.4</v>
      </c>
      <c r="J979" s="27"/>
      <c r="K979" s="29"/>
      <c r="L979" s="29" t="s">
        <v>126</v>
      </c>
      <c r="M979" s="29" t="s">
        <v>126</v>
      </c>
      <c r="N979" s="29" t="s">
        <v>126</v>
      </c>
    </row>
    <row r="980" spans="2:14" x14ac:dyDescent="0.25">
      <c r="B980" s="27" t="s">
        <v>123</v>
      </c>
      <c r="C980" s="28">
        <v>593070</v>
      </c>
      <c r="D980" s="28" t="s">
        <v>808</v>
      </c>
      <c r="E980" s="27" t="s">
        <v>32</v>
      </c>
      <c r="F980" s="6" t="s">
        <v>1095</v>
      </c>
      <c r="G980" s="28" t="s">
        <v>55</v>
      </c>
      <c r="H980" s="28" t="s">
        <v>129</v>
      </c>
      <c r="I980" s="98">
        <v>0.4</v>
      </c>
      <c r="J980" s="27"/>
      <c r="K980" s="29"/>
      <c r="L980" s="29" t="s">
        <v>126</v>
      </c>
      <c r="M980" s="29" t="s">
        <v>126</v>
      </c>
      <c r="N980" s="29" t="s">
        <v>126</v>
      </c>
    </row>
    <row r="981" spans="2:14" x14ac:dyDescent="0.25">
      <c r="B981" s="27" t="s">
        <v>123</v>
      </c>
      <c r="C981" s="28">
        <v>593071</v>
      </c>
      <c r="D981" s="28" t="s">
        <v>809</v>
      </c>
      <c r="E981" s="27" t="s">
        <v>32</v>
      </c>
      <c r="F981" s="6" t="s">
        <v>1095</v>
      </c>
      <c r="G981" s="28" t="s">
        <v>55</v>
      </c>
      <c r="H981" s="28" t="s">
        <v>129</v>
      </c>
      <c r="I981" s="98">
        <v>0.4</v>
      </c>
      <c r="J981" s="27"/>
      <c r="K981" s="29"/>
      <c r="L981" s="29" t="s">
        <v>126</v>
      </c>
      <c r="M981" s="29" t="s">
        <v>126</v>
      </c>
      <c r="N981" s="29" t="s">
        <v>126</v>
      </c>
    </row>
    <row r="982" spans="2:14" x14ac:dyDescent="0.25">
      <c r="B982" s="27" t="s">
        <v>123</v>
      </c>
      <c r="C982" s="28">
        <v>593072</v>
      </c>
      <c r="D982" s="28" t="s">
        <v>810</v>
      </c>
      <c r="E982" s="27" t="s">
        <v>32</v>
      </c>
      <c r="F982" s="6" t="s">
        <v>1095</v>
      </c>
      <c r="G982" s="28" t="s">
        <v>55</v>
      </c>
      <c r="H982" s="28" t="s">
        <v>129</v>
      </c>
      <c r="I982" s="98">
        <v>0.4</v>
      </c>
      <c r="J982" s="27"/>
      <c r="K982" s="29"/>
      <c r="L982" s="29" t="s">
        <v>126</v>
      </c>
      <c r="M982" s="29" t="s">
        <v>126</v>
      </c>
      <c r="N982" s="29" t="s">
        <v>126</v>
      </c>
    </row>
    <row r="983" spans="2:14" x14ac:dyDescent="0.25">
      <c r="B983" s="27" t="s">
        <v>123</v>
      </c>
      <c r="C983" s="28">
        <v>593073</v>
      </c>
      <c r="D983" s="28" t="s">
        <v>811</v>
      </c>
      <c r="E983" s="27" t="s">
        <v>32</v>
      </c>
      <c r="F983" s="6" t="s">
        <v>1095</v>
      </c>
      <c r="G983" s="28" t="s">
        <v>55</v>
      </c>
      <c r="H983" s="28" t="s">
        <v>129</v>
      </c>
      <c r="I983" s="98">
        <v>0.4</v>
      </c>
      <c r="J983" s="27"/>
      <c r="K983" s="29"/>
      <c r="L983" s="29" t="s">
        <v>126</v>
      </c>
      <c r="M983" s="29" t="s">
        <v>126</v>
      </c>
      <c r="N983" s="29" t="s">
        <v>126</v>
      </c>
    </row>
    <row r="984" spans="2:14" x14ac:dyDescent="0.25">
      <c r="B984" s="27" t="s">
        <v>123</v>
      </c>
      <c r="C984" s="28">
        <v>593074</v>
      </c>
      <c r="D984" s="28" t="s">
        <v>812</v>
      </c>
      <c r="E984" s="27" t="s">
        <v>32</v>
      </c>
      <c r="F984" s="6" t="s">
        <v>1095</v>
      </c>
      <c r="G984" s="28" t="s">
        <v>55</v>
      </c>
      <c r="H984" s="28" t="s">
        <v>129</v>
      </c>
      <c r="I984" s="98">
        <v>0.4</v>
      </c>
      <c r="J984" s="27"/>
      <c r="K984" s="29"/>
      <c r="L984" s="29" t="s">
        <v>126</v>
      </c>
      <c r="M984" s="29" t="s">
        <v>126</v>
      </c>
      <c r="N984" s="29" t="s">
        <v>126</v>
      </c>
    </row>
    <row r="985" spans="2:14" x14ac:dyDescent="0.25">
      <c r="B985" s="27" t="s">
        <v>123</v>
      </c>
      <c r="C985" s="28">
        <v>593075</v>
      </c>
      <c r="D985" s="28" t="s">
        <v>813</v>
      </c>
      <c r="E985" s="27" t="s">
        <v>32</v>
      </c>
      <c r="F985" s="6" t="s">
        <v>1095</v>
      </c>
      <c r="G985" s="28" t="s">
        <v>55</v>
      </c>
      <c r="H985" s="28" t="s">
        <v>129</v>
      </c>
      <c r="I985" s="98">
        <v>0.4</v>
      </c>
      <c r="J985" s="27"/>
      <c r="K985" s="29"/>
      <c r="L985" s="29" t="s">
        <v>126</v>
      </c>
      <c r="M985" s="29" t="s">
        <v>126</v>
      </c>
      <c r="N985" s="29" t="s">
        <v>126</v>
      </c>
    </row>
    <row r="986" spans="2:14" x14ac:dyDescent="0.25">
      <c r="B986" s="27" t="s">
        <v>123</v>
      </c>
      <c r="C986" s="28">
        <v>593076</v>
      </c>
      <c r="D986" s="28" t="s">
        <v>814</v>
      </c>
      <c r="E986" s="27" t="s">
        <v>32</v>
      </c>
      <c r="F986" s="6" t="s">
        <v>1095</v>
      </c>
      <c r="G986" s="28" t="s">
        <v>55</v>
      </c>
      <c r="H986" s="28" t="s">
        <v>129</v>
      </c>
      <c r="I986" s="98">
        <v>0.4</v>
      </c>
      <c r="J986" s="27"/>
      <c r="K986" s="29"/>
      <c r="L986" s="29" t="s">
        <v>126</v>
      </c>
      <c r="M986" s="29" t="s">
        <v>126</v>
      </c>
      <c r="N986" s="29" t="s">
        <v>126</v>
      </c>
    </row>
    <row r="987" spans="2:14" x14ac:dyDescent="0.25">
      <c r="B987" s="27" t="s">
        <v>123</v>
      </c>
      <c r="C987" s="28">
        <v>593077</v>
      </c>
      <c r="D987" s="28" t="s">
        <v>815</v>
      </c>
      <c r="E987" s="27" t="s">
        <v>32</v>
      </c>
      <c r="F987" s="6" t="s">
        <v>1095</v>
      </c>
      <c r="G987" s="28" t="s">
        <v>55</v>
      </c>
      <c r="H987" s="28" t="s">
        <v>129</v>
      </c>
      <c r="I987" s="98">
        <v>0.4</v>
      </c>
      <c r="J987" s="27"/>
      <c r="K987" s="29"/>
      <c r="L987" s="29" t="s">
        <v>126</v>
      </c>
      <c r="M987" s="29" t="s">
        <v>126</v>
      </c>
      <c r="N987" s="29" t="s">
        <v>126</v>
      </c>
    </row>
    <row r="988" spans="2:14" x14ac:dyDescent="0.25">
      <c r="B988" s="27" t="s">
        <v>123</v>
      </c>
      <c r="C988" s="28">
        <v>593078</v>
      </c>
      <c r="D988" s="28" t="s">
        <v>816</v>
      </c>
      <c r="E988" s="27" t="s">
        <v>32</v>
      </c>
      <c r="F988" s="6" t="s">
        <v>1095</v>
      </c>
      <c r="G988" s="28" t="s">
        <v>55</v>
      </c>
      <c r="H988" s="28" t="s">
        <v>129</v>
      </c>
      <c r="I988" s="98">
        <v>0.4</v>
      </c>
      <c r="J988" s="27"/>
      <c r="K988" s="29"/>
      <c r="L988" s="29" t="s">
        <v>126</v>
      </c>
      <c r="M988" s="29" t="s">
        <v>126</v>
      </c>
      <c r="N988" s="29" t="s">
        <v>126</v>
      </c>
    </row>
    <row r="989" spans="2:14" x14ac:dyDescent="0.25">
      <c r="B989" s="27" t="s">
        <v>123</v>
      </c>
      <c r="C989" s="28">
        <v>593079</v>
      </c>
      <c r="D989" s="28" t="s">
        <v>817</v>
      </c>
      <c r="E989" s="27" t="s">
        <v>32</v>
      </c>
      <c r="F989" s="6" t="s">
        <v>1095</v>
      </c>
      <c r="G989" s="28" t="s">
        <v>55</v>
      </c>
      <c r="H989" s="28" t="s">
        <v>129</v>
      </c>
      <c r="I989" s="98">
        <v>0.4</v>
      </c>
      <c r="J989" s="27"/>
      <c r="K989" s="29"/>
      <c r="L989" s="29" t="s">
        <v>126</v>
      </c>
      <c r="M989" s="29" t="s">
        <v>126</v>
      </c>
      <c r="N989" s="29" t="s">
        <v>126</v>
      </c>
    </row>
    <row r="990" spans="2:14" x14ac:dyDescent="0.25">
      <c r="B990" s="27" t="s">
        <v>123</v>
      </c>
      <c r="C990" s="28">
        <v>593080</v>
      </c>
      <c r="D990" s="28" t="s">
        <v>818</v>
      </c>
      <c r="E990" s="27" t="s">
        <v>32</v>
      </c>
      <c r="F990" s="6" t="s">
        <v>1095</v>
      </c>
      <c r="G990" s="28" t="s">
        <v>55</v>
      </c>
      <c r="H990" s="28" t="s">
        <v>129</v>
      </c>
      <c r="I990" s="98">
        <v>0.4</v>
      </c>
      <c r="J990" s="27"/>
      <c r="K990" s="29"/>
      <c r="L990" s="29" t="s">
        <v>126</v>
      </c>
      <c r="M990" s="29" t="s">
        <v>126</v>
      </c>
      <c r="N990" s="29" t="s">
        <v>126</v>
      </c>
    </row>
    <row r="991" spans="2:14" x14ac:dyDescent="0.25">
      <c r="B991" s="27" t="s">
        <v>123</v>
      </c>
      <c r="C991" s="28">
        <v>593081</v>
      </c>
      <c r="D991" s="28" t="s">
        <v>819</v>
      </c>
      <c r="E991" s="27" t="s">
        <v>32</v>
      </c>
      <c r="F991" s="6" t="s">
        <v>1095</v>
      </c>
      <c r="G991" s="28" t="s">
        <v>55</v>
      </c>
      <c r="H991" s="28" t="s">
        <v>129</v>
      </c>
      <c r="I991" s="98">
        <v>0.4</v>
      </c>
      <c r="J991" s="27"/>
      <c r="K991" s="29"/>
      <c r="L991" s="29" t="s">
        <v>126</v>
      </c>
      <c r="M991" s="29" t="s">
        <v>126</v>
      </c>
      <c r="N991" s="29" t="s">
        <v>126</v>
      </c>
    </row>
    <row r="992" spans="2:14" x14ac:dyDescent="0.25">
      <c r="B992" s="27" t="s">
        <v>123</v>
      </c>
      <c r="C992" s="28">
        <v>593082</v>
      </c>
      <c r="D992" s="28" t="s">
        <v>820</v>
      </c>
      <c r="E992" s="27" t="s">
        <v>32</v>
      </c>
      <c r="F992" s="6" t="s">
        <v>1095</v>
      </c>
      <c r="G992" s="28" t="s">
        <v>55</v>
      </c>
      <c r="H992" s="28" t="s">
        <v>129</v>
      </c>
      <c r="I992" s="98">
        <v>0.4</v>
      </c>
      <c r="J992" s="27"/>
      <c r="K992" s="29"/>
      <c r="L992" s="29" t="s">
        <v>126</v>
      </c>
      <c r="M992" s="29" t="s">
        <v>126</v>
      </c>
      <c r="N992" s="29" t="s">
        <v>126</v>
      </c>
    </row>
    <row r="993" spans="2:14" x14ac:dyDescent="0.25">
      <c r="B993" s="27" t="s">
        <v>123</v>
      </c>
      <c r="C993" s="28">
        <v>593083</v>
      </c>
      <c r="D993" s="28" t="s">
        <v>821</v>
      </c>
      <c r="E993" s="27" t="s">
        <v>32</v>
      </c>
      <c r="F993" s="6" t="s">
        <v>1095</v>
      </c>
      <c r="G993" s="28" t="s">
        <v>55</v>
      </c>
      <c r="H993" s="28" t="s">
        <v>129</v>
      </c>
      <c r="I993" s="98">
        <v>0.4</v>
      </c>
      <c r="J993" s="27"/>
      <c r="K993" s="29"/>
      <c r="L993" s="29" t="s">
        <v>126</v>
      </c>
      <c r="M993" s="29" t="s">
        <v>126</v>
      </c>
      <c r="N993" s="29" t="s">
        <v>126</v>
      </c>
    </row>
    <row r="994" spans="2:14" x14ac:dyDescent="0.25">
      <c r="B994" s="27" t="s">
        <v>123</v>
      </c>
      <c r="C994" s="28">
        <v>593084</v>
      </c>
      <c r="D994" s="28" t="s">
        <v>822</v>
      </c>
      <c r="E994" s="27" t="s">
        <v>32</v>
      </c>
      <c r="F994" s="6" t="s">
        <v>1095</v>
      </c>
      <c r="G994" s="28" t="s">
        <v>55</v>
      </c>
      <c r="H994" s="28" t="s">
        <v>129</v>
      </c>
      <c r="I994" s="98">
        <v>0.4</v>
      </c>
      <c r="J994" s="27"/>
      <c r="K994" s="29"/>
      <c r="L994" s="29" t="s">
        <v>126</v>
      </c>
      <c r="M994" s="29" t="s">
        <v>126</v>
      </c>
      <c r="N994" s="29" t="s">
        <v>126</v>
      </c>
    </row>
    <row r="995" spans="2:14" x14ac:dyDescent="0.25">
      <c r="B995" s="27" t="s">
        <v>123</v>
      </c>
      <c r="C995" s="28">
        <v>593085</v>
      </c>
      <c r="D995" s="28" t="s">
        <v>823</v>
      </c>
      <c r="E995" s="27" t="s">
        <v>32</v>
      </c>
      <c r="F995" s="6" t="s">
        <v>1095</v>
      </c>
      <c r="G995" s="28" t="s">
        <v>55</v>
      </c>
      <c r="H995" s="28" t="s">
        <v>129</v>
      </c>
      <c r="I995" s="98">
        <v>0.4</v>
      </c>
      <c r="J995" s="27"/>
      <c r="K995" s="29"/>
      <c r="L995" s="29" t="s">
        <v>126</v>
      </c>
      <c r="M995" s="29" t="s">
        <v>126</v>
      </c>
      <c r="N995" s="29" t="s">
        <v>126</v>
      </c>
    </row>
    <row r="996" spans="2:14" x14ac:dyDescent="0.25">
      <c r="B996" s="27" t="s">
        <v>123</v>
      </c>
      <c r="C996" s="28">
        <v>593086</v>
      </c>
      <c r="D996" s="28" t="s">
        <v>824</v>
      </c>
      <c r="E996" s="27" t="s">
        <v>32</v>
      </c>
      <c r="F996" s="6" t="s">
        <v>1095</v>
      </c>
      <c r="G996" s="28" t="s">
        <v>55</v>
      </c>
      <c r="H996" s="28" t="s">
        <v>129</v>
      </c>
      <c r="I996" s="98">
        <v>0.4</v>
      </c>
      <c r="J996" s="27"/>
      <c r="K996" s="29"/>
      <c r="L996" s="29" t="s">
        <v>126</v>
      </c>
      <c r="M996" s="29" t="s">
        <v>126</v>
      </c>
      <c r="N996" s="29" t="s">
        <v>126</v>
      </c>
    </row>
    <row r="997" spans="2:14" x14ac:dyDescent="0.25">
      <c r="B997" s="27" t="s">
        <v>123</v>
      </c>
      <c r="C997" s="28">
        <v>593087</v>
      </c>
      <c r="D997" s="28" t="s">
        <v>825</v>
      </c>
      <c r="E997" s="27" t="s">
        <v>32</v>
      </c>
      <c r="F997" s="6" t="s">
        <v>1095</v>
      </c>
      <c r="G997" s="28" t="s">
        <v>55</v>
      </c>
      <c r="H997" s="28" t="s">
        <v>129</v>
      </c>
      <c r="I997" s="98">
        <v>0.4</v>
      </c>
      <c r="J997" s="27"/>
      <c r="K997" s="29"/>
      <c r="L997" s="29" t="s">
        <v>126</v>
      </c>
      <c r="M997" s="29" t="s">
        <v>126</v>
      </c>
      <c r="N997" s="29" t="s">
        <v>126</v>
      </c>
    </row>
    <row r="998" spans="2:14" x14ac:dyDescent="0.25">
      <c r="B998" s="27" t="s">
        <v>123</v>
      </c>
      <c r="C998" s="28">
        <v>593088</v>
      </c>
      <c r="D998" s="28" t="s">
        <v>826</v>
      </c>
      <c r="E998" s="27" t="s">
        <v>32</v>
      </c>
      <c r="F998" s="6" t="s">
        <v>1095</v>
      </c>
      <c r="G998" s="28" t="s">
        <v>55</v>
      </c>
      <c r="H998" s="28" t="s">
        <v>129</v>
      </c>
      <c r="I998" s="98">
        <v>0.4</v>
      </c>
      <c r="J998" s="27"/>
      <c r="K998" s="29"/>
      <c r="L998" s="29" t="s">
        <v>126</v>
      </c>
      <c r="M998" s="29" t="s">
        <v>126</v>
      </c>
      <c r="N998" s="29" t="s">
        <v>126</v>
      </c>
    </row>
    <row r="999" spans="2:14" x14ac:dyDescent="0.25">
      <c r="B999" s="27" t="s">
        <v>123</v>
      </c>
      <c r="C999" s="28">
        <v>593089</v>
      </c>
      <c r="D999" s="28" t="s">
        <v>827</v>
      </c>
      <c r="E999" s="27" t="s">
        <v>32</v>
      </c>
      <c r="F999" s="6" t="s">
        <v>1095</v>
      </c>
      <c r="G999" s="28" t="s">
        <v>55</v>
      </c>
      <c r="H999" s="28" t="s">
        <v>129</v>
      </c>
      <c r="I999" s="98">
        <v>0.4</v>
      </c>
      <c r="J999" s="27"/>
      <c r="K999" s="29"/>
      <c r="L999" s="29" t="s">
        <v>126</v>
      </c>
      <c r="M999" s="29" t="s">
        <v>126</v>
      </c>
      <c r="N999" s="29" t="s">
        <v>126</v>
      </c>
    </row>
    <row r="1000" spans="2:14" x14ac:dyDescent="0.25">
      <c r="B1000" s="27" t="s">
        <v>123</v>
      </c>
      <c r="C1000" s="28">
        <v>593090</v>
      </c>
      <c r="D1000" s="28" t="s">
        <v>828</v>
      </c>
      <c r="E1000" s="27" t="s">
        <v>32</v>
      </c>
      <c r="F1000" s="6" t="s">
        <v>1095</v>
      </c>
      <c r="G1000" s="28" t="s">
        <v>55</v>
      </c>
      <c r="H1000" s="28" t="s">
        <v>129</v>
      </c>
      <c r="I1000" s="98">
        <v>0.4</v>
      </c>
      <c r="J1000" s="27"/>
      <c r="K1000" s="29"/>
      <c r="L1000" s="29" t="s">
        <v>126</v>
      </c>
      <c r="M1000" s="29" t="s">
        <v>126</v>
      </c>
      <c r="N1000" s="29" t="s">
        <v>126</v>
      </c>
    </row>
    <row r="1001" spans="2:14" x14ac:dyDescent="0.25">
      <c r="B1001" s="27" t="s">
        <v>123</v>
      </c>
      <c r="C1001" s="28">
        <v>593091</v>
      </c>
      <c r="D1001" s="28" t="s">
        <v>829</v>
      </c>
      <c r="E1001" s="27" t="s">
        <v>32</v>
      </c>
      <c r="F1001" s="6" t="s">
        <v>1095</v>
      </c>
      <c r="G1001" s="28" t="s">
        <v>55</v>
      </c>
      <c r="H1001" s="28" t="s">
        <v>129</v>
      </c>
      <c r="I1001" s="98">
        <v>0.4</v>
      </c>
      <c r="J1001" s="27"/>
      <c r="K1001" s="29"/>
      <c r="L1001" s="29" t="s">
        <v>126</v>
      </c>
      <c r="M1001" s="29" t="s">
        <v>126</v>
      </c>
      <c r="N1001" s="29" t="s">
        <v>126</v>
      </c>
    </row>
    <row r="1002" spans="2:14" x14ac:dyDescent="0.25">
      <c r="B1002" s="27" t="s">
        <v>123</v>
      </c>
      <c r="C1002" s="28">
        <v>593092</v>
      </c>
      <c r="D1002" s="28" t="s">
        <v>830</v>
      </c>
      <c r="E1002" s="27" t="s">
        <v>32</v>
      </c>
      <c r="F1002" s="6" t="s">
        <v>1095</v>
      </c>
      <c r="G1002" s="28" t="s">
        <v>55</v>
      </c>
      <c r="H1002" s="28" t="s">
        <v>129</v>
      </c>
      <c r="I1002" s="98">
        <v>0.4</v>
      </c>
      <c r="J1002" s="27"/>
      <c r="K1002" s="29"/>
      <c r="L1002" s="29" t="s">
        <v>126</v>
      </c>
      <c r="M1002" s="29" t="s">
        <v>126</v>
      </c>
      <c r="N1002" s="29" t="s">
        <v>126</v>
      </c>
    </row>
    <row r="1003" spans="2:14" x14ac:dyDescent="0.25">
      <c r="B1003" s="27" t="s">
        <v>123</v>
      </c>
      <c r="C1003" s="28">
        <v>593093</v>
      </c>
      <c r="D1003" s="28" t="s">
        <v>831</v>
      </c>
      <c r="E1003" s="27" t="s">
        <v>32</v>
      </c>
      <c r="F1003" s="6" t="s">
        <v>1095</v>
      </c>
      <c r="G1003" s="28" t="s">
        <v>55</v>
      </c>
      <c r="H1003" s="28" t="s">
        <v>129</v>
      </c>
      <c r="I1003" s="98">
        <v>0.4</v>
      </c>
      <c r="J1003" s="27"/>
      <c r="K1003" s="29"/>
      <c r="L1003" s="29" t="s">
        <v>126</v>
      </c>
      <c r="M1003" s="29" t="s">
        <v>126</v>
      </c>
      <c r="N1003" s="29" t="s">
        <v>126</v>
      </c>
    </row>
    <row r="1004" spans="2:14" x14ac:dyDescent="0.25">
      <c r="B1004" s="27" t="s">
        <v>123</v>
      </c>
      <c r="C1004" s="28">
        <v>593094</v>
      </c>
      <c r="D1004" s="28" t="s">
        <v>832</v>
      </c>
      <c r="E1004" s="27" t="s">
        <v>32</v>
      </c>
      <c r="F1004" s="6" t="s">
        <v>1095</v>
      </c>
      <c r="G1004" s="28" t="s">
        <v>55</v>
      </c>
      <c r="H1004" s="28" t="s">
        <v>129</v>
      </c>
      <c r="I1004" s="98">
        <v>0.4</v>
      </c>
      <c r="J1004" s="27"/>
      <c r="K1004" s="29"/>
      <c r="L1004" s="29" t="s">
        <v>126</v>
      </c>
      <c r="M1004" s="29" t="s">
        <v>126</v>
      </c>
      <c r="N1004" s="29" t="s">
        <v>126</v>
      </c>
    </row>
    <row r="1005" spans="2:14" x14ac:dyDescent="0.25">
      <c r="B1005" s="27" t="s">
        <v>123</v>
      </c>
      <c r="C1005" s="28">
        <v>593095</v>
      </c>
      <c r="D1005" s="28" t="s">
        <v>833</v>
      </c>
      <c r="E1005" s="27" t="s">
        <v>32</v>
      </c>
      <c r="F1005" s="6" t="s">
        <v>1095</v>
      </c>
      <c r="G1005" s="28" t="s">
        <v>55</v>
      </c>
      <c r="H1005" s="28" t="s">
        <v>129</v>
      </c>
      <c r="I1005" s="98">
        <v>0.4</v>
      </c>
      <c r="J1005" s="27"/>
      <c r="K1005" s="29"/>
      <c r="L1005" s="29" t="s">
        <v>126</v>
      </c>
      <c r="M1005" s="29" t="s">
        <v>126</v>
      </c>
      <c r="N1005" s="29" t="s">
        <v>126</v>
      </c>
    </row>
    <row r="1006" spans="2:14" x14ac:dyDescent="0.25">
      <c r="B1006" s="27" t="s">
        <v>123</v>
      </c>
      <c r="C1006" s="28">
        <v>593096</v>
      </c>
      <c r="D1006" s="28" t="s">
        <v>834</v>
      </c>
      <c r="E1006" s="27" t="s">
        <v>32</v>
      </c>
      <c r="F1006" s="6" t="s">
        <v>1095</v>
      </c>
      <c r="G1006" s="28" t="s">
        <v>55</v>
      </c>
      <c r="H1006" s="28" t="s">
        <v>129</v>
      </c>
      <c r="I1006" s="98">
        <v>0.4</v>
      </c>
      <c r="J1006" s="27"/>
      <c r="K1006" s="29"/>
      <c r="L1006" s="29" t="s">
        <v>126</v>
      </c>
      <c r="M1006" s="29" t="s">
        <v>126</v>
      </c>
      <c r="N1006" s="29" t="s">
        <v>126</v>
      </c>
    </row>
    <row r="1007" spans="2:14" x14ac:dyDescent="0.25">
      <c r="B1007" s="27" t="s">
        <v>123</v>
      </c>
      <c r="C1007" s="28">
        <v>593097</v>
      </c>
      <c r="D1007" s="28" t="s">
        <v>835</v>
      </c>
      <c r="E1007" s="27" t="s">
        <v>32</v>
      </c>
      <c r="F1007" s="6" t="s">
        <v>1095</v>
      </c>
      <c r="G1007" s="28" t="s">
        <v>55</v>
      </c>
      <c r="H1007" s="28" t="s">
        <v>129</v>
      </c>
      <c r="I1007" s="98">
        <v>0.4</v>
      </c>
      <c r="J1007" s="27"/>
      <c r="K1007" s="29"/>
      <c r="L1007" s="29" t="s">
        <v>126</v>
      </c>
      <c r="M1007" s="29" t="s">
        <v>126</v>
      </c>
      <c r="N1007" s="29" t="s">
        <v>126</v>
      </c>
    </row>
    <row r="1008" spans="2:14" x14ac:dyDescent="0.25">
      <c r="B1008" s="27" t="s">
        <v>123</v>
      </c>
      <c r="C1008" s="28">
        <v>593098</v>
      </c>
      <c r="D1008" s="28" t="s">
        <v>836</v>
      </c>
      <c r="E1008" s="27" t="s">
        <v>32</v>
      </c>
      <c r="F1008" s="6" t="s">
        <v>1095</v>
      </c>
      <c r="G1008" s="28" t="s">
        <v>55</v>
      </c>
      <c r="H1008" s="28" t="s">
        <v>129</v>
      </c>
      <c r="I1008" s="98">
        <v>0.4</v>
      </c>
      <c r="J1008" s="27"/>
      <c r="K1008" s="29"/>
      <c r="L1008" s="29" t="s">
        <v>126</v>
      </c>
      <c r="M1008" s="29" t="s">
        <v>126</v>
      </c>
      <c r="N1008" s="29" t="s">
        <v>126</v>
      </c>
    </row>
    <row r="1009" spans="2:14" x14ac:dyDescent="0.25">
      <c r="B1009" s="27" t="s">
        <v>123</v>
      </c>
      <c r="C1009" s="28">
        <v>593099</v>
      </c>
      <c r="D1009" s="28" t="s">
        <v>837</v>
      </c>
      <c r="E1009" s="27" t="s">
        <v>32</v>
      </c>
      <c r="F1009" s="6" t="s">
        <v>1095</v>
      </c>
      <c r="G1009" s="28" t="s">
        <v>55</v>
      </c>
      <c r="H1009" s="28" t="s">
        <v>129</v>
      </c>
      <c r="I1009" s="98">
        <v>0.4</v>
      </c>
      <c r="J1009" s="27"/>
      <c r="K1009" s="29"/>
      <c r="L1009" s="29" t="s">
        <v>126</v>
      </c>
      <c r="M1009" s="29" t="s">
        <v>126</v>
      </c>
      <c r="N1009" s="29" t="s">
        <v>126</v>
      </c>
    </row>
    <row r="1010" spans="2:14" x14ac:dyDescent="0.25">
      <c r="B1010" s="27" t="s">
        <v>123</v>
      </c>
      <c r="C1010" s="28">
        <v>593100</v>
      </c>
      <c r="D1010" s="28" t="s">
        <v>838</v>
      </c>
      <c r="E1010" s="27" t="s">
        <v>32</v>
      </c>
      <c r="F1010" s="6" t="s">
        <v>1095</v>
      </c>
      <c r="G1010" s="28" t="s">
        <v>55</v>
      </c>
      <c r="H1010" s="28" t="s">
        <v>129</v>
      </c>
      <c r="I1010" s="98">
        <v>0.4</v>
      </c>
      <c r="J1010" s="27"/>
      <c r="K1010" s="29"/>
      <c r="L1010" s="29" t="s">
        <v>126</v>
      </c>
      <c r="M1010" s="29" t="s">
        <v>126</v>
      </c>
      <c r="N1010" s="29" t="s">
        <v>126</v>
      </c>
    </row>
    <row r="1011" spans="2:14" x14ac:dyDescent="0.25">
      <c r="B1011" s="27" t="s">
        <v>123</v>
      </c>
      <c r="C1011" s="28">
        <v>593101</v>
      </c>
      <c r="D1011" s="28" t="s">
        <v>839</v>
      </c>
      <c r="E1011" s="27" t="s">
        <v>32</v>
      </c>
      <c r="F1011" s="6" t="s">
        <v>1095</v>
      </c>
      <c r="G1011" s="28" t="s">
        <v>55</v>
      </c>
      <c r="H1011" s="28" t="s">
        <v>129</v>
      </c>
      <c r="I1011" s="98">
        <v>0.4</v>
      </c>
      <c r="J1011" s="27"/>
      <c r="K1011" s="29"/>
      <c r="L1011" s="29" t="s">
        <v>126</v>
      </c>
      <c r="M1011" s="29" t="s">
        <v>126</v>
      </c>
      <c r="N1011" s="29" t="s">
        <v>126</v>
      </c>
    </row>
    <row r="1012" spans="2:14" x14ac:dyDescent="0.25">
      <c r="B1012" s="27" t="s">
        <v>123</v>
      </c>
      <c r="C1012" s="28">
        <v>593102</v>
      </c>
      <c r="D1012" s="28" t="s">
        <v>840</v>
      </c>
      <c r="E1012" s="27" t="s">
        <v>32</v>
      </c>
      <c r="F1012" s="6" t="s">
        <v>1095</v>
      </c>
      <c r="G1012" s="28" t="s">
        <v>55</v>
      </c>
      <c r="H1012" s="28" t="s">
        <v>129</v>
      </c>
      <c r="I1012" s="98">
        <v>0.4</v>
      </c>
      <c r="J1012" s="27"/>
      <c r="K1012" s="29"/>
      <c r="L1012" s="29" t="s">
        <v>126</v>
      </c>
      <c r="M1012" s="29" t="s">
        <v>126</v>
      </c>
      <c r="N1012" s="29" t="s">
        <v>126</v>
      </c>
    </row>
    <row r="1013" spans="2:14" x14ac:dyDescent="0.25">
      <c r="B1013" s="27" t="s">
        <v>123</v>
      </c>
      <c r="C1013" s="28">
        <v>593103</v>
      </c>
      <c r="D1013" s="28" t="s">
        <v>841</v>
      </c>
      <c r="E1013" s="27" t="s">
        <v>32</v>
      </c>
      <c r="F1013" s="6" t="s">
        <v>1095</v>
      </c>
      <c r="G1013" s="28" t="s">
        <v>55</v>
      </c>
      <c r="H1013" s="28" t="s">
        <v>129</v>
      </c>
      <c r="I1013" s="98">
        <v>0.4</v>
      </c>
      <c r="J1013" s="27"/>
      <c r="K1013" s="29"/>
      <c r="L1013" s="29" t="s">
        <v>126</v>
      </c>
      <c r="M1013" s="29" t="s">
        <v>126</v>
      </c>
      <c r="N1013" s="29" t="s">
        <v>126</v>
      </c>
    </row>
    <row r="1014" spans="2:14" x14ac:dyDescent="0.25">
      <c r="B1014" s="27" t="s">
        <v>123</v>
      </c>
      <c r="C1014" s="28">
        <v>593104</v>
      </c>
      <c r="D1014" s="28" t="s">
        <v>842</v>
      </c>
      <c r="E1014" s="27" t="s">
        <v>32</v>
      </c>
      <c r="F1014" s="6" t="s">
        <v>1095</v>
      </c>
      <c r="G1014" s="28" t="s">
        <v>55</v>
      </c>
      <c r="H1014" s="28" t="s">
        <v>129</v>
      </c>
      <c r="I1014" s="98">
        <v>0.4</v>
      </c>
      <c r="J1014" s="27"/>
      <c r="K1014" s="29"/>
      <c r="L1014" s="29" t="s">
        <v>126</v>
      </c>
      <c r="M1014" s="29" t="s">
        <v>126</v>
      </c>
      <c r="N1014" s="29" t="s">
        <v>126</v>
      </c>
    </row>
    <row r="1015" spans="2:14" x14ac:dyDescent="0.25">
      <c r="B1015" s="27" t="s">
        <v>123</v>
      </c>
      <c r="C1015" s="28">
        <v>593105</v>
      </c>
      <c r="D1015" s="28" t="s">
        <v>843</v>
      </c>
      <c r="E1015" s="27" t="s">
        <v>32</v>
      </c>
      <c r="F1015" s="6" t="s">
        <v>1095</v>
      </c>
      <c r="G1015" s="28" t="s">
        <v>55</v>
      </c>
      <c r="H1015" s="28" t="s">
        <v>129</v>
      </c>
      <c r="I1015" s="98">
        <v>0.4</v>
      </c>
      <c r="J1015" s="27"/>
      <c r="K1015" s="29"/>
      <c r="L1015" s="29" t="s">
        <v>126</v>
      </c>
      <c r="M1015" s="29" t="s">
        <v>126</v>
      </c>
      <c r="N1015" s="29" t="s">
        <v>126</v>
      </c>
    </row>
    <row r="1016" spans="2:14" x14ac:dyDescent="0.25">
      <c r="B1016" s="27" t="s">
        <v>123</v>
      </c>
      <c r="C1016" s="28">
        <v>593106</v>
      </c>
      <c r="D1016" s="28" t="s">
        <v>844</v>
      </c>
      <c r="E1016" s="27" t="s">
        <v>32</v>
      </c>
      <c r="F1016" s="6" t="s">
        <v>1095</v>
      </c>
      <c r="G1016" s="28" t="s">
        <v>55</v>
      </c>
      <c r="H1016" s="28" t="s">
        <v>129</v>
      </c>
      <c r="I1016" s="98">
        <v>0.4</v>
      </c>
      <c r="J1016" s="27"/>
      <c r="K1016" s="29"/>
      <c r="L1016" s="29" t="s">
        <v>126</v>
      </c>
      <c r="M1016" s="29" t="s">
        <v>126</v>
      </c>
      <c r="N1016" s="29" t="s">
        <v>126</v>
      </c>
    </row>
    <row r="1017" spans="2:14" x14ac:dyDescent="0.25">
      <c r="B1017" s="27" t="s">
        <v>123</v>
      </c>
      <c r="C1017" s="28">
        <v>593107</v>
      </c>
      <c r="D1017" s="28" t="s">
        <v>845</v>
      </c>
      <c r="E1017" s="27" t="s">
        <v>32</v>
      </c>
      <c r="F1017" s="6" t="s">
        <v>1095</v>
      </c>
      <c r="G1017" s="28" t="s">
        <v>55</v>
      </c>
      <c r="H1017" s="28" t="s">
        <v>129</v>
      </c>
      <c r="I1017" s="98">
        <v>0.4</v>
      </c>
      <c r="J1017" s="27"/>
      <c r="K1017" s="29"/>
      <c r="L1017" s="29" t="s">
        <v>126</v>
      </c>
      <c r="M1017" s="29" t="s">
        <v>126</v>
      </c>
      <c r="N1017" s="29" t="s">
        <v>126</v>
      </c>
    </row>
    <row r="1018" spans="2:14" x14ac:dyDescent="0.25">
      <c r="B1018" s="27" t="s">
        <v>123</v>
      </c>
      <c r="C1018" s="28">
        <v>593108</v>
      </c>
      <c r="D1018" s="28" t="s">
        <v>846</v>
      </c>
      <c r="E1018" s="27" t="s">
        <v>32</v>
      </c>
      <c r="F1018" s="6" t="s">
        <v>1095</v>
      </c>
      <c r="G1018" s="28" t="s">
        <v>55</v>
      </c>
      <c r="H1018" s="28" t="s">
        <v>129</v>
      </c>
      <c r="I1018" s="98">
        <v>0.4</v>
      </c>
      <c r="J1018" s="27"/>
      <c r="K1018" s="29"/>
      <c r="L1018" s="29" t="s">
        <v>126</v>
      </c>
      <c r="M1018" s="29" t="s">
        <v>126</v>
      </c>
      <c r="N1018" s="29" t="s">
        <v>126</v>
      </c>
    </row>
    <row r="1019" spans="2:14" x14ac:dyDescent="0.25">
      <c r="B1019" s="27" t="s">
        <v>123</v>
      </c>
      <c r="C1019" s="28">
        <v>593109</v>
      </c>
      <c r="D1019" s="28" t="s">
        <v>847</v>
      </c>
      <c r="E1019" s="27" t="s">
        <v>32</v>
      </c>
      <c r="F1019" s="6" t="s">
        <v>1095</v>
      </c>
      <c r="G1019" s="28" t="s">
        <v>55</v>
      </c>
      <c r="H1019" s="28" t="s">
        <v>129</v>
      </c>
      <c r="I1019" s="98">
        <v>0.4</v>
      </c>
      <c r="J1019" s="27"/>
      <c r="K1019" s="29"/>
      <c r="L1019" s="29" t="s">
        <v>126</v>
      </c>
      <c r="M1019" s="29" t="s">
        <v>126</v>
      </c>
      <c r="N1019" s="29" t="s">
        <v>126</v>
      </c>
    </row>
    <row r="1020" spans="2:14" x14ac:dyDescent="0.25">
      <c r="B1020" s="27" t="s">
        <v>123</v>
      </c>
      <c r="C1020" s="28">
        <v>593110</v>
      </c>
      <c r="D1020" s="28" t="s">
        <v>848</v>
      </c>
      <c r="E1020" s="27" t="s">
        <v>32</v>
      </c>
      <c r="F1020" s="6" t="s">
        <v>1095</v>
      </c>
      <c r="G1020" s="28" t="s">
        <v>55</v>
      </c>
      <c r="H1020" s="28" t="s">
        <v>129</v>
      </c>
      <c r="I1020" s="98">
        <v>0.4</v>
      </c>
      <c r="J1020" s="27"/>
      <c r="K1020" s="29"/>
      <c r="L1020" s="29" t="s">
        <v>126</v>
      </c>
      <c r="M1020" s="29" t="s">
        <v>126</v>
      </c>
      <c r="N1020" s="29" t="s">
        <v>126</v>
      </c>
    </row>
    <row r="1021" spans="2:14" x14ac:dyDescent="0.25">
      <c r="B1021" s="27" t="s">
        <v>123</v>
      </c>
      <c r="C1021" s="28">
        <v>593111</v>
      </c>
      <c r="D1021" s="28" t="s">
        <v>849</v>
      </c>
      <c r="E1021" s="27" t="s">
        <v>32</v>
      </c>
      <c r="F1021" s="6" t="s">
        <v>1095</v>
      </c>
      <c r="G1021" s="28" t="s">
        <v>55</v>
      </c>
      <c r="H1021" s="28" t="s">
        <v>129</v>
      </c>
      <c r="I1021" s="98">
        <v>0.4</v>
      </c>
      <c r="J1021" s="27"/>
      <c r="K1021" s="29"/>
      <c r="L1021" s="29" t="s">
        <v>126</v>
      </c>
      <c r="M1021" s="29" t="s">
        <v>126</v>
      </c>
      <c r="N1021" s="29" t="s">
        <v>126</v>
      </c>
    </row>
    <row r="1022" spans="2:14" x14ac:dyDescent="0.25">
      <c r="B1022" s="27" t="s">
        <v>123</v>
      </c>
      <c r="C1022" s="28">
        <v>593112</v>
      </c>
      <c r="D1022" s="28" t="s">
        <v>850</v>
      </c>
      <c r="E1022" s="27" t="s">
        <v>32</v>
      </c>
      <c r="F1022" s="6" t="s">
        <v>1095</v>
      </c>
      <c r="G1022" s="28" t="s">
        <v>55</v>
      </c>
      <c r="H1022" s="28" t="s">
        <v>129</v>
      </c>
      <c r="I1022" s="98">
        <v>0.4</v>
      </c>
      <c r="J1022" s="27"/>
      <c r="K1022" s="29"/>
      <c r="L1022" s="29" t="s">
        <v>126</v>
      </c>
      <c r="M1022" s="29" t="s">
        <v>126</v>
      </c>
      <c r="N1022" s="29" t="s">
        <v>126</v>
      </c>
    </row>
    <row r="1023" spans="2:14" x14ac:dyDescent="0.25">
      <c r="B1023" s="27" t="s">
        <v>123</v>
      </c>
      <c r="C1023" s="28">
        <v>593113</v>
      </c>
      <c r="D1023" s="28" t="s">
        <v>851</v>
      </c>
      <c r="E1023" s="27" t="s">
        <v>32</v>
      </c>
      <c r="F1023" s="6" t="s">
        <v>1095</v>
      </c>
      <c r="G1023" s="28" t="s">
        <v>55</v>
      </c>
      <c r="H1023" s="28" t="s">
        <v>129</v>
      </c>
      <c r="I1023" s="98">
        <v>0.4</v>
      </c>
      <c r="J1023" s="27"/>
      <c r="K1023" s="29"/>
      <c r="L1023" s="29" t="s">
        <v>126</v>
      </c>
      <c r="M1023" s="29" t="s">
        <v>126</v>
      </c>
      <c r="N1023" s="29" t="s">
        <v>126</v>
      </c>
    </row>
    <row r="1024" spans="2:14" x14ac:dyDescent="0.25">
      <c r="B1024" s="27" t="s">
        <v>123</v>
      </c>
      <c r="C1024" s="28">
        <v>593114</v>
      </c>
      <c r="D1024" s="28" t="s">
        <v>852</v>
      </c>
      <c r="E1024" s="27" t="s">
        <v>32</v>
      </c>
      <c r="F1024" s="6" t="s">
        <v>1095</v>
      </c>
      <c r="G1024" s="28" t="s">
        <v>55</v>
      </c>
      <c r="H1024" s="28" t="s">
        <v>129</v>
      </c>
      <c r="I1024" s="98">
        <v>0.4</v>
      </c>
      <c r="J1024" s="27"/>
      <c r="K1024" s="29"/>
      <c r="L1024" s="29" t="s">
        <v>126</v>
      </c>
      <c r="M1024" s="29" t="s">
        <v>126</v>
      </c>
      <c r="N1024" s="29" t="s">
        <v>126</v>
      </c>
    </row>
    <row r="1025" spans="2:14" x14ac:dyDescent="0.25">
      <c r="B1025" s="27" t="s">
        <v>123</v>
      </c>
      <c r="C1025" s="28">
        <v>593115</v>
      </c>
      <c r="D1025" s="28" t="s">
        <v>853</v>
      </c>
      <c r="E1025" s="27" t="s">
        <v>32</v>
      </c>
      <c r="F1025" s="6" t="s">
        <v>1095</v>
      </c>
      <c r="G1025" s="28" t="s">
        <v>55</v>
      </c>
      <c r="H1025" s="28" t="s">
        <v>129</v>
      </c>
      <c r="I1025" s="98">
        <v>0.4</v>
      </c>
      <c r="J1025" s="27"/>
      <c r="K1025" s="29"/>
      <c r="L1025" s="29" t="s">
        <v>126</v>
      </c>
      <c r="M1025" s="29" t="s">
        <v>126</v>
      </c>
      <c r="N1025" s="29" t="s">
        <v>126</v>
      </c>
    </row>
    <row r="1026" spans="2:14" x14ac:dyDescent="0.25">
      <c r="B1026" s="27" t="s">
        <v>123</v>
      </c>
      <c r="C1026" s="28">
        <v>593116</v>
      </c>
      <c r="D1026" s="28" t="s">
        <v>854</v>
      </c>
      <c r="E1026" s="27" t="s">
        <v>32</v>
      </c>
      <c r="F1026" s="6" t="s">
        <v>1095</v>
      </c>
      <c r="G1026" s="28" t="s">
        <v>55</v>
      </c>
      <c r="H1026" s="28" t="s">
        <v>129</v>
      </c>
      <c r="I1026" s="98">
        <v>0.4</v>
      </c>
      <c r="J1026" s="27"/>
      <c r="K1026" s="29"/>
      <c r="L1026" s="29" t="s">
        <v>126</v>
      </c>
      <c r="M1026" s="29" t="s">
        <v>126</v>
      </c>
      <c r="N1026" s="29" t="s">
        <v>126</v>
      </c>
    </row>
    <row r="1027" spans="2:14" x14ac:dyDescent="0.25">
      <c r="B1027" s="27" t="s">
        <v>123</v>
      </c>
      <c r="C1027" s="28">
        <v>593117</v>
      </c>
      <c r="D1027" s="28" t="s">
        <v>855</v>
      </c>
      <c r="E1027" s="27" t="s">
        <v>32</v>
      </c>
      <c r="F1027" s="6" t="s">
        <v>1095</v>
      </c>
      <c r="G1027" s="28" t="s">
        <v>55</v>
      </c>
      <c r="H1027" s="28" t="s">
        <v>129</v>
      </c>
      <c r="I1027" s="98">
        <v>0.4</v>
      </c>
      <c r="J1027" s="27"/>
      <c r="K1027" s="29"/>
      <c r="L1027" s="29" t="s">
        <v>126</v>
      </c>
      <c r="M1027" s="29" t="s">
        <v>126</v>
      </c>
      <c r="N1027" s="29" t="s">
        <v>126</v>
      </c>
    </row>
    <row r="1028" spans="2:14" x14ac:dyDescent="0.25">
      <c r="B1028" s="27" t="s">
        <v>123</v>
      </c>
      <c r="C1028" s="28">
        <v>593118</v>
      </c>
      <c r="D1028" s="28" t="s">
        <v>856</v>
      </c>
      <c r="E1028" s="27" t="s">
        <v>32</v>
      </c>
      <c r="F1028" s="6" t="s">
        <v>1095</v>
      </c>
      <c r="G1028" s="28" t="s">
        <v>55</v>
      </c>
      <c r="H1028" s="28" t="s">
        <v>129</v>
      </c>
      <c r="I1028" s="98">
        <v>0.4</v>
      </c>
      <c r="J1028" s="27"/>
      <c r="K1028" s="29"/>
      <c r="L1028" s="29" t="s">
        <v>126</v>
      </c>
      <c r="M1028" s="29" t="s">
        <v>126</v>
      </c>
      <c r="N1028" s="29" t="s">
        <v>126</v>
      </c>
    </row>
    <row r="1029" spans="2:14" x14ac:dyDescent="0.25">
      <c r="B1029" s="27" t="s">
        <v>123</v>
      </c>
      <c r="C1029" s="28">
        <v>593119</v>
      </c>
      <c r="D1029" s="28" t="s">
        <v>857</v>
      </c>
      <c r="E1029" s="27" t="s">
        <v>32</v>
      </c>
      <c r="F1029" s="6" t="s">
        <v>1095</v>
      </c>
      <c r="G1029" s="28" t="s">
        <v>55</v>
      </c>
      <c r="H1029" s="28" t="s">
        <v>129</v>
      </c>
      <c r="I1029" s="98">
        <v>0.4</v>
      </c>
      <c r="J1029" s="27"/>
      <c r="K1029" s="29"/>
      <c r="L1029" s="29" t="s">
        <v>126</v>
      </c>
      <c r="M1029" s="29" t="s">
        <v>126</v>
      </c>
      <c r="N1029" s="29" t="s">
        <v>126</v>
      </c>
    </row>
    <row r="1030" spans="2:14" x14ac:dyDescent="0.25">
      <c r="B1030" s="27" t="s">
        <v>123</v>
      </c>
      <c r="C1030" s="28">
        <v>592871</v>
      </c>
      <c r="D1030" s="28" t="s">
        <v>858</v>
      </c>
      <c r="E1030" s="27" t="s">
        <v>32</v>
      </c>
      <c r="F1030" s="6" t="s">
        <v>1095</v>
      </c>
      <c r="G1030" s="28" t="s">
        <v>55</v>
      </c>
      <c r="H1030" s="28" t="s">
        <v>129</v>
      </c>
      <c r="I1030" s="98">
        <v>0.4</v>
      </c>
      <c r="J1030" s="27"/>
      <c r="K1030" s="29"/>
      <c r="L1030" s="29" t="s">
        <v>126</v>
      </c>
      <c r="M1030" s="29" t="s">
        <v>126</v>
      </c>
      <c r="N1030" s="29" t="s">
        <v>126</v>
      </c>
    </row>
    <row r="1031" spans="2:14" x14ac:dyDescent="0.25">
      <c r="B1031" s="27" t="s">
        <v>123</v>
      </c>
      <c r="C1031" s="28">
        <v>592872</v>
      </c>
      <c r="D1031" s="28" t="s">
        <v>859</v>
      </c>
      <c r="E1031" s="27" t="s">
        <v>32</v>
      </c>
      <c r="F1031" s="6" t="s">
        <v>1095</v>
      </c>
      <c r="G1031" s="28" t="s">
        <v>55</v>
      </c>
      <c r="H1031" s="28" t="s">
        <v>129</v>
      </c>
      <c r="I1031" s="98">
        <v>0.4</v>
      </c>
      <c r="J1031" s="27"/>
      <c r="K1031" s="29"/>
      <c r="L1031" s="29" t="s">
        <v>126</v>
      </c>
      <c r="M1031" s="29" t="s">
        <v>126</v>
      </c>
      <c r="N1031" s="29" t="s">
        <v>126</v>
      </c>
    </row>
    <row r="1032" spans="2:14" x14ac:dyDescent="0.25">
      <c r="B1032" s="27" t="s">
        <v>123</v>
      </c>
      <c r="C1032" s="28">
        <v>592873</v>
      </c>
      <c r="D1032" s="28" t="s">
        <v>860</v>
      </c>
      <c r="E1032" s="27" t="s">
        <v>32</v>
      </c>
      <c r="F1032" s="6" t="s">
        <v>1095</v>
      </c>
      <c r="G1032" s="28" t="s">
        <v>55</v>
      </c>
      <c r="H1032" s="28" t="s">
        <v>129</v>
      </c>
      <c r="I1032" s="98">
        <v>0.4</v>
      </c>
      <c r="J1032" s="27"/>
      <c r="K1032" s="29"/>
      <c r="L1032" s="29" t="s">
        <v>126</v>
      </c>
      <c r="M1032" s="29" t="s">
        <v>126</v>
      </c>
      <c r="N1032" s="29" t="s">
        <v>126</v>
      </c>
    </row>
    <row r="1033" spans="2:14" x14ac:dyDescent="0.25">
      <c r="B1033" s="27" t="s">
        <v>123</v>
      </c>
      <c r="C1033" s="28">
        <v>592874</v>
      </c>
      <c r="D1033" s="28" t="s">
        <v>861</v>
      </c>
      <c r="E1033" s="27" t="s">
        <v>32</v>
      </c>
      <c r="F1033" s="6" t="s">
        <v>1095</v>
      </c>
      <c r="G1033" s="28" t="s">
        <v>55</v>
      </c>
      <c r="H1033" s="28" t="s">
        <v>129</v>
      </c>
      <c r="I1033" s="98">
        <v>0.4</v>
      </c>
      <c r="J1033" s="27"/>
      <c r="K1033" s="29"/>
      <c r="L1033" s="29" t="s">
        <v>126</v>
      </c>
      <c r="M1033" s="29" t="s">
        <v>126</v>
      </c>
      <c r="N1033" s="29" t="s">
        <v>126</v>
      </c>
    </row>
    <row r="1034" spans="2:14" x14ac:dyDescent="0.25">
      <c r="B1034" s="27" t="s">
        <v>123</v>
      </c>
      <c r="C1034" s="28">
        <v>592875</v>
      </c>
      <c r="D1034" s="28" t="s">
        <v>862</v>
      </c>
      <c r="E1034" s="27" t="s">
        <v>32</v>
      </c>
      <c r="F1034" s="6" t="s">
        <v>1095</v>
      </c>
      <c r="G1034" s="28" t="s">
        <v>55</v>
      </c>
      <c r="H1034" s="28" t="s">
        <v>129</v>
      </c>
      <c r="I1034" s="98">
        <v>0.4</v>
      </c>
      <c r="J1034" s="27"/>
      <c r="K1034" s="29"/>
      <c r="L1034" s="29" t="s">
        <v>126</v>
      </c>
      <c r="M1034" s="29" t="s">
        <v>126</v>
      </c>
      <c r="N1034" s="29" t="s">
        <v>126</v>
      </c>
    </row>
    <row r="1035" spans="2:14" x14ac:dyDescent="0.25">
      <c r="B1035" s="27" t="s">
        <v>123</v>
      </c>
      <c r="C1035" s="28">
        <v>592876</v>
      </c>
      <c r="D1035" s="28" t="s">
        <v>863</v>
      </c>
      <c r="E1035" s="27" t="s">
        <v>32</v>
      </c>
      <c r="F1035" s="6" t="s">
        <v>1095</v>
      </c>
      <c r="G1035" s="28" t="s">
        <v>55</v>
      </c>
      <c r="H1035" s="28" t="s">
        <v>129</v>
      </c>
      <c r="I1035" s="98">
        <v>0.4</v>
      </c>
      <c r="J1035" s="27"/>
      <c r="K1035" s="29"/>
      <c r="L1035" s="29" t="s">
        <v>126</v>
      </c>
      <c r="M1035" s="29" t="s">
        <v>126</v>
      </c>
      <c r="N1035" s="29" t="s">
        <v>126</v>
      </c>
    </row>
    <row r="1036" spans="2:14" x14ac:dyDescent="0.25">
      <c r="B1036" s="27" t="s">
        <v>123</v>
      </c>
      <c r="C1036" s="28">
        <v>592877</v>
      </c>
      <c r="D1036" s="28" t="s">
        <v>864</v>
      </c>
      <c r="E1036" s="27" t="s">
        <v>32</v>
      </c>
      <c r="F1036" s="6" t="s">
        <v>1095</v>
      </c>
      <c r="G1036" s="28" t="s">
        <v>55</v>
      </c>
      <c r="H1036" s="28" t="s">
        <v>129</v>
      </c>
      <c r="I1036" s="98">
        <v>0.4</v>
      </c>
      <c r="J1036" s="27"/>
      <c r="K1036" s="29"/>
      <c r="L1036" s="29" t="s">
        <v>126</v>
      </c>
      <c r="M1036" s="29" t="s">
        <v>126</v>
      </c>
      <c r="N1036" s="29" t="s">
        <v>126</v>
      </c>
    </row>
    <row r="1037" spans="2:14" x14ac:dyDescent="0.25">
      <c r="B1037" s="27" t="s">
        <v>123</v>
      </c>
      <c r="C1037" s="28">
        <v>592878</v>
      </c>
      <c r="D1037" s="28" t="s">
        <v>865</v>
      </c>
      <c r="E1037" s="27" t="s">
        <v>32</v>
      </c>
      <c r="F1037" s="6" t="s">
        <v>1095</v>
      </c>
      <c r="G1037" s="28" t="s">
        <v>55</v>
      </c>
      <c r="H1037" s="28" t="s">
        <v>129</v>
      </c>
      <c r="I1037" s="98">
        <v>0.4</v>
      </c>
      <c r="J1037" s="27"/>
      <c r="K1037" s="29"/>
      <c r="L1037" s="29" t="s">
        <v>126</v>
      </c>
      <c r="M1037" s="29" t="s">
        <v>126</v>
      </c>
      <c r="N1037" s="29" t="s">
        <v>126</v>
      </c>
    </row>
    <row r="1038" spans="2:14" x14ac:dyDescent="0.25">
      <c r="B1038" s="27" t="s">
        <v>123</v>
      </c>
      <c r="C1038" s="28">
        <v>592879</v>
      </c>
      <c r="D1038" s="28" t="s">
        <v>866</v>
      </c>
      <c r="E1038" s="27" t="s">
        <v>32</v>
      </c>
      <c r="F1038" s="6" t="s">
        <v>1095</v>
      </c>
      <c r="G1038" s="28" t="s">
        <v>55</v>
      </c>
      <c r="H1038" s="28" t="s">
        <v>129</v>
      </c>
      <c r="I1038" s="98">
        <v>0.4</v>
      </c>
      <c r="J1038" s="27"/>
      <c r="K1038" s="29"/>
      <c r="L1038" s="29" t="s">
        <v>126</v>
      </c>
      <c r="M1038" s="29" t="s">
        <v>126</v>
      </c>
      <c r="N1038" s="29" t="s">
        <v>126</v>
      </c>
    </row>
    <row r="1039" spans="2:14" x14ac:dyDescent="0.25">
      <c r="B1039" s="27" t="s">
        <v>123</v>
      </c>
      <c r="C1039" s="28">
        <v>592880</v>
      </c>
      <c r="D1039" s="28" t="s">
        <v>867</v>
      </c>
      <c r="E1039" s="27" t="s">
        <v>32</v>
      </c>
      <c r="F1039" s="6" t="s">
        <v>1095</v>
      </c>
      <c r="G1039" s="28" t="s">
        <v>55</v>
      </c>
      <c r="H1039" s="28" t="s">
        <v>129</v>
      </c>
      <c r="I1039" s="98">
        <v>0.4</v>
      </c>
      <c r="J1039" s="27"/>
      <c r="K1039" s="29"/>
      <c r="L1039" s="29" t="s">
        <v>126</v>
      </c>
      <c r="M1039" s="29" t="s">
        <v>126</v>
      </c>
      <c r="N1039" s="29" t="s">
        <v>126</v>
      </c>
    </row>
    <row r="1040" spans="2:14" x14ac:dyDescent="0.25">
      <c r="B1040" s="27" t="s">
        <v>123</v>
      </c>
      <c r="C1040" s="28">
        <v>592881</v>
      </c>
      <c r="D1040" s="28" t="s">
        <v>868</v>
      </c>
      <c r="E1040" s="27" t="s">
        <v>32</v>
      </c>
      <c r="F1040" s="6" t="s">
        <v>1095</v>
      </c>
      <c r="G1040" s="28" t="s">
        <v>55</v>
      </c>
      <c r="H1040" s="28" t="s">
        <v>129</v>
      </c>
      <c r="I1040" s="98">
        <v>0.4</v>
      </c>
      <c r="J1040" s="27"/>
      <c r="K1040" s="29"/>
      <c r="L1040" s="29" t="s">
        <v>126</v>
      </c>
      <c r="M1040" s="29" t="s">
        <v>126</v>
      </c>
      <c r="N1040" s="29" t="s">
        <v>126</v>
      </c>
    </row>
    <row r="1041" spans="2:14" x14ac:dyDescent="0.25">
      <c r="B1041" s="27" t="s">
        <v>123</v>
      </c>
      <c r="C1041" s="28">
        <v>592882</v>
      </c>
      <c r="D1041" s="28" t="s">
        <v>869</v>
      </c>
      <c r="E1041" s="27" t="s">
        <v>32</v>
      </c>
      <c r="F1041" s="6" t="s">
        <v>1095</v>
      </c>
      <c r="G1041" s="28" t="s">
        <v>55</v>
      </c>
      <c r="H1041" s="28" t="s">
        <v>129</v>
      </c>
      <c r="I1041" s="98">
        <v>0.4</v>
      </c>
      <c r="J1041" s="27"/>
      <c r="K1041" s="29"/>
      <c r="L1041" s="29" t="s">
        <v>126</v>
      </c>
      <c r="M1041" s="29" t="s">
        <v>126</v>
      </c>
      <c r="N1041" s="29" t="s">
        <v>126</v>
      </c>
    </row>
    <row r="1042" spans="2:14" x14ac:dyDescent="0.25">
      <c r="B1042" s="27" t="s">
        <v>123</v>
      </c>
      <c r="C1042" s="28">
        <v>592883</v>
      </c>
      <c r="D1042" s="28" t="s">
        <v>870</v>
      </c>
      <c r="E1042" s="27" t="s">
        <v>32</v>
      </c>
      <c r="F1042" s="6" t="s">
        <v>1095</v>
      </c>
      <c r="G1042" s="28" t="s">
        <v>55</v>
      </c>
      <c r="H1042" s="28" t="s">
        <v>129</v>
      </c>
      <c r="I1042" s="98">
        <v>0.4</v>
      </c>
      <c r="J1042" s="27"/>
      <c r="K1042" s="29"/>
      <c r="L1042" s="29" t="s">
        <v>126</v>
      </c>
      <c r="M1042" s="29" t="s">
        <v>126</v>
      </c>
      <c r="N1042" s="29" t="s">
        <v>126</v>
      </c>
    </row>
    <row r="1043" spans="2:14" x14ac:dyDescent="0.25">
      <c r="B1043" s="27" t="s">
        <v>123</v>
      </c>
      <c r="C1043" s="28">
        <v>592884</v>
      </c>
      <c r="D1043" s="28" t="s">
        <v>871</v>
      </c>
      <c r="E1043" s="27" t="s">
        <v>32</v>
      </c>
      <c r="F1043" s="6" t="s">
        <v>1095</v>
      </c>
      <c r="G1043" s="28" t="s">
        <v>55</v>
      </c>
      <c r="H1043" s="28" t="s">
        <v>129</v>
      </c>
      <c r="I1043" s="98">
        <v>0.4</v>
      </c>
      <c r="J1043" s="27"/>
      <c r="K1043" s="29"/>
      <c r="L1043" s="29" t="s">
        <v>126</v>
      </c>
      <c r="M1043" s="29" t="s">
        <v>126</v>
      </c>
      <c r="N1043" s="29" t="s">
        <v>126</v>
      </c>
    </row>
    <row r="1044" spans="2:14" x14ac:dyDescent="0.25">
      <c r="B1044" s="27" t="s">
        <v>123</v>
      </c>
      <c r="C1044" s="28">
        <v>592886</v>
      </c>
      <c r="D1044" s="28" t="s">
        <v>872</v>
      </c>
      <c r="E1044" s="27" t="s">
        <v>32</v>
      </c>
      <c r="F1044" s="6" t="s">
        <v>1095</v>
      </c>
      <c r="G1044" s="28" t="s">
        <v>55</v>
      </c>
      <c r="H1044" s="28" t="s">
        <v>129</v>
      </c>
      <c r="I1044" s="98">
        <v>0.4</v>
      </c>
      <c r="J1044" s="27"/>
      <c r="K1044" s="29"/>
      <c r="L1044" s="29" t="s">
        <v>126</v>
      </c>
      <c r="M1044" s="29" t="s">
        <v>126</v>
      </c>
      <c r="N1044" s="29" t="s">
        <v>126</v>
      </c>
    </row>
    <row r="1045" spans="2:14" x14ac:dyDescent="0.25">
      <c r="B1045" s="27" t="s">
        <v>123</v>
      </c>
      <c r="C1045" s="28">
        <v>592888</v>
      </c>
      <c r="D1045" s="28" t="s">
        <v>873</v>
      </c>
      <c r="E1045" s="27" t="s">
        <v>32</v>
      </c>
      <c r="F1045" s="6" t="s">
        <v>1095</v>
      </c>
      <c r="G1045" s="28" t="s">
        <v>55</v>
      </c>
      <c r="H1045" s="28" t="s">
        <v>129</v>
      </c>
      <c r="I1045" s="98">
        <v>0.4</v>
      </c>
      <c r="J1045" s="27"/>
      <c r="K1045" s="29"/>
      <c r="L1045" s="29" t="s">
        <v>126</v>
      </c>
      <c r="M1045" s="29" t="s">
        <v>126</v>
      </c>
      <c r="N1045" s="29" t="s">
        <v>126</v>
      </c>
    </row>
    <row r="1046" spans="2:14" x14ac:dyDescent="0.25">
      <c r="B1046" s="27" t="s">
        <v>123</v>
      </c>
      <c r="C1046" s="28">
        <v>592890</v>
      </c>
      <c r="D1046" s="28" t="s">
        <v>874</v>
      </c>
      <c r="E1046" s="27" t="s">
        <v>32</v>
      </c>
      <c r="F1046" s="6" t="s">
        <v>1095</v>
      </c>
      <c r="G1046" s="28" t="s">
        <v>55</v>
      </c>
      <c r="H1046" s="28" t="s">
        <v>129</v>
      </c>
      <c r="I1046" s="98">
        <v>0.4</v>
      </c>
      <c r="J1046" s="27"/>
      <c r="K1046" s="29"/>
      <c r="L1046" s="29" t="s">
        <v>126</v>
      </c>
      <c r="M1046" s="29" t="s">
        <v>126</v>
      </c>
      <c r="N1046" s="29" t="s">
        <v>126</v>
      </c>
    </row>
    <row r="1047" spans="2:14" x14ac:dyDescent="0.25">
      <c r="B1047" s="27" t="s">
        <v>123</v>
      </c>
      <c r="C1047" s="28">
        <v>592891</v>
      </c>
      <c r="D1047" s="28" t="s">
        <v>875</v>
      </c>
      <c r="E1047" s="27" t="s">
        <v>32</v>
      </c>
      <c r="F1047" s="6" t="s">
        <v>1095</v>
      </c>
      <c r="G1047" s="28" t="s">
        <v>55</v>
      </c>
      <c r="H1047" s="28" t="s">
        <v>129</v>
      </c>
      <c r="I1047" s="98">
        <v>0.4</v>
      </c>
      <c r="J1047" s="27"/>
      <c r="K1047" s="29"/>
      <c r="L1047" s="29" t="s">
        <v>126</v>
      </c>
      <c r="M1047" s="29" t="s">
        <v>126</v>
      </c>
      <c r="N1047" s="29" t="s">
        <v>126</v>
      </c>
    </row>
    <row r="1048" spans="2:14" x14ac:dyDescent="0.25">
      <c r="B1048" s="27" t="s">
        <v>123</v>
      </c>
      <c r="C1048" s="28">
        <v>592893</v>
      </c>
      <c r="D1048" s="28" t="s">
        <v>876</v>
      </c>
      <c r="E1048" s="27" t="s">
        <v>32</v>
      </c>
      <c r="F1048" s="6" t="s">
        <v>1095</v>
      </c>
      <c r="G1048" s="28" t="s">
        <v>55</v>
      </c>
      <c r="H1048" s="28" t="s">
        <v>129</v>
      </c>
      <c r="I1048" s="98">
        <v>0.4</v>
      </c>
      <c r="J1048" s="27"/>
      <c r="K1048" s="29"/>
      <c r="L1048" s="29" t="s">
        <v>126</v>
      </c>
      <c r="M1048" s="29" t="s">
        <v>126</v>
      </c>
      <c r="N1048" s="29" t="s">
        <v>126</v>
      </c>
    </row>
    <row r="1049" spans="2:14" x14ac:dyDescent="0.25">
      <c r="B1049" s="27" t="s">
        <v>123</v>
      </c>
      <c r="C1049" s="28">
        <v>592895</v>
      </c>
      <c r="D1049" s="28" t="s">
        <v>877</v>
      </c>
      <c r="E1049" s="27" t="s">
        <v>32</v>
      </c>
      <c r="F1049" s="6" t="s">
        <v>1095</v>
      </c>
      <c r="G1049" s="28" t="s">
        <v>55</v>
      </c>
      <c r="H1049" s="28" t="s">
        <v>129</v>
      </c>
      <c r="I1049" s="98">
        <v>0.4</v>
      </c>
      <c r="J1049" s="27"/>
      <c r="K1049" s="29"/>
      <c r="L1049" s="29" t="s">
        <v>126</v>
      </c>
      <c r="M1049" s="29" t="s">
        <v>126</v>
      </c>
      <c r="N1049" s="29" t="s">
        <v>126</v>
      </c>
    </row>
    <row r="1050" spans="2:14" x14ac:dyDescent="0.25">
      <c r="B1050" s="27" t="s">
        <v>123</v>
      </c>
      <c r="C1050" s="28">
        <v>592898</v>
      </c>
      <c r="D1050" s="28" t="s">
        <v>878</v>
      </c>
      <c r="E1050" s="27" t="s">
        <v>32</v>
      </c>
      <c r="F1050" s="6" t="s">
        <v>1095</v>
      </c>
      <c r="G1050" s="28" t="s">
        <v>55</v>
      </c>
      <c r="H1050" s="28" t="s">
        <v>129</v>
      </c>
      <c r="I1050" s="98">
        <v>0.4</v>
      </c>
      <c r="J1050" s="27"/>
      <c r="K1050" s="29"/>
      <c r="L1050" s="29" t="s">
        <v>126</v>
      </c>
      <c r="M1050" s="29" t="s">
        <v>126</v>
      </c>
      <c r="N1050" s="29" t="s">
        <v>126</v>
      </c>
    </row>
    <row r="1051" spans="2:14" x14ac:dyDescent="0.25">
      <c r="B1051" s="27" t="s">
        <v>123</v>
      </c>
      <c r="C1051" s="28">
        <v>592900</v>
      </c>
      <c r="D1051" s="28" t="s">
        <v>879</v>
      </c>
      <c r="E1051" s="27" t="s">
        <v>32</v>
      </c>
      <c r="F1051" s="6" t="s">
        <v>1095</v>
      </c>
      <c r="G1051" s="28" t="s">
        <v>55</v>
      </c>
      <c r="H1051" s="28" t="s">
        <v>129</v>
      </c>
      <c r="I1051" s="98">
        <v>0.4</v>
      </c>
      <c r="J1051" s="27"/>
      <c r="K1051" s="29"/>
      <c r="L1051" s="29" t="s">
        <v>126</v>
      </c>
      <c r="M1051" s="29" t="s">
        <v>126</v>
      </c>
      <c r="N1051" s="29" t="s">
        <v>126</v>
      </c>
    </row>
    <row r="1052" spans="2:14" x14ac:dyDescent="0.25">
      <c r="B1052" s="27" t="s">
        <v>123</v>
      </c>
      <c r="C1052" s="28">
        <v>592903</v>
      </c>
      <c r="D1052" s="28" t="s">
        <v>880</v>
      </c>
      <c r="E1052" s="27" t="s">
        <v>32</v>
      </c>
      <c r="F1052" s="6" t="s">
        <v>1095</v>
      </c>
      <c r="G1052" s="28" t="s">
        <v>55</v>
      </c>
      <c r="H1052" s="28" t="s">
        <v>129</v>
      </c>
      <c r="I1052" s="98">
        <v>0.4</v>
      </c>
      <c r="J1052" s="27"/>
      <c r="K1052" s="29"/>
      <c r="L1052" s="29" t="s">
        <v>126</v>
      </c>
      <c r="M1052" s="29" t="s">
        <v>126</v>
      </c>
      <c r="N1052" s="29" t="s">
        <v>126</v>
      </c>
    </row>
    <row r="1053" spans="2:14" x14ac:dyDescent="0.25">
      <c r="B1053" s="27" t="s">
        <v>123</v>
      </c>
      <c r="C1053" s="28">
        <v>592904</v>
      </c>
      <c r="D1053" s="28" t="s">
        <v>881</v>
      </c>
      <c r="E1053" s="27" t="s">
        <v>32</v>
      </c>
      <c r="F1053" s="6" t="s">
        <v>1095</v>
      </c>
      <c r="G1053" s="28" t="s">
        <v>55</v>
      </c>
      <c r="H1053" s="28" t="s">
        <v>129</v>
      </c>
      <c r="I1053" s="98">
        <v>0.4</v>
      </c>
      <c r="J1053" s="27"/>
      <c r="K1053" s="29"/>
      <c r="L1053" s="29" t="s">
        <v>126</v>
      </c>
      <c r="M1053" s="29" t="s">
        <v>126</v>
      </c>
      <c r="N1053" s="29" t="s">
        <v>126</v>
      </c>
    </row>
    <row r="1054" spans="2:14" x14ac:dyDescent="0.25">
      <c r="B1054" s="27" t="s">
        <v>123</v>
      </c>
      <c r="C1054" s="28">
        <v>592905</v>
      </c>
      <c r="D1054" s="28" t="s">
        <v>882</v>
      </c>
      <c r="E1054" s="27" t="s">
        <v>32</v>
      </c>
      <c r="F1054" s="6" t="s">
        <v>1095</v>
      </c>
      <c r="G1054" s="28" t="s">
        <v>55</v>
      </c>
      <c r="H1054" s="28" t="s">
        <v>129</v>
      </c>
      <c r="I1054" s="98">
        <v>0.4</v>
      </c>
      <c r="J1054" s="27"/>
      <c r="K1054" s="29"/>
      <c r="L1054" s="29" t="s">
        <v>126</v>
      </c>
      <c r="M1054" s="29" t="s">
        <v>126</v>
      </c>
      <c r="N1054" s="29" t="s">
        <v>126</v>
      </c>
    </row>
    <row r="1055" spans="2:14" x14ac:dyDescent="0.25">
      <c r="B1055" s="27" t="s">
        <v>123</v>
      </c>
      <c r="C1055" s="28">
        <v>592906</v>
      </c>
      <c r="D1055" s="28" t="s">
        <v>883</v>
      </c>
      <c r="E1055" s="27" t="s">
        <v>32</v>
      </c>
      <c r="F1055" s="6" t="s">
        <v>1095</v>
      </c>
      <c r="G1055" s="28" t="s">
        <v>55</v>
      </c>
      <c r="H1055" s="28" t="s">
        <v>129</v>
      </c>
      <c r="I1055" s="98">
        <v>0.4</v>
      </c>
      <c r="J1055" s="27"/>
      <c r="K1055" s="29"/>
      <c r="L1055" s="29" t="s">
        <v>126</v>
      </c>
      <c r="M1055" s="29" t="s">
        <v>126</v>
      </c>
      <c r="N1055" s="29" t="s">
        <v>126</v>
      </c>
    </row>
    <row r="1056" spans="2:14" x14ac:dyDescent="0.25">
      <c r="B1056" s="27" t="s">
        <v>123</v>
      </c>
      <c r="C1056" s="28">
        <v>592907</v>
      </c>
      <c r="D1056" s="28" t="s">
        <v>884</v>
      </c>
      <c r="E1056" s="27" t="s">
        <v>32</v>
      </c>
      <c r="F1056" s="6" t="s">
        <v>1095</v>
      </c>
      <c r="G1056" s="28" t="s">
        <v>55</v>
      </c>
      <c r="H1056" s="28" t="s">
        <v>129</v>
      </c>
      <c r="I1056" s="98">
        <v>0.4</v>
      </c>
      <c r="J1056" s="27"/>
      <c r="K1056" s="29"/>
      <c r="L1056" s="29" t="s">
        <v>126</v>
      </c>
      <c r="M1056" s="29" t="s">
        <v>126</v>
      </c>
      <c r="N1056" s="29" t="s">
        <v>126</v>
      </c>
    </row>
    <row r="1057" spans="2:14" x14ac:dyDescent="0.25">
      <c r="B1057" s="27" t="s">
        <v>123</v>
      </c>
      <c r="C1057" s="28">
        <v>592908</v>
      </c>
      <c r="D1057" s="28" t="s">
        <v>885</v>
      </c>
      <c r="E1057" s="27" t="s">
        <v>32</v>
      </c>
      <c r="F1057" s="6" t="s">
        <v>1095</v>
      </c>
      <c r="G1057" s="28" t="s">
        <v>55</v>
      </c>
      <c r="H1057" s="28" t="s">
        <v>129</v>
      </c>
      <c r="I1057" s="98">
        <v>0.4</v>
      </c>
      <c r="J1057" s="27"/>
      <c r="K1057" s="29"/>
      <c r="L1057" s="29" t="s">
        <v>126</v>
      </c>
      <c r="M1057" s="29" t="s">
        <v>126</v>
      </c>
      <c r="N1057" s="29" t="s">
        <v>126</v>
      </c>
    </row>
    <row r="1058" spans="2:14" x14ac:dyDescent="0.25">
      <c r="B1058" s="27" t="s">
        <v>123</v>
      </c>
      <c r="C1058" s="28">
        <v>592909</v>
      </c>
      <c r="D1058" s="28" t="s">
        <v>886</v>
      </c>
      <c r="E1058" s="27" t="s">
        <v>32</v>
      </c>
      <c r="F1058" s="6" t="s">
        <v>1095</v>
      </c>
      <c r="G1058" s="28" t="s">
        <v>55</v>
      </c>
      <c r="H1058" s="28" t="s">
        <v>129</v>
      </c>
      <c r="I1058" s="98">
        <v>0.4</v>
      </c>
      <c r="J1058" s="27"/>
      <c r="K1058" s="29"/>
      <c r="L1058" s="29" t="s">
        <v>126</v>
      </c>
      <c r="M1058" s="29" t="s">
        <v>126</v>
      </c>
      <c r="N1058" s="29" t="s">
        <v>126</v>
      </c>
    </row>
    <row r="1059" spans="2:14" x14ac:dyDescent="0.25">
      <c r="B1059" s="27" t="s">
        <v>123</v>
      </c>
      <c r="C1059" s="28">
        <v>592910</v>
      </c>
      <c r="D1059" s="28" t="s">
        <v>887</v>
      </c>
      <c r="E1059" s="27" t="s">
        <v>32</v>
      </c>
      <c r="F1059" s="6" t="s">
        <v>1095</v>
      </c>
      <c r="G1059" s="28" t="s">
        <v>55</v>
      </c>
      <c r="H1059" s="28" t="s">
        <v>129</v>
      </c>
      <c r="I1059" s="98">
        <v>0.4</v>
      </c>
      <c r="J1059" s="27"/>
      <c r="K1059" s="29"/>
      <c r="L1059" s="29" t="s">
        <v>126</v>
      </c>
      <c r="M1059" s="29" t="s">
        <v>126</v>
      </c>
      <c r="N1059" s="29" t="s">
        <v>126</v>
      </c>
    </row>
    <row r="1060" spans="2:14" x14ac:dyDescent="0.25">
      <c r="B1060" s="27" t="s">
        <v>123</v>
      </c>
      <c r="C1060" s="28">
        <v>592911</v>
      </c>
      <c r="D1060" s="28" t="s">
        <v>888</v>
      </c>
      <c r="E1060" s="27" t="s">
        <v>32</v>
      </c>
      <c r="F1060" s="6" t="s">
        <v>1095</v>
      </c>
      <c r="G1060" s="28" t="s">
        <v>55</v>
      </c>
      <c r="H1060" s="28" t="s">
        <v>129</v>
      </c>
      <c r="I1060" s="98">
        <v>0.4</v>
      </c>
      <c r="J1060" s="27"/>
      <c r="K1060" s="29"/>
      <c r="L1060" s="29" t="s">
        <v>126</v>
      </c>
      <c r="M1060" s="29" t="s">
        <v>126</v>
      </c>
      <c r="N1060" s="29" t="s">
        <v>126</v>
      </c>
    </row>
    <row r="1061" spans="2:14" x14ac:dyDescent="0.25">
      <c r="B1061" s="27" t="s">
        <v>123</v>
      </c>
      <c r="C1061" s="28">
        <v>592912</v>
      </c>
      <c r="D1061" s="28" t="s">
        <v>889</v>
      </c>
      <c r="E1061" s="27" t="s">
        <v>32</v>
      </c>
      <c r="F1061" s="6" t="s">
        <v>1095</v>
      </c>
      <c r="G1061" s="28" t="s">
        <v>55</v>
      </c>
      <c r="H1061" s="28" t="s">
        <v>129</v>
      </c>
      <c r="I1061" s="98">
        <v>0.4</v>
      </c>
      <c r="J1061" s="27"/>
      <c r="K1061" s="29"/>
      <c r="L1061" s="29" t="s">
        <v>126</v>
      </c>
      <c r="M1061" s="29" t="s">
        <v>126</v>
      </c>
      <c r="N1061" s="29" t="s">
        <v>126</v>
      </c>
    </row>
    <row r="1062" spans="2:14" x14ac:dyDescent="0.25">
      <c r="B1062" s="27" t="s">
        <v>123</v>
      </c>
      <c r="C1062" s="28">
        <v>592913</v>
      </c>
      <c r="D1062" s="28" t="s">
        <v>890</v>
      </c>
      <c r="E1062" s="27" t="s">
        <v>32</v>
      </c>
      <c r="F1062" s="6" t="s">
        <v>1095</v>
      </c>
      <c r="G1062" s="28" t="s">
        <v>55</v>
      </c>
      <c r="H1062" s="28" t="s">
        <v>129</v>
      </c>
      <c r="I1062" s="98">
        <v>0.4</v>
      </c>
      <c r="J1062" s="27"/>
      <c r="K1062" s="29"/>
      <c r="L1062" s="29" t="s">
        <v>126</v>
      </c>
      <c r="M1062" s="29" t="s">
        <v>126</v>
      </c>
      <c r="N1062" s="29" t="s">
        <v>126</v>
      </c>
    </row>
    <row r="1063" spans="2:14" x14ac:dyDescent="0.25">
      <c r="B1063" s="27" t="s">
        <v>123</v>
      </c>
      <c r="C1063" s="28">
        <v>592914</v>
      </c>
      <c r="D1063" s="28" t="s">
        <v>891</v>
      </c>
      <c r="E1063" s="27" t="s">
        <v>32</v>
      </c>
      <c r="F1063" s="6" t="s">
        <v>1095</v>
      </c>
      <c r="G1063" s="28" t="s">
        <v>55</v>
      </c>
      <c r="H1063" s="28" t="s">
        <v>129</v>
      </c>
      <c r="I1063" s="98">
        <v>0.4</v>
      </c>
      <c r="J1063" s="27"/>
      <c r="K1063" s="29"/>
      <c r="L1063" s="29" t="s">
        <v>126</v>
      </c>
      <c r="M1063" s="29" t="s">
        <v>126</v>
      </c>
      <c r="N1063" s="29" t="s">
        <v>126</v>
      </c>
    </row>
    <row r="1064" spans="2:14" x14ac:dyDescent="0.25">
      <c r="B1064" s="27" t="s">
        <v>123</v>
      </c>
      <c r="C1064" s="28">
        <v>592915</v>
      </c>
      <c r="D1064" s="28" t="s">
        <v>892</v>
      </c>
      <c r="E1064" s="27" t="s">
        <v>32</v>
      </c>
      <c r="F1064" s="6" t="s">
        <v>1095</v>
      </c>
      <c r="G1064" s="28" t="s">
        <v>55</v>
      </c>
      <c r="H1064" s="28" t="s">
        <v>129</v>
      </c>
      <c r="I1064" s="98">
        <v>0.4</v>
      </c>
      <c r="J1064" s="27"/>
      <c r="K1064" s="29"/>
      <c r="L1064" s="29" t="s">
        <v>126</v>
      </c>
      <c r="M1064" s="29" t="s">
        <v>126</v>
      </c>
      <c r="N1064" s="29" t="s">
        <v>126</v>
      </c>
    </row>
    <row r="1065" spans="2:14" x14ac:dyDescent="0.25">
      <c r="B1065" s="27" t="s">
        <v>123</v>
      </c>
      <c r="C1065" s="28">
        <v>592916</v>
      </c>
      <c r="D1065" s="28" t="s">
        <v>893</v>
      </c>
      <c r="E1065" s="27" t="s">
        <v>32</v>
      </c>
      <c r="F1065" s="6" t="s">
        <v>1095</v>
      </c>
      <c r="G1065" s="28" t="s">
        <v>55</v>
      </c>
      <c r="H1065" s="28" t="s">
        <v>129</v>
      </c>
      <c r="I1065" s="98">
        <v>0.4</v>
      </c>
      <c r="J1065" s="27"/>
      <c r="K1065" s="29"/>
      <c r="L1065" s="29" t="s">
        <v>126</v>
      </c>
      <c r="M1065" s="29" t="s">
        <v>126</v>
      </c>
      <c r="N1065" s="29" t="s">
        <v>126</v>
      </c>
    </row>
    <row r="1066" spans="2:14" x14ac:dyDescent="0.25">
      <c r="B1066" s="27" t="s">
        <v>123</v>
      </c>
      <c r="C1066" s="28">
        <v>593927</v>
      </c>
      <c r="D1066" s="28" t="s">
        <v>894</v>
      </c>
      <c r="E1066" s="27" t="s">
        <v>32</v>
      </c>
      <c r="F1066" s="6" t="s">
        <v>1095</v>
      </c>
      <c r="G1066" s="28" t="s">
        <v>55</v>
      </c>
      <c r="H1066" s="28" t="s">
        <v>129</v>
      </c>
      <c r="I1066" s="98">
        <v>0.4</v>
      </c>
      <c r="J1066" s="27"/>
      <c r="K1066" s="29"/>
      <c r="L1066" s="29" t="s">
        <v>126</v>
      </c>
      <c r="M1066" s="29" t="s">
        <v>126</v>
      </c>
      <c r="N1066" s="29" t="s">
        <v>126</v>
      </c>
    </row>
    <row r="1067" spans="2:14" x14ac:dyDescent="0.25">
      <c r="B1067" s="27" t="s">
        <v>123</v>
      </c>
      <c r="C1067" s="28">
        <v>592917</v>
      </c>
      <c r="D1067" s="28" t="s">
        <v>895</v>
      </c>
      <c r="E1067" s="27" t="s">
        <v>32</v>
      </c>
      <c r="F1067" s="6" t="s">
        <v>1095</v>
      </c>
      <c r="G1067" s="28" t="s">
        <v>55</v>
      </c>
      <c r="H1067" s="28" t="s">
        <v>129</v>
      </c>
      <c r="I1067" s="98">
        <v>0.4</v>
      </c>
      <c r="J1067" s="27"/>
      <c r="K1067" s="29"/>
      <c r="L1067" s="29" t="s">
        <v>126</v>
      </c>
      <c r="M1067" s="29" t="s">
        <v>126</v>
      </c>
      <c r="N1067" s="29" t="s">
        <v>126</v>
      </c>
    </row>
    <row r="1068" spans="2:14" x14ac:dyDescent="0.25">
      <c r="B1068" s="27" t="s">
        <v>123</v>
      </c>
      <c r="C1068" s="28">
        <v>592919</v>
      </c>
      <c r="D1068" s="28" t="s">
        <v>896</v>
      </c>
      <c r="E1068" s="27" t="s">
        <v>32</v>
      </c>
      <c r="F1068" s="6" t="s">
        <v>1095</v>
      </c>
      <c r="G1068" s="28" t="s">
        <v>55</v>
      </c>
      <c r="H1068" s="28" t="s">
        <v>129</v>
      </c>
      <c r="I1068" s="98">
        <v>0.4</v>
      </c>
      <c r="J1068" s="27"/>
      <c r="K1068" s="29"/>
      <c r="L1068" s="29" t="s">
        <v>126</v>
      </c>
      <c r="M1068" s="29" t="s">
        <v>126</v>
      </c>
      <c r="N1068" s="29" t="s">
        <v>126</v>
      </c>
    </row>
    <row r="1069" spans="2:14" x14ac:dyDescent="0.25">
      <c r="B1069" s="27" t="s">
        <v>123</v>
      </c>
      <c r="C1069" s="28">
        <v>593928</v>
      </c>
      <c r="D1069" s="28" t="s">
        <v>897</v>
      </c>
      <c r="E1069" s="27" t="s">
        <v>32</v>
      </c>
      <c r="F1069" s="6" t="s">
        <v>1095</v>
      </c>
      <c r="G1069" s="28" t="s">
        <v>55</v>
      </c>
      <c r="H1069" s="28" t="s">
        <v>129</v>
      </c>
      <c r="I1069" s="98">
        <v>0.4</v>
      </c>
      <c r="J1069" s="27"/>
      <c r="K1069" s="29"/>
      <c r="L1069" s="29" t="s">
        <v>126</v>
      </c>
      <c r="M1069" s="29" t="s">
        <v>126</v>
      </c>
      <c r="N1069" s="29" t="s">
        <v>126</v>
      </c>
    </row>
    <row r="1070" spans="2:14" x14ac:dyDescent="0.25">
      <c r="B1070" s="27" t="s">
        <v>123</v>
      </c>
      <c r="C1070" s="28">
        <v>592920</v>
      </c>
      <c r="D1070" s="28" t="s">
        <v>898</v>
      </c>
      <c r="E1070" s="27" t="s">
        <v>32</v>
      </c>
      <c r="F1070" s="6" t="s">
        <v>1095</v>
      </c>
      <c r="G1070" s="28" t="s">
        <v>55</v>
      </c>
      <c r="H1070" s="28" t="s">
        <v>129</v>
      </c>
      <c r="I1070" s="98">
        <v>0.4</v>
      </c>
      <c r="J1070" s="27"/>
      <c r="K1070" s="29"/>
      <c r="L1070" s="29" t="s">
        <v>126</v>
      </c>
      <c r="M1070" s="29" t="s">
        <v>126</v>
      </c>
      <c r="N1070" s="29" t="s">
        <v>126</v>
      </c>
    </row>
    <row r="1071" spans="2:14" x14ac:dyDescent="0.25">
      <c r="B1071" s="27" t="s">
        <v>123</v>
      </c>
      <c r="C1071" s="28">
        <v>592922</v>
      </c>
      <c r="D1071" s="28" t="s">
        <v>899</v>
      </c>
      <c r="E1071" s="27" t="s">
        <v>32</v>
      </c>
      <c r="F1071" s="6" t="s">
        <v>1095</v>
      </c>
      <c r="G1071" s="28" t="s">
        <v>55</v>
      </c>
      <c r="H1071" s="28" t="s">
        <v>129</v>
      </c>
      <c r="I1071" s="98">
        <v>0.4</v>
      </c>
      <c r="J1071" s="27"/>
      <c r="K1071" s="29"/>
      <c r="L1071" s="29" t="s">
        <v>126</v>
      </c>
      <c r="M1071" s="29" t="s">
        <v>126</v>
      </c>
      <c r="N1071" s="29" t="s">
        <v>126</v>
      </c>
    </row>
    <row r="1072" spans="2:14" x14ac:dyDescent="0.25">
      <c r="B1072" s="27" t="s">
        <v>123</v>
      </c>
      <c r="C1072" s="28">
        <v>592923</v>
      </c>
      <c r="D1072" s="28" t="s">
        <v>900</v>
      </c>
      <c r="E1072" s="27" t="s">
        <v>32</v>
      </c>
      <c r="F1072" s="6" t="s">
        <v>1095</v>
      </c>
      <c r="G1072" s="28" t="s">
        <v>55</v>
      </c>
      <c r="H1072" s="28" t="s">
        <v>129</v>
      </c>
      <c r="I1072" s="98">
        <v>0.4</v>
      </c>
      <c r="J1072" s="27"/>
      <c r="K1072" s="29"/>
      <c r="L1072" s="29" t="s">
        <v>126</v>
      </c>
      <c r="M1072" s="29" t="s">
        <v>126</v>
      </c>
      <c r="N1072" s="29" t="s">
        <v>126</v>
      </c>
    </row>
    <row r="1073" spans="2:14" x14ac:dyDescent="0.25">
      <c r="B1073" s="27" t="s">
        <v>123</v>
      </c>
      <c r="C1073" s="28">
        <v>592924</v>
      </c>
      <c r="D1073" s="28" t="s">
        <v>901</v>
      </c>
      <c r="E1073" s="27" t="s">
        <v>32</v>
      </c>
      <c r="F1073" s="6" t="s">
        <v>1095</v>
      </c>
      <c r="G1073" s="28" t="s">
        <v>55</v>
      </c>
      <c r="H1073" s="28" t="s">
        <v>129</v>
      </c>
      <c r="I1073" s="98">
        <v>0.4</v>
      </c>
      <c r="J1073" s="27"/>
      <c r="K1073" s="29"/>
      <c r="L1073" s="29" t="s">
        <v>126</v>
      </c>
      <c r="M1073" s="29" t="s">
        <v>126</v>
      </c>
      <c r="N1073" s="29" t="s">
        <v>126</v>
      </c>
    </row>
    <row r="1074" spans="2:14" x14ac:dyDescent="0.25">
      <c r="B1074" s="27" t="s">
        <v>123</v>
      </c>
      <c r="C1074" s="28">
        <v>593929</v>
      </c>
      <c r="D1074" s="28" t="s">
        <v>902</v>
      </c>
      <c r="E1074" s="27" t="s">
        <v>32</v>
      </c>
      <c r="F1074" s="6" t="s">
        <v>1095</v>
      </c>
      <c r="G1074" s="28" t="s">
        <v>55</v>
      </c>
      <c r="H1074" s="28" t="s">
        <v>129</v>
      </c>
      <c r="I1074" s="98">
        <v>0.4</v>
      </c>
      <c r="J1074" s="27"/>
      <c r="K1074" s="29"/>
      <c r="L1074" s="29" t="s">
        <v>126</v>
      </c>
      <c r="M1074" s="29" t="s">
        <v>126</v>
      </c>
      <c r="N1074" s="29" t="s">
        <v>126</v>
      </c>
    </row>
    <row r="1075" spans="2:14" x14ac:dyDescent="0.25">
      <c r="B1075" s="27" t="s">
        <v>123</v>
      </c>
      <c r="C1075" s="28">
        <v>593930</v>
      </c>
      <c r="D1075" s="28" t="s">
        <v>903</v>
      </c>
      <c r="E1075" s="27" t="s">
        <v>32</v>
      </c>
      <c r="F1075" s="6" t="s">
        <v>1095</v>
      </c>
      <c r="G1075" s="28" t="s">
        <v>55</v>
      </c>
      <c r="H1075" s="28" t="s">
        <v>129</v>
      </c>
      <c r="I1075" s="98">
        <v>0.4</v>
      </c>
      <c r="J1075" s="27"/>
      <c r="K1075" s="29"/>
      <c r="L1075" s="29" t="s">
        <v>126</v>
      </c>
      <c r="M1075" s="29" t="s">
        <v>126</v>
      </c>
      <c r="N1075" s="29" t="s">
        <v>126</v>
      </c>
    </row>
    <row r="1076" spans="2:14" x14ac:dyDescent="0.25">
      <c r="B1076" s="27" t="s">
        <v>123</v>
      </c>
      <c r="C1076" s="28">
        <v>593931</v>
      </c>
      <c r="D1076" s="28" t="s">
        <v>904</v>
      </c>
      <c r="E1076" s="27" t="s">
        <v>32</v>
      </c>
      <c r="F1076" s="6" t="s">
        <v>1095</v>
      </c>
      <c r="G1076" s="28" t="s">
        <v>55</v>
      </c>
      <c r="H1076" s="28" t="s">
        <v>129</v>
      </c>
      <c r="I1076" s="98">
        <v>0.4</v>
      </c>
      <c r="J1076" s="27"/>
      <c r="K1076" s="29"/>
      <c r="L1076" s="29" t="s">
        <v>126</v>
      </c>
      <c r="M1076" s="29" t="s">
        <v>126</v>
      </c>
      <c r="N1076" s="29" t="s">
        <v>126</v>
      </c>
    </row>
    <row r="1077" spans="2:14" x14ac:dyDescent="0.25">
      <c r="B1077" s="27" t="s">
        <v>123</v>
      </c>
      <c r="C1077" s="28">
        <v>592925</v>
      </c>
      <c r="D1077" s="28" t="s">
        <v>905</v>
      </c>
      <c r="E1077" s="27" t="s">
        <v>32</v>
      </c>
      <c r="F1077" s="6" t="s">
        <v>1095</v>
      </c>
      <c r="G1077" s="28" t="s">
        <v>55</v>
      </c>
      <c r="H1077" s="28" t="s">
        <v>129</v>
      </c>
      <c r="I1077" s="98">
        <v>0.4</v>
      </c>
      <c r="J1077" s="27"/>
      <c r="K1077" s="29"/>
      <c r="L1077" s="29" t="s">
        <v>126</v>
      </c>
      <c r="M1077" s="29" t="s">
        <v>126</v>
      </c>
      <c r="N1077" s="29" t="s">
        <v>126</v>
      </c>
    </row>
    <row r="1078" spans="2:14" x14ac:dyDescent="0.25">
      <c r="B1078" s="27" t="s">
        <v>123</v>
      </c>
      <c r="C1078" s="28">
        <v>592926</v>
      </c>
      <c r="D1078" s="28" t="s">
        <v>906</v>
      </c>
      <c r="E1078" s="27" t="s">
        <v>32</v>
      </c>
      <c r="F1078" s="6" t="s">
        <v>1095</v>
      </c>
      <c r="G1078" s="28" t="s">
        <v>55</v>
      </c>
      <c r="H1078" s="28" t="s">
        <v>129</v>
      </c>
      <c r="I1078" s="98">
        <v>0.4</v>
      </c>
      <c r="J1078" s="27"/>
      <c r="K1078" s="29"/>
      <c r="L1078" s="29" t="s">
        <v>126</v>
      </c>
      <c r="M1078" s="29" t="s">
        <v>126</v>
      </c>
      <c r="N1078" s="29" t="s">
        <v>126</v>
      </c>
    </row>
    <row r="1079" spans="2:14" x14ac:dyDescent="0.25">
      <c r="B1079" s="27" t="s">
        <v>123</v>
      </c>
      <c r="C1079" s="28">
        <v>592927</v>
      </c>
      <c r="D1079" s="28" t="s">
        <v>907</v>
      </c>
      <c r="E1079" s="27" t="s">
        <v>32</v>
      </c>
      <c r="F1079" s="6" t="s">
        <v>1095</v>
      </c>
      <c r="G1079" s="28" t="s">
        <v>55</v>
      </c>
      <c r="H1079" s="28" t="s">
        <v>129</v>
      </c>
      <c r="I1079" s="98">
        <v>0.4</v>
      </c>
      <c r="J1079" s="27"/>
      <c r="K1079" s="29"/>
      <c r="L1079" s="29" t="s">
        <v>126</v>
      </c>
      <c r="M1079" s="29" t="s">
        <v>126</v>
      </c>
      <c r="N1079" s="29" t="s">
        <v>126</v>
      </c>
    </row>
    <row r="1080" spans="2:14" x14ac:dyDescent="0.25">
      <c r="B1080" s="27" t="s">
        <v>123</v>
      </c>
      <c r="C1080" s="28">
        <v>593932</v>
      </c>
      <c r="D1080" s="28" t="s">
        <v>908</v>
      </c>
      <c r="E1080" s="27" t="s">
        <v>32</v>
      </c>
      <c r="F1080" s="6" t="s">
        <v>1095</v>
      </c>
      <c r="G1080" s="28" t="s">
        <v>55</v>
      </c>
      <c r="H1080" s="28" t="s">
        <v>129</v>
      </c>
      <c r="I1080" s="98">
        <v>0.4</v>
      </c>
      <c r="J1080" s="27"/>
      <c r="K1080" s="29"/>
      <c r="L1080" s="29" t="s">
        <v>126</v>
      </c>
      <c r="M1080" s="29" t="s">
        <v>126</v>
      </c>
      <c r="N1080" s="29" t="s">
        <v>126</v>
      </c>
    </row>
    <row r="1081" spans="2:14" x14ac:dyDescent="0.25">
      <c r="B1081" s="27" t="s">
        <v>123</v>
      </c>
      <c r="C1081" s="28">
        <v>592931</v>
      </c>
      <c r="D1081" s="28" t="s">
        <v>909</v>
      </c>
      <c r="E1081" s="27" t="s">
        <v>32</v>
      </c>
      <c r="F1081" s="6" t="s">
        <v>1095</v>
      </c>
      <c r="G1081" s="28" t="s">
        <v>55</v>
      </c>
      <c r="H1081" s="28" t="s">
        <v>129</v>
      </c>
      <c r="I1081" s="98">
        <v>0.4</v>
      </c>
      <c r="J1081" s="27"/>
      <c r="K1081" s="29"/>
      <c r="L1081" s="29" t="s">
        <v>126</v>
      </c>
      <c r="M1081" s="29" t="s">
        <v>126</v>
      </c>
      <c r="N1081" s="29" t="s">
        <v>126</v>
      </c>
    </row>
    <row r="1082" spans="2:14" x14ac:dyDescent="0.25">
      <c r="B1082" s="27" t="s">
        <v>123</v>
      </c>
      <c r="C1082" s="28">
        <v>592933</v>
      </c>
      <c r="D1082" s="28" t="s">
        <v>910</v>
      </c>
      <c r="E1082" s="27" t="s">
        <v>32</v>
      </c>
      <c r="F1082" s="6" t="s">
        <v>1095</v>
      </c>
      <c r="G1082" s="28" t="s">
        <v>55</v>
      </c>
      <c r="H1082" s="28" t="s">
        <v>129</v>
      </c>
      <c r="I1082" s="98">
        <v>0.4</v>
      </c>
      <c r="J1082" s="27"/>
      <c r="K1082" s="29"/>
      <c r="L1082" s="29" t="s">
        <v>126</v>
      </c>
      <c r="M1082" s="29" t="s">
        <v>126</v>
      </c>
      <c r="N1082" s="29" t="s">
        <v>126</v>
      </c>
    </row>
    <row r="1083" spans="2:14" x14ac:dyDescent="0.25">
      <c r="B1083" s="27" t="s">
        <v>123</v>
      </c>
      <c r="C1083" s="28">
        <v>593933</v>
      </c>
      <c r="D1083" s="28" t="s">
        <v>911</v>
      </c>
      <c r="E1083" s="27" t="s">
        <v>32</v>
      </c>
      <c r="F1083" s="6" t="s">
        <v>1095</v>
      </c>
      <c r="G1083" s="28" t="s">
        <v>55</v>
      </c>
      <c r="H1083" s="28" t="s">
        <v>129</v>
      </c>
      <c r="I1083" s="98">
        <v>0.4</v>
      </c>
      <c r="J1083" s="27"/>
      <c r="K1083" s="29"/>
      <c r="L1083" s="29" t="s">
        <v>126</v>
      </c>
      <c r="M1083" s="29" t="s">
        <v>126</v>
      </c>
      <c r="N1083" s="29" t="s">
        <v>126</v>
      </c>
    </row>
    <row r="1084" spans="2:14" x14ac:dyDescent="0.25">
      <c r="B1084" s="27" t="s">
        <v>123</v>
      </c>
      <c r="C1084" s="28">
        <v>592934</v>
      </c>
      <c r="D1084" s="28" t="s">
        <v>912</v>
      </c>
      <c r="E1084" s="27" t="s">
        <v>32</v>
      </c>
      <c r="F1084" s="6" t="s">
        <v>1095</v>
      </c>
      <c r="G1084" s="28" t="s">
        <v>55</v>
      </c>
      <c r="H1084" s="28" t="s">
        <v>129</v>
      </c>
      <c r="I1084" s="98">
        <v>0.4</v>
      </c>
      <c r="J1084" s="27"/>
      <c r="K1084" s="29"/>
      <c r="L1084" s="29" t="s">
        <v>126</v>
      </c>
      <c r="M1084" s="29" t="s">
        <v>126</v>
      </c>
      <c r="N1084" s="29" t="s">
        <v>126</v>
      </c>
    </row>
    <row r="1085" spans="2:14" x14ac:dyDescent="0.25">
      <c r="B1085" s="27" t="s">
        <v>123</v>
      </c>
      <c r="C1085" s="28">
        <v>592936</v>
      </c>
      <c r="D1085" s="28" t="s">
        <v>913</v>
      </c>
      <c r="E1085" s="27" t="s">
        <v>32</v>
      </c>
      <c r="F1085" s="6" t="s">
        <v>1095</v>
      </c>
      <c r="G1085" s="28" t="s">
        <v>55</v>
      </c>
      <c r="H1085" s="28" t="s">
        <v>129</v>
      </c>
      <c r="I1085" s="98">
        <v>0.4</v>
      </c>
      <c r="J1085" s="27"/>
      <c r="K1085" s="29"/>
      <c r="L1085" s="29" t="s">
        <v>126</v>
      </c>
      <c r="M1085" s="29" t="s">
        <v>126</v>
      </c>
      <c r="N1085" s="29" t="s">
        <v>126</v>
      </c>
    </row>
    <row r="1086" spans="2:14" x14ac:dyDescent="0.25">
      <c r="B1086" s="27" t="s">
        <v>123</v>
      </c>
      <c r="C1086" s="28">
        <v>592937</v>
      </c>
      <c r="D1086" s="28" t="s">
        <v>914</v>
      </c>
      <c r="E1086" s="27" t="s">
        <v>32</v>
      </c>
      <c r="F1086" s="6" t="s">
        <v>1095</v>
      </c>
      <c r="G1086" s="28" t="s">
        <v>55</v>
      </c>
      <c r="H1086" s="28" t="s">
        <v>129</v>
      </c>
      <c r="I1086" s="98">
        <v>0.4</v>
      </c>
      <c r="J1086" s="27"/>
      <c r="K1086" s="29"/>
      <c r="L1086" s="29" t="s">
        <v>126</v>
      </c>
      <c r="M1086" s="29" t="s">
        <v>126</v>
      </c>
      <c r="N1086" s="29" t="s">
        <v>126</v>
      </c>
    </row>
    <row r="1087" spans="2:14" x14ac:dyDescent="0.25">
      <c r="B1087" s="27" t="s">
        <v>123</v>
      </c>
      <c r="C1087" s="28">
        <v>592938</v>
      </c>
      <c r="D1087" s="28" t="s">
        <v>915</v>
      </c>
      <c r="E1087" s="27" t="s">
        <v>32</v>
      </c>
      <c r="F1087" s="6" t="s">
        <v>1095</v>
      </c>
      <c r="G1087" s="28" t="s">
        <v>55</v>
      </c>
      <c r="H1087" s="28" t="s">
        <v>129</v>
      </c>
      <c r="I1087" s="98">
        <v>0.4</v>
      </c>
      <c r="J1087" s="27"/>
      <c r="K1087" s="29"/>
      <c r="L1087" s="29" t="s">
        <v>126</v>
      </c>
      <c r="M1087" s="29" t="s">
        <v>126</v>
      </c>
      <c r="N1087" s="29" t="s">
        <v>126</v>
      </c>
    </row>
    <row r="1088" spans="2:14" x14ac:dyDescent="0.25">
      <c r="B1088" s="27" t="s">
        <v>123</v>
      </c>
      <c r="C1088" s="28">
        <v>592939</v>
      </c>
      <c r="D1088" s="28" t="s">
        <v>916</v>
      </c>
      <c r="E1088" s="27" t="s">
        <v>32</v>
      </c>
      <c r="F1088" s="6" t="s">
        <v>1095</v>
      </c>
      <c r="G1088" s="28" t="s">
        <v>55</v>
      </c>
      <c r="H1088" s="28" t="s">
        <v>129</v>
      </c>
      <c r="I1088" s="98">
        <v>0.4</v>
      </c>
      <c r="J1088" s="27"/>
      <c r="K1088" s="29"/>
      <c r="L1088" s="29" t="s">
        <v>126</v>
      </c>
      <c r="M1088" s="29" t="s">
        <v>126</v>
      </c>
      <c r="N1088" s="29" t="s">
        <v>126</v>
      </c>
    </row>
    <row r="1089" spans="2:14" x14ac:dyDescent="0.25">
      <c r="B1089" s="27" t="s">
        <v>123</v>
      </c>
      <c r="C1089" s="28">
        <v>592940</v>
      </c>
      <c r="D1089" s="28" t="s">
        <v>917</v>
      </c>
      <c r="E1089" s="27" t="s">
        <v>32</v>
      </c>
      <c r="F1089" s="6" t="s">
        <v>1095</v>
      </c>
      <c r="G1089" s="28" t="s">
        <v>55</v>
      </c>
      <c r="H1089" s="28" t="s">
        <v>129</v>
      </c>
      <c r="I1089" s="98">
        <v>0.4</v>
      </c>
      <c r="J1089" s="27"/>
      <c r="K1089" s="29"/>
      <c r="L1089" s="29" t="s">
        <v>126</v>
      </c>
      <c r="M1089" s="29" t="s">
        <v>126</v>
      </c>
      <c r="N1089" s="29" t="s">
        <v>126</v>
      </c>
    </row>
    <row r="1090" spans="2:14" x14ac:dyDescent="0.25">
      <c r="B1090" s="27" t="s">
        <v>123</v>
      </c>
      <c r="C1090" s="28">
        <v>592941</v>
      </c>
      <c r="D1090" s="28" t="s">
        <v>918</v>
      </c>
      <c r="E1090" s="27" t="s">
        <v>32</v>
      </c>
      <c r="F1090" s="6" t="s">
        <v>1095</v>
      </c>
      <c r="G1090" s="28" t="s">
        <v>55</v>
      </c>
      <c r="H1090" s="28" t="s">
        <v>129</v>
      </c>
      <c r="I1090" s="98">
        <v>0.4</v>
      </c>
      <c r="J1090" s="27"/>
      <c r="K1090" s="29"/>
      <c r="L1090" s="29" t="s">
        <v>126</v>
      </c>
      <c r="M1090" s="29" t="s">
        <v>126</v>
      </c>
      <c r="N1090" s="29" t="s">
        <v>126</v>
      </c>
    </row>
    <row r="1091" spans="2:14" x14ac:dyDescent="0.25">
      <c r="B1091" s="27" t="s">
        <v>123</v>
      </c>
      <c r="C1091" s="28">
        <v>592942</v>
      </c>
      <c r="D1091" s="28" t="s">
        <v>919</v>
      </c>
      <c r="E1091" s="27" t="s">
        <v>32</v>
      </c>
      <c r="F1091" s="6" t="s">
        <v>1095</v>
      </c>
      <c r="G1091" s="28" t="s">
        <v>55</v>
      </c>
      <c r="H1091" s="28" t="s">
        <v>129</v>
      </c>
      <c r="I1091" s="98">
        <v>0.4</v>
      </c>
      <c r="J1091" s="27"/>
      <c r="K1091" s="29"/>
      <c r="L1091" s="29" t="s">
        <v>126</v>
      </c>
      <c r="M1091" s="29" t="s">
        <v>126</v>
      </c>
      <c r="N1091" s="29" t="s">
        <v>126</v>
      </c>
    </row>
    <row r="1092" spans="2:14" x14ac:dyDescent="0.25">
      <c r="B1092" s="27" t="s">
        <v>123</v>
      </c>
      <c r="C1092" s="28">
        <v>592944</v>
      </c>
      <c r="D1092" s="28" t="s">
        <v>920</v>
      </c>
      <c r="E1092" s="27" t="s">
        <v>32</v>
      </c>
      <c r="F1092" s="6" t="s">
        <v>1095</v>
      </c>
      <c r="G1092" s="28" t="s">
        <v>55</v>
      </c>
      <c r="H1092" s="28" t="s">
        <v>129</v>
      </c>
      <c r="I1092" s="98">
        <v>0.4</v>
      </c>
      <c r="J1092" s="27"/>
      <c r="K1092" s="29"/>
      <c r="L1092" s="29" t="s">
        <v>126</v>
      </c>
      <c r="M1092" s="29" t="s">
        <v>126</v>
      </c>
      <c r="N1092" s="29" t="s">
        <v>126</v>
      </c>
    </row>
    <row r="1093" spans="2:14" x14ac:dyDescent="0.25">
      <c r="B1093" s="27" t="s">
        <v>123</v>
      </c>
      <c r="C1093" s="28">
        <v>592946</v>
      </c>
      <c r="D1093" s="28" t="s">
        <v>921</v>
      </c>
      <c r="E1093" s="27" t="s">
        <v>32</v>
      </c>
      <c r="F1093" s="6" t="s">
        <v>1095</v>
      </c>
      <c r="G1093" s="28" t="s">
        <v>55</v>
      </c>
      <c r="H1093" s="28" t="s">
        <v>129</v>
      </c>
      <c r="I1093" s="98">
        <v>0.4</v>
      </c>
      <c r="J1093" s="27"/>
      <c r="K1093" s="29"/>
      <c r="L1093" s="29" t="s">
        <v>126</v>
      </c>
      <c r="M1093" s="29" t="s">
        <v>126</v>
      </c>
      <c r="N1093" s="29" t="s">
        <v>126</v>
      </c>
    </row>
    <row r="1094" spans="2:14" x14ac:dyDescent="0.25">
      <c r="B1094" s="27" t="s">
        <v>123</v>
      </c>
      <c r="C1094" s="28">
        <v>592948</v>
      </c>
      <c r="D1094" s="28" t="s">
        <v>922</v>
      </c>
      <c r="E1094" s="27" t="s">
        <v>32</v>
      </c>
      <c r="F1094" s="6" t="s">
        <v>1095</v>
      </c>
      <c r="G1094" s="28" t="s">
        <v>55</v>
      </c>
      <c r="H1094" s="28" t="s">
        <v>129</v>
      </c>
      <c r="I1094" s="98">
        <v>0.4</v>
      </c>
      <c r="J1094" s="27"/>
      <c r="K1094" s="29"/>
      <c r="L1094" s="29" t="s">
        <v>126</v>
      </c>
      <c r="M1094" s="29" t="s">
        <v>126</v>
      </c>
      <c r="N1094" s="29" t="s">
        <v>126</v>
      </c>
    </row>
    <row r="1095" spans="2:14" x14ac:dyDescent="0.25">
      <c r="B1095" s="27" t="s">
        <v>123</v>
      </c>
      <c r="C1095" s="28">
        <v>592950</v>
      </c>
      <c r="D1095" s="28" t="s">
        <v>923</v>
      </c>
      <c r="E1095" s="27" t="s">
        <v>32</v>
      </c>
      <c r="F1095" s="6" t="s">
        <v>1095</v>
      </c>
      <c r="G1095" s="28" t="s">
        <v>55</v>
      </c>
      <c r="H1095" s="28" t="s">
        <v>129</v>
      </c>
      <c r="I1095" s="98">
        <v>0.4</v>
      </c>
      <c r="J1095" s="27"/>
      <c r="K1095" s="29"/>
      <c r="L1095" s="29" t="s">
        <v>126</v>
      </c>
      <c r="M1095" s="29" t="s">
        <v>126</v>
      </c>
      <c r="N1095" s="29" t="s">
        <v>126</v>
      </c>
    </row>
    <row r="1096" spans="2:14" x14ac:dyDescent="0.25">
      <c r="B1096" s="27" t="s">
        <v>123</v>
      </c>
      <c r="C1096" s="28">
        <v>592952</v>
      </c>
      <c r="D1096" s="28" t="s">
        <v>924</v>
      </c>
      <c r="E1096" s="27" t="s">
        <v>32</v>
      </c>
      <c r="F1096" s="6" t="s">
        <v>1095</v>
      </c>
      <c r="G1096" s="28" t="s">
        <v>55</v>
      </c>
      <c r="H1096" s="28" t="s">
        <v>129</v>
      </c>
      <c r="I1096" s="98">
        <v>0.4</v>
      </c>
      <c r="J1096" s="27"/>
      <c r="K1096" s="29"/>
      <c r="L1096" s="29" t="s">
        <v>126</v>
      </c>
      <c r="M1096" s="29" t="s">
        <v>126</v>
      </c>
      <c r="N1096" s="29" t="s">
        <v>126</v>
      </c>
    </row>
    <row r="1097" spans="2:14" x14ac:dyDescent="0.25">
      <c r="B1097" s="27" t="s">
        <v>123</v>
      </c>
      <c r="C1097" s="28">
        <v>592955</v>
      </c>
      <c r="D1097" s="28" t="s">
        <v>925</v>
      </c>
      <c r="E1097" s="27" t="s">
        <v>32</v>
      </c>
      <c r="F1097" s="6" t="s">
        <v>1095</v>
      </c>
      <c r="G1097" s="28" t="s">
        <v>55</v>
      </c>
      <c r="H1097" s="28" t="s">
        <v>129</v>
      </c>
      <c r="I1097" s="98">
        <v>0.4</v>
      </c>
      <c r="J1097" s="27"/>
      <c r="K1097" s="29"/>
      <c r="L1097" s="29" t="s">
        <v>126</v>
      </c>
      <c r="M1097" s="29" t="s">
        <v>126</v>
      </c>
      <c r="N1097" s="29" t="s">
        <v>126</v>
      </c>
    </row>
    <row r="1098" spans="2:14" x14ac:dyDescent="0.25">
      <c r="B1098" s="27" t="s">
        <v>123</v>
      </c>
      <c r="C1098" s="28">
        <v>592957</v>
      </c>
      <c r="D1098" s="28" t="s">
        <v>926</v>
      </c>
      <c r="E1098" s="27" t="s">
        <v>32</v>
      </c>
      <c r="F1098" s="6" t="s">
        <v>1095</v>
      </c>
      <c r="G1098" s="28" t="s">
        <v>55</v>
      </c>
      <c r="H1098" s="28" t="s">
        <v>129</v>
      </c>
      <c r="I1098" s="98">
        <v>0.4</v>
      </c>
      <c r="J1098" s="27"/>
      <c r="K1098" s="29"/>
      <c r="L1098" s="29" t="s">
        <v>126</v>
      </c>
      <c r="M1098" s="29" t="s">
        <v>126</v>
      </c>
      <c r="N1098" s="29" t="s">
        <v>126</v>
      </c>
    </row>
    <row r="1099" spans="2:14" x14ac:dyDescent="0.25">
      <c r="B1099" s="27" t="s">
        <v>123</v>
      </c>
      <c r="C1099" s="28">
        <v>592959</v>
      </c>
      <c r="D1099" s="28" t="s">
        <v>927</v>
      </c>
      <c r="E1099" s="27" t="s">
        <v>32</v>
      </c>
      <c r="F1099" s="6" t="s">
        <v>1095</v>
      </c>
      <c r="G1099" s="28" t="s">
        <v>55</v>
      </c>
      <c r="H1099" s="28" t="s">
        <v>129</v>
      </c>
      <c r="I1099" s="98">
        <v>0.4</v>
      </c>
      <c r="J1099" s="27"/>
      <c r="K1099" s="29"/>
      <c r="L1099" s="29" t="s">
        <v>126</v>
      </c>
      <c r="M1099" s="29" t="s">
        <v>126</v>
      </c>
      <c r="N1099" s="29" t="s">
        <v>126</v>
      </c>
    </row>
    <row r="1100" spans="2:14" x14ac:dyDescent="0.25">
      <c r="B1100" s="27" t="s">
        <v>123</v>
      </c>
      <c r="C1100" s="28">
        <v>592961</v>
      </c>
      <c r="D1100" s="28" t="s">
        <v>928</v>
      </c>
      <c r="E1100" s="27" t="s">
        <v>32</v>
      </c>
      <c r="F1100" s="6" t="s">
        <v>1095</v>
      </c>
      <c r="G1100" s="28" t="s">
        <v>55</v>
      </c>
      <c r="H1100" s="28" t="s">
        <v>129</v>
      </c>
      <c r="I1100" s="98">
        <v>0.4</v>
      </c>
      <c r="J1100" s="27"/>
      <c r="K1100" s="29"/>
      <c r="L1100" s="29" t="s">
        <v>126</v>
      </c>
      <c r="M1100" s="29" t="s">
        <v>126</v>
      </c>
      <c r="N1100" s="29" t="s">
        <v>126</v>
      </c>
    </row>
    <row r="1101" spans="2:14" x14ac:dyDescent="0.25">
      <c r="B1101" s="27" t="s">
        <v>123</v>
      </c>
      <c r="C1101" s="28">
        <v>592963</v>
      </c>
      <c r="D1101" s="28" t="s">
        <v>929</v>
      </c>
      <c r="E1101" s="27" t="s">
        <v>32</v>
      </c>
      <c r="F1101" s="6" t="s">
        <v>1095</v>
      </c>
      <c r="G1101" s="28" t="s">
        <v>55</v>
      </c>
      <c r="H1101" s="28" t="s">
        <v>129</v>
      </c>
      <c r="I1101" s="98">
        <v>0.4</v>
      </c>
      <c r="J1101" s="27"/>
      <c r="K1101" s="29"/>
      <c r="L1101" s="29" t="s">
        <v>126</v>
      </c>
      <c r="M1101" s="29" t="s">
        <v>126</v>
      </c>
      <c r="N1101" s="29" t="s">
        <v>126</v>
      </c>
    </row>
    <row r="1102" spans="2:14" x14ac:dyDescent="0.25">
      <c r="B1102" s="27" t="s">
        <v>123</v>
      </c>
      <c r="C1102" s="28">
        <v>592965</v>
      </c>
      <c r="D1102" s="28" t="s">
        <v>930</v>
      </c>
      <c r="E1102" s="27" t="s">
        <v>32</v>
      </c>
      <c r="F1102" s="6" t="s">
        <v>1095</v>
      </c>
      <c r="G1102" s="28" t="s">
        <v>55</v>
      </c>
      <c r="H1102" s="28" t="s">
        <v>129</v>
      </c>
      <c r="I1102" s="98">
        <v>0.4</v>
      </c>
      <c r="J1102" s="27"/>
      <c r="K1102" s="29"/>
      <c r="L1102" s="29" t="s">
        <v>126</v>
      </c>
      <c r="M1102" s="29" t="s">
        <v>126</v>
      </c>
      <c r="N1102" s="29" t="s">
        <v>126</v>
      </c>
    </row>
    <row r="1103" spans="2:14" x14ac:dyDescent="0.25">
      <c r="B1103" s="27" t="s">
        <v>123</v>
      </c>
      <c r="C1103" s="28">
        <v>592967</v>
      </c>
      <c r="D1103" s="28" t="s">
        <v>931</v>
      </c>
      <c r="E1103" s="27" t="s">
        <v>32</v>
      </c>
      <c r="F1103" s="6" t="s">
        <v>1095</v>
      </c>
      <c r="G1103" s="28" t="s">
        <v>55</v>
      </c>
      <c r="H1103" s="28" t="s">
        <v>129</v>
      </c>
      <c r="I1103" s="98">
        <v>0.4</v>
      </c>
      <c r="J1103" s="27"/>
      <c r="K1103" s="29"/>
      <c r="L1103" s="29" t="s">
        <v>126</v>
      </c>
      <c r="M1103" s="29" t="s">
        <v>126</v>
      </c>
      <c r="N1103" s="29" t="s">
        <v>126</v>
      </c>
    </row>
    <row r="1104" spans="2:14" x14ac:dyDescent="0.25">
      <c r="B1104" s="27" t="s">
        <v>123</v>
      </c>
      <c r="C1104" s="28">
        <v>592969</v>
      </c>
      <c r="D1104" s="28" t="s">
        <v>932</v>
      </c>
      <c r="E1104" s="27" t="s">
        <v>32</v>
      </c>
      <c r="F1104" s="6" t="s">
        <v>1095</v>
      </c>
      <c r="G1104" s="28" t="s">
        <v>55</v>
      </c>
      <c r="H1104" s="28" t="s">
        <v>129</v>
      </c>
      <c r="I1104" s="98">
        <v>0.4</v>
      </c>
      <c r="J1104" s="27"/>
      <c r="K1104" s="29"/>
      <c r="L1104" s="29" t="s">
        <v>126</v>
      </c>
      <c r="M1104" s="29" t="s">
        <v>126</v>
      </c>
      <c r="N1104" s="29" t="s">
        <v>126</v>
      </c>
    </row>
    <row r="1105" spans="2:14" x14ac:dyDescent="0.25">
      <c r="B1105" s="27" t="s">
        <v>123</v>
      </c>
      <c r="C1105" s="28">
        <v>592971</v>
      </c>
      <c r="D1105" s="28" t="s">
        <v>933</v>
      </c>
      <c r="E1105" s="27" t="s">
        <v>32</v>
      </c>
      <c r="F1105" s="6" t="s">
        <v>1095</v>
      </c>
      <c r="G1105" s="28" t="s">
        <v>55</v>
      </c>
      <c r="H1105" s="28" t="s">
        <v>129</v>
      </c>
      <c r="I1105" s="98">
        <v>0.4</v>
      </c>
      <c r="J1105" s="27"/>
      <c r="K1105" s="29"/>
      <c r="L1105" s="29" t="s">
        <v>126</v>
      </c>
      <c r="M1105" s="29" t="s">
        <v>126</v>
      </c>
      <c r="N1105" s="29" t="s">
        <v>126</v>
      </c>
    </row>
    <row r="1106" spans="2:14" x14ac:dyDescent="0.25">
      <c r="B1106" s="27" t="s">
        <v>123</v>
      </c>
      <c r="C1106" s="28">
        <v>592973</v>
      </c>
      <c r="D1106" s="28" t="s">
        <v>934</v>
      </c>
      <c r="E1106" s="27" t="s">
        <v>32</v>
      </c>
      <c r="F1106" s="6" t="s">
        <v>1095</v>
      </c>
      <c r="G1106" s="28" t="s">
        <v>55</v>
      </c>
      <c r="H1106" s="28" t="s">
        <v>129</v>
      </c>
      <c r="I1106" s="98">
        <v>0.4</v>
      </c>
      <c r="J1106" s="27"/>
      <c r="K1106" s="29"/>
      <c r="L1106" s="29" t="s">
        <v>126</v>
      </c>
      <c r="M1106" s="29" t="s">
        <v>126</v>
      </c>
      <c r="N1106" s="29" t="s">
        <v>126</v>
      </c>
    </row>
    <row r="1107" spans="2:14" x14ac:dyDescent="0.25">
      <c r="B1107" s="27" t="s">
        <v>123</v>
      </c>
      <c r="C1107" s="28">
        <v>592975</v>
      </c>
      <c r="D1107" s="28" t="s">
        <v>935</v>
      </c>
      <c r="E1107" s="27" t="s">
        <v>32</v>
      </c>
      <c r="F1107" s="6" t="s">
        <v>1095</v>
      </c>
      <c r="G1107" s="28" t="s">
        <v>55</v>
      </c>
      <c r="H1107" s="28" t="s">
        <v>129</v>
      </c>
      <c r="I1107" s="98">
        <v>0.4</v>
      </c>
      <c r="J1107" s="27"/>
      <c r="K1107" s="29"/>
      <c r="L1107" s="29" t="s">
        <v>126</v>
      </c>
      <c r="M1107" s="29" t="s">
        <v>126</v>
      </c>
      <c r="N1107" s="29" t="s">
        <v>126</v>
      </c>
    </row>
    <row r="1108" spans="2:14" x14ac:dyDescent="0.25">
      <c r="B1108" s="27" t="s">
        <v>123</v>
      </c>
      <c r="C1108" s="28">
        <v>592977</v>
      </c>
      <c r="D1108" s="28" t="s">
        <v>936</v>
      </c>
      <c r="E1108" s="27" t="s">
        <v>32</v>
      </c>
      <c r="F1108" s="6" t="s">
        <v>1095</v>
      </c>
      <c r="G1108" s="28" t="s">
        <v>55</v>
      </c>
      <c r="H1108" s="28" t="s">
        <v>129</v>
      </c>
      <c r="I1108" s="98">
        <v>0.4</v>
      </c>
      <c r="J1108" s="27"/>
      <c r="K1108" s="29"/>
      <c r="L1108" s="29" t="s">
        <v>126</v>
      </c>
      <c r="M1108" s="29" t="s">
        <v>126</v>
      </c>
      <c r="N1108" s="29" t="s">
        <v>126</v>
      </c>
    </row>
    <row r="1109" spans="2:14" x14ac:dyDescent="0.25">
      <c r="B1109" s="27" t="s">
        <v>123</v>
      </c>
      <c r="C1109" s="28">
        <v>592979</v>
      </c>
      <c r="D1109" s="28" t="s">
        <v>937</v>
      </c>
      <c r="E1109" s="27" t="s">
        <v>32</v>
      </c>
      <c r="F1109" s="6" t="s">
        <v>1095</v>
      </c>
      <c r="G1109" s="28" t="s">
        <v>55</v>
      </c>
      <c r="H1109" s="28" t="s">
        <v>129</v>
      </c>
      <c r="I1109" s="98">
        <v>0.4</v>
      </c>
      <c r="J1109" s="27"/>
      <c r="K1109" s="29"/>
      <c r="L1109" s="29" t="s">
        <v>126</v>
      </c>
      <c r="M1109" s="29" t="s">
        <v>126</v>
      </c>
      <c r="N1109" s="29" t="s">
        <v>126</v>
      </c>
    </row>
    <row r="1110" spans="2:14" x14ac:dyDescent="0.25">
      <c r="B1110" s="27" t="s">
        <v>123</v>
      </c>
      <c r="C1110" s="28">
        <v>592981</v>
      </c>
      <c r="D1110" s="28" t="s">
        <v>938</v>
      </c>
      <c r="E1110" s="27" t="s">
        <v>32</v>
      </c>
      <c r="F1110" s="6" t="s">
        <v>1095</v>
      </c>
      <c r="G1110" s="28" t="s">
        <v>55</v>
      </c>
      <c r="H1110" s="28" t="s">
        <v>129</v>
      </c>
      <c r="I1110" s="98">
        <v>0.4</v>
      </c>
      <c r="J1110" s="27"/>
      <c r="K1110" s="29"/>
      <c r="L1110" s="29" t="s">
        <v>126</v>
      </c>
      <c r="M1110" s="29" t="s">
        <v>126</v>
      </c>
      <c r="N1110" s="29" t="s">
        <v>126</v>
      </c>
    </row>
    <row r="1111" spans="2:14" x14ac:dyDescent="0.25">
      <c r="B1111" s="27" t="s">
        <v>123</v>
      </c>
      <c r="C1111" s="28">
        <v>592983</v>
      </c>
      <c r="D1111" s="28" t="s">
        <v>939</v>
      </c>
      <c r="E1111" s="27" t="s">
        <v>32</v>
      </c>
      <c r="F1111" s="6" t="s">
        <v>1095</v>
      </c>
      <c r="G1111" s="28" t="s">
        <v>55</v>
      </c>
      <c r="H1111" s="28" t="s">
        <v>129</v>
      </c>
      <c r="I1111" s="98">
        <v>0.4</v>
      </c>
      <c r="J1111" s="27"/>
      <c r="K1111" s="29"/>
      <c r="L1111" s="29" t="s">
        <v>126</v>
      </c>
      <c r="M1111" s="29" t="s">
        <v>126</v>
      </c>
      <c r="N1111" s="29" t="s">
        <v>126</v>
      </c>
    </row>
    <row r="1112" spans="2:14" x14ac:dyDescent="0.25">
      <c r="B1112" s="27" t="s">
        <v>123</v>
      </c>
      <c r="C1112" s="28">
        <v>592985</v>
      </c>
      <c r="D1112" s="28" t="s">
        <v>940</v>
      </c>
      <c r="E1112" s="27" t="s">
        <v>32</v>
      </c>
      <c r="F1112" s="6" t="s">
        <v>1095</v>
      </c>
      <c r="G1112" s="28" t="s">
        <v>55</v>
      </c>
      <c r="H1112" s="28" t="s">
        <v>129</v>
      </c>
      <c r="I1112" s="98">
        <v>0.4</v>
      </c>
      <c r="J1112" s="27"/>
      <c r="K1112" s="29"/>
      <c r="L1112" s="29" t="s">
        <v>126</v>
      </c>
      <c r="M1112" s="29" t="s">
        <v>126</v>
      </c>
      <c r="N1112" s="29" t="s">
        <v>126</v>
      </c>
    </row>
    <row r="1113" spans="2:14" x14ac:dyDescent="0.25">
      <c r="B1113" s="27" t="s">
        <v>123</v>
      </c>
      <c r="C1113" s="28">
        <v>592987</v>
      </c>
      <c r="D1113" s="28" t="s">
        <v>941</v>
      </c>
      <c r="E1113" s="27" t="s">
        <v>32</v>
      </c>
      <c r="F1113" s="6" t="s">
        <v>1095</v>
      </c>
      <c r="G1113" s="28" t="s">
        <v>55</v>
      </c>
      <c r="H1113" s="28" t="s">
        <v>129</v>
      </c>
      <c r="I1113" s="98">
        <v>0.4</v>
      </c>
      <c r="J1113" s="27"/>
      <c r="K1113" s="29"/>
      <c r="L1113" s="29" t="s">
        <v>126</v>
      </c>
      <c r="M1113" s="29" t="s">
        <v>126</v>
      </c>
      <c r="N1113" s="29" t="s">
        <v>126</v>
      </c>
    </row>
    <row r="1114" spans="2:14" x14ac:dyDescent="0.25">
      <c r="B1114" s="27" t="s">
        <v>123</v>
      </c>
      <c r="C1114" s="28">
        <v>592989</v>
      </c>
      <c r="D1114" s="28" t="s">
        <v>942</v>
      </c>
      <c r="E1114" s="27" t="s">
        <v>32</v>
      </c>
      <c r="F1114" s="6" t="s">
        <v>1095</v>
      </c>
      <c r="G1114" s="28" t="s">
        <v>55</v>
      </c>
      <c r="H1114" s="28" t="s">
        <v>129</v>
      </c>
      <c r="I1114" s="98">
        <v>0.4</v>
      </c>
      <c r="J1114" s="27"/>
      <c r="K1114" s="29"/>
      <c r="L1114" s="29" t="s">
        <v>126</v>
      </c>
      <c r="M1114" s="29" t="s">
        <v>126</v>
      </c>
      <c r="N1114" s="29" t="s">
        <v>126</v>
      </c>
    </row>
    <row r="1115" spans="2:14" x14ac:dyDescent="0.25">
      <c r="B1115" s="27" t="s">
        <v>123</v>
      </c>
      <c r="C1115" s="28">
        <v>592991</v>
      </c>
      <c r="D1115" s="28" t="s">
        <v>943</v>
      </c>
      <c r="E1115" s="27" t="s">
        <v>32</v>
      </c>
      <c r="F1115" s="6" t="s">
        <v>1095</v>
      </c>
      <c r="G1115" s="28" t="s">
        <v>55</v>
      </c>
      <c r="H1115" s="28" t="s">
        <v>129</v>
      </c>
      <c r="I1115" s="98">
        <v>0.4</v>
      </c>
      <c r="J1115" s="27"/>
      <c r="K1115" s="29"/>
      <c r="L1115" s="29" t="s">
        <v>126</v>
      </c>
      <c r="M1115" s="29" t="s">
        <v>126</v>
      </c>
      <c r="N1115" s="29" t="s">
        <v>126</v>
      </c>
    </row>
    <row r="1116" spans="2:14" x14ac:dyDescent="0.25">
      <c r="B1116" s="27" t="s">
        <v>123</v>
      </c>
      <c r="C1116" s="28">
        <v>592993</v>
      </c>
      <c r="D1116" s="28" t="s">
        <v>944</v>
      </c>
      <c r="E1116" s="27" t="s">
        <v>32</v>
      </c>
      <c r="F1116" s="6" t="s">
        <v>1095</v>
      </c>
      <c r="G1116" s="28" t="s">
        <v>55</v>
      </c>
      <c r="H1116" s="28" t="s">
        <v>129</v>
      </c>
      <c r="I1116" s="98">
        <v>0.4</v>
      </c>
      <c r="J1116" s="27"/>
      <c r="K1116" s="29"/>
      <c r="L1116" s="29" t="s">
        <v>126</v>
      </c>
      <c r="M1116" s="29" t="s">
        <v>126</v>
      </c>
      <c r="N1116" s="29" t="s">
        <v>126</v>
      </c>
    </row>
    <row r="1117" spans="2:14" x14ac:dyDescent="0.25">
      <c r="B1117" s="27" t="s">
        <v>123</v>
      </c>
      <c r="C1117" s="28">
        <v>592995</v>
      </c>
      <c r="D1117" s="28" t="s">
        <v>945</v>
      </c>
      <c r="E1117" s="27" t="s">
        <v>32</v>
      </c>
      <c r="F1117" s="6" t="s">
        <v>1095</v>
      </c>
      <c r="G1117" s="28" t="s">
        <v>55</v>
      </c>
      <c r="H1117" s="28" t="s">
        <v>129</v>
      </c>
      <c r="I1117" s="98">
        <v>0.4</v>
      </c>
      <c r="J1117" s="27"/>
      <c r="K1117" s="29"/>
      <c r="L1117" s="29" t="s">
        <v>126</v>
      </c>
      <c r="M1117" s="29" t="s">
        <v>126</v>
      </c>
      <c r="N1117" s="29" t="s">
        <v>126</v>
      </c>
    </row>
    <row r="1118" spans="2:14" x14ac:dyDescent="0.25">
      <c r="B1118" s="27" t="s">
        <v>123</v>
      </c>
      <c r="C1118" s="28">
        <v>592997</v>
      </c>
      <c r="D1118" s="28" t="s">
        <v>946</v>
      </c>
      <c r="E1118" s="27" t="s">
        <v>32</v>
      </c>
      <c r="F1118" s="6" t="s">
        <v>1095</v>
      </c>
      <c r="G1118" s="28" t="s">
        <v>55</v>
      </c>
      <c r="H1118" s="28" t="s">
        <v>129</v>
      </c>
      <c r="I1118" s="98">
        <v>0.4</v>
      </c>
      <c r="J1118" s="27"/>
      <c r="K1118" s="29"/>
      <c r="L1118" s="29" t="s">
        <v>126</v>
      </c>
      <c r="M1118" s="29" t="s">
        <v>126</v>
      </c>
      <c r="N1118" s="29" t="s">
        <v>126</v>
      </c>
    </row>
    <row r="1119" spans="2:14" x14ac:dyDescent="0.25">
      <c r="B1119" s="27" t="s">
        <v>123</v>
      </c>
      <c r="C1119" s="28">
        <v>592999</v>
      </c>
      <c r="D1119" s="28" t="s">
        <v>947</v>
      </c>
      <c r="E1119" s="27" t="s">
        <v>32</v>
      </c>
      <c r="F1119" s="6" t="s">
        <v>1095</v>
      </c>
      <c r="G1119" s="28" t="s">
        <v>55</v>
      </c>
      <c r="H1119" s="28" t="s">
        <v>129</v>
      </c>
      <c r="I1119" s="98">
        <v>0.4</v>
      </c>
      <c r="J1119" s="27"/>
      <c r="K1119" s="29"/>
      <c r="L1119" s="29" t="s">
        <v>126</v>
      </c>
      <c r="M1119" s="29" t="s">
        <v>126</v>
      </c>
      <c r="N1119" s="29" t="s">
        <v>126</v>
      </c>
    </row>
    <row r="1120" spans="2:14" x14ac:dyDescent="0.25">
      <c r="B1120" s="27" t="s">
        <v>123</v>
      </c>
      <c r="C1120" s="28">
        <v>593001</v>
      </c>
      <c r="D1120" s="28" t="s">
        <v>948</v>
      </c>
      <c r="E1120" s="27" t="s">
        <v>32</v>
      </c>
      <c r="F1120" s="6" t="s">
        <v>1095</v>
      </c>
      <c r="G1120" s="28" t="s">
        <v>55</v>
      </c>
      <c r="H1120" s="28" t="s">
        <v>129</v>
      </c>
      <c r="I1120" s="98">
        <v>0.4</v>
      </c>
      <c r="J1120" s="27"/>
      <c r="K1120" s="29"/>
      <c r="L1120" s="29" t="s">
        <v>126</v>
      </c>
      <c r="M1120" s="29" t="s">
        <v>126</v>
      </c>
      <c r="N1120" s="29" t="s">
        <v>126</v>
      </c>
    </row>
    <row r="1121" spans="2:14" x14ac:dyDescent="0.25">
      <c r="B1121" s="27" t="s">
        <v>123</v>
      </c>
      <c r="C1121" s="28">
        <v>593002</v>
      </c>
      <c r="D1121" s="28" t="s">
        <v>949</v>
      </c>
      <c r="E1121" s="27" t="s">
        <v>32</v>
      </c>
      <c r="F1121" s="6" t="s">
        <v>1095</v>
      </c>
      <c r="G1121" s="28" t="s">
        <v>55</v>
      </c>
      <c r="H1121" s="28" t="s">
        <v>129</v>
      </c>
      <c r="I1121" s="98">
        <v>0.4</v>
      </c>
      <c r="J1121" s="27"/>
      <c r="K1121" s="29"/>
      <c r="L1121" s="29" t="s">
        <v>126</v>
      </c>
      <c r="M1121" s="29" t="s">
        <v>126</v>
      </c>
      <c r="N1121" s="29" t="s">
        <v>126</v>
      </c>
    </row>
    <row r="1122" spans="2:14" x14ac:dyDescent="0.25">
      <c r="B1122" s="27" t="s">
        <v>123</v>
      </c>
      <c r="C1122" s="28">
        <v>593003</v>
      </c>
      <c r="D1122" s="28" t="s">
        <v>950</v>
      </c>
      <c r="E1122" s="27" t="s">
        <v>32</v>
      </c>
      <c r="F1122" s="6" t="s">
        <v>1095</v>
      </c>
      <c r="G1122" s="28" t="s">
        <v>55</v>
      </c>
      <c r="H1122" s="28" t="s">
        <v>129</v>
      </c>
      <c r="I1122" s="98">
        <v>0.4</v>
      </c>
      <c r="J1122" s="27"/>
      <c r="K1122" s="29"/>
      <c r="L1122" s="29" t="s">
        <v>126</v>
      </c>
      <c r="M1122" s="29" t="s">
        <v>126</v>
      </c>
      <c r="N1122" s="29" t="s">
        <v>126</v>
      </c>
    </row>
    <row r="1123" spans="2:14" x14ac:dyDescent="0.25">
      <c r="B1123" s="27" t="s">
        <v>123</v>
      </c>
      <c r="C1123" s="28">
        <v>593004</v>
      </c>
      <c r="D1123" s="28" t="s">
        <v>951</v>
      </c>
      <c r="E1123" s="27" t="s">
        <v>32</v>
      </c>
      <c r="F1123" s="6" t="s">
        <v>1095</v>
      </c>
      <c r="G1123" s="28" t="s">
        <v>55</v>
      </c>
      <c r="H1123" s="28" t="s">
        <v>129</v>
      </c>
      <c r="I1123" s="98">
        <v>0.4</v>
      </c>
      <c r="J1123" s="27"/>
      <c r="K1123" s="29"/>
      <c r="L1123" s="29" t="s">
        <v>126</v>
      </c>
      <c r="M1123" s="29" t="s">
        <v>126</v>
      </c>
      <c r="N1123" s="29" t="s">
        <v>126</v>
      </c>
    </row>
    <row r="1124" spans="2:14" x14ac:dyDescent="0.25">
      <c r="B1124" s="27" t="s">
        <v>123</v>
      </c>
      <c r="C1124" s="28">
        <v>593005</v>
      </c>
      <c r="D1124" s="28" t="s">
        <v>952</v>
      </c>
      <c r="E1124" s="27" t="s">
        <v>32</v>
      </c>
      <c r="F1124" s="6" t="s">
        <v>1095</v>
      </c>
      <c r="G1124" s="28" t="s">
        <v>55</v>
      </c>
      <c r="H1124" s="28" t="s">
        <v>129</v>
      </c>
      <c r="I1124" s="98">
        <v>0.4</v>
      </c>
      <c r="J1124" s="27"/>
      <c r="K1124" s="29"/>
      <c r="L1124" s="29" t="s">
        <v>126</v>
      </c>
      <c r="M1124" s="29" t="s">
        <v>126</v>
      </c>
      <c r="N1124" s="29" t="s">
        <v>126</v>
      </c>
    </row>
    <row r="1125" spans="2:14" x14ac:dyDescent="0.25">
      <c r="B1125" s="27" t="s">
        <v>123</v>
      </c>
      <c r="C1125" s="28">
        <v>593006</v>
      </c>
      <c r="D1125" s="28" t="s">
        <v>953</v>
      </c>
      <c r="E1125" s="27" t="s">
        <v>32</v>
      </c>
      <c r="F1125" s="6" t="s">
        <v>1095</v>
      </c>
      <c r="G1125" s="28" t="s">
        <v>55</v>
      </c>
      <c r="H1125" s="28" t="s">
        <v>129</v>
      </c>
      <c r="I1125" s="98">
        <v>0.4</v>
      </c>
      <c r="J1125" s="27"/>
      <c r="K1125" s="29"/>
      <c r="L1125" s="29" t="s">
        <v>126</v>
      </c>
      <c r="M1125" s="29" t="s">
        <v>126</v>
      </c>
      <c r="N1125" s="29" t="s">
        <v>126</v>
      </c>
    </row>
    <row r="1126" spans="2:14" x14ac:dyDescent="0.25">
      <c r="B1126" s="27" t="s">
        <v>123</v>
      </c>
      <c r="C1126" s="28">
        <v>593007</v>
      </c>
      <c r="D1126" s="28" t="s">
        <v>954</v>
      </c>
      <c r="E1126" s="27" t="s">
        <v>32</v>
      </c>
      <c r="F1126" s="6" t="s">
        <v>1095</v>
      </c>
      <c r="G1126" s="28" t="s">
        <v>55</v>
      </c>
      <c r="H1126" s="28" t="s">
        <v>129</v>
      </c>
      <c r="I1126" s="98">
        <v>0.4</v>
      </c>
      <c r="J1126" s="27"/>
      <c r="K1126" s="29"/>
      <c r="L1126" s="29" t="s">
        <v>126</v>
      </c>
      <c r="M1126" s="29" t="s">
        <v>126</v>
      </c>
      <c r="N1126" s="29" t="s">
        <v>126</v>
      </c>
    </row>
    <row r="1127" spans="2:14" x14ac:dyDescent="0.25">
      <c r="B1127" s="27" t="s">
        <v>123</v>
      </c>
      <c r="C1127" s="28">
        <v>593008</v>
      </c>
      <c r="D1127" s="28" t="s">
        <v>955</v>
      </c>
      <c r="E1127" s="27" t="s">
        <v>32</v>
      </c>
      <c r="F1127" s="6" t="s">
        <v>1095</v>
      </c>
      <c r="G1127" s="28" t="s">
        <v>55</v>
      </c>
      <c r="H1127" s="28" t="s">
        <v>129</v>
      </c>
      <c r="I1127" s="98">
        <v>0.4</v>
      </c>
      <c r="J1127" s="27"/>
      <c r="K1127" s="29"/>
      <c r="L1127" s="29" t="s">
        <v>126</v>
      </c>
      <c r="M1127" s="29" t="s">
        <v>126</v>
      </c>
      <c r="N1127" s="29" t="s">
        <v>126</v>
      </c>
    </row>
    <row r="1128" spans="2:14" x14ac:dyDescent="0.25">
      <c r="B1128" s="27" t="s">
        <v>123</v>
      </c>
      <c r="C1128" s="28">
        <v>593009</v>
      </c>
      <c r="D1128" s="28" t="s">
        <v>956</v>
      </c>
      <c r="E1128" s="27" t="s">
        <v>32</v>
      </c>
      <c r="F1128" s="6" t="s">
        <v>1095</v>
      </c>
      <c r="G1128" s="28" t="s">
        <v>55</v>
      </c>
      <c r="H1128" s="28" t="s">
        <v>129</v>
      </c>
      <c r="I1128" s="98">
        <v>0.4</v>
      </c>
      <c r="J1128" s="27"/>
      <c r="K1128" s="29"/>
      <c r="L1128" s="29" t="s">
        <v>126</v>
      </c>
      <c r="M1128" s="29" t="s">
        <v>126</v>
      </c>
      <c r="N1128" s="29" t="s">
        <v>126</v>
      </c>
    </row>
    <row r="1129" spans="2:14" x14ac:dyDescent="0.25">
      <c r="B1129" s="27" t="s">
        <v>123</v>
      </c>
      <c r="C1129" s="28">
        <v>593010</v>
      </c>
      <c r="D1129" s="28" t="s">
        <v>957</v>
      </c>
      <c r="E1129" s="27" t="s">
        <v>32</v>
      </c>
      <c r="F1129" s="6" t="s">
        <v>1095</v>
      </c>
      <c r="G1129" s="28" t="s">
        <v>55</v>
      </c>
      <c r="H1129" s="28" t="s">
        <v>129</v>
      </c>
      <c r="I1129" s="98">
        <v>0.4</v>
      </c>
      <c r="J1129" s="27"/>
      <c r="K1129" s="29"/>
      <c r="L1129" s="29" t="s">
        <v>126</v>
      </c>
      <c r="M1129" s="29" t="s">
        <v>126</v>
      </c>
      <c r="N1129" s="29" t="s">
        <v>126</v>
      </c>
    </row>
    <row r="1130" spans="2:14" x14ac:dyDescent="0.25">
      <c r="B1130" s="27" t="s">
        <v>123</v>
      </c>
      <c r="C1130" s="28">
        <v>593011</v>
      </c>
      <c r="D1130" s="28" t="s">
        <v>958</v>
      </c>
      <c r="E1130" s="27" t="s">
        <v>32</v>
      </c>
      <c r="F1130" s="6" t="s">
        <v>1095</v>
      </c>
      <c r="G1130" s="28" t="s">
        <v>55</v>
      </c>
      <c r="H1130" s="28" t="s">
        <v>129</v>
      </c>
      <c r="I1130" s="98">
        <v>0.4</v>
      </c>
      <c r="J1130" s="27"/>
      <c r="K1130" s="29"/>
      <c r="L1130" s="29" t="s">
        <v>126</v>
      </c>
      <c r="M1130" s="29" t="s">
        <v>126</v>
      </c>
      <c r="N1130" s="29" t="s">
        <v>126</v>
      </c>
    </row>
    <row r="1131" spans="2:14" x14ac:dyDescent="0.25">
      <c r="B1131" s="27" t="s">
        <v>123</v>
      </c>
      <c r="C1131" s="28">
        <v>593012</v>
      </c>
      <c r="D1131" s="28" t="s">
        <v>959</v>
      </c>
      <c r="E1131" s="27" t="s">
        <v>32</v>
      </c>
      <c r="F1131" s="6" t="s">
        <v>1095</v>
      </c>
      <c r="G1131" s="28" t="s">
        <v>55</v>
      </c>
      <c r="H1131" s="28" t="s">
        <v>129</v>
      </c>
      <c r="I1131" s="98">
        <v>0.4</v>
      </c>
      <c r="J1131" s="27"/>
      <c r="K1131" s="29"/>
      <c r="L1131" s="29" t="s">
        <v>126</v>
      </c>
      <c r="M1131" s="29" t="s">
        <v>126</v>
      </c>
      <c r="N1131" s="29" t="s">
        <v>126</v>
      </c>
    </row>
    <row r="1132" spans="2:14" x14ac:dyDescent="0.25">
      <c r="B1132" s="27" t="s">
        <v>123</v>
      </c>
      <c r="C1132" s="28">
        <v>593013</v>
      </c>
      <c r="D1132" s="28" t="s">
        <v>960</v>
      </c>
      <c r="E1132" s="27" t="s">
        <v>32</v>
      </c>
      <c r="F1132" s="6" t="s">
        <v>1095</v>
      </c>
      <c r="G1132" s="28" t="s">
        <v>55</v>
      </c>
      <c r="H1132" s="28" t="s">
        <v>129</v>
      </c>
      <c r="I1132" s="98">
        <v>0.4</v>
      </c>
      <c r="J1132" s="27"/>
      <c r="K1132" s="29"/>
      <c r="L1132" s="29" t="s">
        <v>126</v>
      </c>
      <c r="M1132" s="29" t="s">
        <v>126</v>
      </c>
      <c r="N1132" s="29" t="s">
        <v>126</v>
      </c>
    </row>
    <row r="1133" spans="2:14" x14ac:dyDescent="0.25">
      <c r="B1133" s="27" t="s">
        <v>123</v>
      </c>
      <c r="C1133" s="28">
        <v>593014</v>
      </c>
      <c r="D1133" s="28" t="s">
        <v>961</v>
      </c>
      <c r="E1133" s="27" t="s">
        <v>32</v>
      </c>
      <c r="F1133" s="6" t="s">
        <v>1095</v>
      </c>
      <c r="G1133" s="28" t="s">
        <v>55</v>
      </c>
      <c r="H1133" s="28" t="s">
        <v>129</v>
      </c>
      <c r="I1133" s="98">
        <v>0.4</v>
      </c>
      <c r="J1133" s="27"/>
      <c r="K1133" s="29"/>
      <c r="L1133" s="29" t="s">
        <v>126</v>
      </c>
      <c r="M1133" s="29" t="s">
        <v>126</v>
      </c>
      <c r="N1133" s="29" t="s">
        <v>126</v>
      </c>
    </row>
    <row r="1134" spans="2:14" x14ac:dyDescent="0.25">
      <c r="B1134" s="27" t="s">
        <v>123</v>
      </c>
      <c r="C1134" s="28">
        <v>593015</v>
      </c>
      <c r="D1134" s="28" t="s">
        <v>962</v>
      </c>
      <c r="E1134" s="27" t="s">
        <v>32</v>
      </c>
      <c r="F1134" s="6" t="s">
        <v>1095</v>
      </c>
      <c r="G1134" s="28" t="s">
        <v>55</v>
      </c>
      <c r="H1134" s="28" t="s">
        <v>129</v>
      </c>
      <c r="I1134" s="98">
        <v>0.4</v>
      </c>
      <c r="J1134" s="27"/>
      <c r="K1134" s="29"/>
      <c r="L1134" s="29" t="s">
        <v>126</v>
      </c>
      <c r="M1134" s="29" t="s">
        <v>126</v>
      </c>
      <c r="N1134" s="29" t="s">
        <v>126</v>
      </c>
    </row>
    <row r="1135" spans="2:14" x14ac:dyDescent="0.25">
      <c r="B1135" s="27" t="s">
        <v>123</v>
      </c>
      <c r="C1135" s="28">
        <v>593016</v>
      </c>
      <c r="D1135" s="28" t="s">
        <v>963</v>
      </c>
      <c r="E1135" s="27" t="s">
        <v>32</v>
      </c>
      <c r="F1135" s="6" t="s">
        <v>1095</v>
      </c>
      <c r="G1135" s="28" t="s">
        <v>55</v>
      </c>
      <c r="H1135" s="28" t="s">
        <v>129</v>
      </c>
      <c r="I1135" s="98">
        <v>0.4</v>
      </c>
      <c r="J1135" s="27"/>
      <c r="K1135" s="29"/>
      <c r="L1135" s="29" t="s">
        <v>126</v>
      </c>
      <c r="M1135" s="29" t="s">
        <v>126</v>
      </c>
      <c r="N1135" s="29" t="s">
        <v>126</v>
      </c>
    </row>
    <row r="1136" spans="2:14" x14ac:dyDescent="0.25">
      <c r="B1136" s="27" t="s">
        <v>123</v>
      </c>
      <c r="C1136" s="28">
        <v>593017</v>
      </c>
      <c r="D1136" s="28" t="s">
        <v>964</v>
      </c>
      <c r="E1136" s="27" t="s">
        <v>32</v>
      </c>
      <c r="F1136" s="6" t="s">
        <v>1095</v>
      </c>
      <c r="G1136" s="28" t="s">
        <v>55</v>
      </c>
      <c r="H1136" s="28" t="s">
        <v>129</v>
      </c>
      <c r="I1136" s="98">
        <v>0.4</v>
      </c>
      <c r="J1136" s="27"/>
      <c r="K1136" s="29"/>
      <c r="L1136" s="29" t="s">
        <v>126</v>
      </c>
      <c r="M1136" s="29" t="s">
        <v>126</v>
      </c>
      <c r="N1136" s="29" t="s">
        <v>126</v>
      </c>
    </row>
    <row r="1137" spans="2:14" x14ac:dyDescent="0.25">
      <c r="B1137" s="27" t="s">
        <v>123</v>
      </c>
      <c r="C1137" s="28">
        <v>593018</v>
      </c>
      <c r="D1137" s="28" t="s">
        <v>965</v>
      </c>
      <c r="E1137" s="27" t="s">
        <v>32</v>
      </c>
      <c r="F1137" s="6" t="s">
        <v>1095</v>
      </c>
      <c r="G1137" s="28" t="s">
        <v>55</v>
      </c>
      <c r="H1137" s="28" t="s">
        <v>129</v>
      </c>
      <c r="I1137" s="98">
        <v>0.4</v>
      </c>
      <c r="J1137" s="27"/>
      <c r="K1137" s="29"/>
      <c r="L1137" s="29" t="s">
        <v>126</v>
      </c>
      <c r="M1137" s="29" t="s">
        <v>126</v>
      </c>
      <c r="N1137" s="29" t="s">
        <v>126</v>
      </c>
    </row>
    <row r="1138" spans="2:14" x14ac:dyDescent="0.25">
      <c r="B1138" s="27" t="s">
        <v>123</v>
      </c>
      <c r="C1138" s="28">
        <v>593019</v>
      </c>
      <c r="D1138" s="28" t="s">
        <v>966</v>
      </c>
      <c r="E1138" s="27" t="s">
        <v>32</v>
      </c>
      <c r="F1138" s="6" t="s">
        <v>1095</v>
      </c>
      <c r="G1138" s="28" t="s">
        <v>55</v>
      </c>
      <c r="H1138" s="28" t="s">
        <v>129</v>
      </c>
      <c r="I1138" s="98">
        <v>0.4</v>
      </c>
      <c r="J1138" s="27"/>
      <c r="K1138" s="29"/>
      <c r="L1138" s="29" t="s">
        <v>126</v>
      </c>
      <c r="M1138" s="29" t="s">
        <v>126</v>
      </c>
      <c r="N1138" s="29" t="s">
        <v>126</v>
      </c>
    </row>
    <row r="1139" spans="2:14" x14ac:dyDescent="0.25">
      <c r="B1139" s="27" t="s">
        <v>123</v>
      </c>
      <c r="C1139" s="28">
        <v>593020</v>
      </c>
      <c r="D1139" s="28" t="s">
        <v>967</v>
      </c>
      <c r="E1139" s="27" t="s">
        <v>32</v>
      </c>
      <c r="F1139" s="6" t="s">
        <v>1095</v>
      </c>
      <c r="G1139" s="28" t="s">
        <v>55</v>
      </c>
      <c r="H1139" s="28" t="s">
        <v>129</v>
      </c>
      <c r="I1139" s="98">
        <v>0.4</v>
      </c>
      <c r="J1139" s="27"/>
      <c r="K1139" s="29"/>
      <c r="L1139" s="29" t="s">
        <v>126</v>
      </c>
      <c r="M1139" s="29" t="s">
        <v>126</v>
      </c>
      <c r="N1139" s="29" t="s">
        <v>126</v>
      </c>
    </row>
    <row r="1140" spans="2:14" x14ac:dyDescent="0.25">
      <c r="B1140" s="27" t="s">
        <v>123</v>
      </c>
      <c r="C1140" s="28">
        <v>593021</v>
      </c>
      <c r="D1140" s="28" t="s">
        <v>968</v>
      </c>
      <c r="E1140" s="27" t="s">
        <v>32</v>
      </c>
      <c r="F1140" s="6" t="s">
        <v>1095</v>
      </c>
      <c r="G1140" s="28" t="s">
        <v>55</v>
      </c>
      <c r="H1140" s="28" t="s">
        <v>129</v>
      </c>
      <c r="I1140" s="98">
        <v>0.4</v>
      </c>
      <c r="J1140" s="27"/>
      <c r="K1140" s="29"/>
      <c r="L1140" s="29" t="s">
        <v>126</v>
      </c>
      <c r="M1140" s="29" t="s">
        <v>126</v>
      </c>
      <c r="N1140" s="29" t="s">
        <v>126</v>
      </c>
    </row>
    <row r="1141" spans="2:14" x14ac:dyDescent="0.25">
      <c r="B1141" s="27" t="s">
        <v>123</v>
      </c>
      <c r="C1141" s="28">
        <v>593022</v>
      </c>
      <c r="D1141" s="28" t="s">
        <v>969</v>
      </c>
      <c r="E1141" s="27" t="s">
        <v>32</v>
      </c>
      <c r="F1141" s="6" t="s">
        <v>1095</v>
      </c>
      <c r="G1141" s="28" t="s">
        <v>55</v>
      </c>
      <c r="H1141" s="28" t="s">
        <v>129</v>
      </c>
      <c r="I1141" s="98">
        <v>0.4</v>
      </c>
      <c r="J1141" s="27"/>
      <c r="K1141" s="29"/>
      <c r="L1141" s="29" t="s">
        <v>126</v>
      </c>
      <c r="M1141" s="29" t="s">
        <v>126</v>
      </c>
      <c r="N1141" s="29" t="s">
        <v>126</v>
      </c>
    </row>
    <row r="1142" spans="2:14" x14ac:dyDescent="0.25">
      <c r="B1142" s="27" t="s">
        <v>123</v>
      </c>
      <c r="C1142" s="28">
        <v>593023</v>
      </c>
      <c r="D1142" s="28" t="s">
        <v>970</v>
      </c>
      <c r="E1142" s="27" t="s">
        <v>32</v>
      </c>
      <c r="F1142" s="6" t="s">
        <v>1095</v>
      </c>
      <c r="G1142" s="28" t="s">
        <v>55</v>
      </c>
      <c r="H1142" s="28" t="s">
        <v>129</v>
      </c>
      <c r="I1142" s="98">
        <v>0.4</v>
      </c>
      <c r="J1142" s="27"/>
      <c r="K1142" s="29"/>
      <c r="L1142" s="29" t="s">
        <v>126</v>
      </c>
      <c r="M1142" s="29" t="s">
        <v>126</v>
      </c>
      <c r="N1142" s="29" t="s">
        <v>126</v>
      </c>
    </row>
    <row r="1143" spans="2:14" x14ac:dyDescent="0.25">
      <c r="B1143" s="27" t="s">
        <v>123</v>
      </c>
      <c r="C1143" s="28">
        <v>593024</v>
      </c>
      <c r="D1143" s="28" t="s">
        <v>971</v>
      </c>
      <c r="E1143" s="27" t="s">
        <v>32</v>
      </c>
      <c r="F1143" s="6" t="s">
        <v>1095</v>
      </c>
      <c r="G1143" s="28" t="s">
        <v>55</v>
      </c>
      <c r="H1143" s="28" t="s">
        <v>129</v>
      </c>
      <c r="I1143" s="98">
        <v>0.4</v>
      </c>
      <c r="J1143" s="27"/>
      <c r="K1143" s="29"/>
      <c r="L1143" s="29" t="s">
        <v>126</v>
      </c>
      <c r="M1143" s="29" t="s">
        <v>126</v>
      </c>
      <c r="N1143" s="29" t="s">
        <v>126</v>
      </c>
    </row>
    <row r="1144" spans="2:14" x14ac:dyDescent="0.25">
      <c r="B1144" s="27" t="s">
        <v>123</v>
      </c>
      <c r="C1144" s="28">
        <v>593025</v>
      </c>
      <c r="D1144" s="28" t="s">
        <v>972</v>
      </c>
      <c r="E1144" s="27" t="s">
        <v>32</v>
      </c>
      <c r="F1144" s="6" t="s">
        <v>1095</v>
      </c>
      <c r="G1144" s="28" t="s">
        <v>55</v>
      </c>
      <c r="H1144" s="28" t="s">
        <v>129</v>
      </c>
      <c r="I1144" s="98">
        <v>0.4</v>
      </c>
      <c r="J1144" s="27"/>
      <c r="K1144" s="29"/>
      <c r="L1144" s="29" t="s">
        <v>126</v>
      </c>
      <c r="M1144" s="29" t="s">
        <v>126</v>
      </c>
      <c r="N1144" s="29" t="s">
        <v>126</v>
      </c>
    </row>
    <row r="1145" spans="2:14" x14ac:dyDescent="0.25">
      <c r="B1145" s="27" t="s">
        <v>123</v>
      </c>
      <c r="C1145" s="28">
        <v>593026</v>
      </c>
      <c r="D1145" s="28" t="s">
        <v>973</v>
      </c>
      <c r="E1145" s="27" t="s">
        <v>32</v>
      </c>
      <c r="F1145" s="6" t="s">
        <v>1095</v>
      </c>
      <c r="G1145" s="28" t="s">
        <v>55</v>
      </c>
      <c r="H1145" s="28" t="s">
        <v>129</v>
      </c>
      <c r="I1145" s="98">
        <v>0.4</v>
      </c>
      <c r="J1145" s="27"/>
      <c r="K1145" s="29"/>
      <c r="L1145" s="29" t="s">
        <v>126</v>
      </c>
      <c r="M1145" s="29" t="s">
        <v>126</v>
      </c>
      <c r="N1145" s="29" t="s">
        <v>126</v>
      </c>
    </row>
    <row r="1146" spans="2:14" x14ac:dyDescent="0.25">
      <c r="B1146" s="27" t="s">
        <v>123</v>
      </c>
      <c r="C1146" s="28">
        <v>593027</v>
      </c>
      <c r="D1146" s="28" t="s">
        <v>974</v>
      </c>
      <c r="E1146" s="27" t="s">
        <v>32</v>
      </c>
      <c r="F1146" s="6" t="s">
        <v>1095</v>
      </c>
      <c r="G1146" s="28" t="s">
        <v>55</v>
      </c>
      <c r="H1146" s="28" t="s">
        <v>129</v>
      </c>
      <c r="I1146" s="98">
        <v>0.4</v>
      </c>
      <c r="J1146" s="27"/>
      <c r="K1146" s="29"/>
      <c r="L1146" s="29" t="s">
        <v>126</v>
      </c>
      <c r="M1146" s="29" t="s">
        <v>126</v>
      </c>
      <c r="N1146" s="29" t="s">
        <v>126</v>
      </c>
    </row>
    <row r="1147" spans="2:14" x14ac:dyDescent="0.25">
      <c r="B1147" s="27" t="s">
        <v>123</v>
      </c>
      <c r="C1147" s="28">
        <v>593028</v>
      </c>
      <c r="D1147" s="28" t="s">
        <v>975</v>
      </c>
      <c r="E1147" s="27" t="s">
        <v>32</v>
      </c>
      <c r="F1147" s="6" t="s">
        <v>1095</v>
      </c>
      <c r="G1147" s="28" t="s">
        <v>55</v>
      </c>
      <c r="H1147" s="28" t="s">
        <v>129</v>
      </c>
      <c r="I1147" s="98">
        <v>0.4</v>
      </c>
      <c r="J1147" s="27"/>
      <c r="K1147" s="29"/>
      <c r="L1147" s="29" t="s">
        <v>126</v>
      </c>
      <c r="M1147" s="29" t="s">
        <v>126</v>
      </c>
      <c r="N1147" s="29" t="s">
        <v>126</v>
      </c>
    </row>
    <row r="1148" spans="2:14" x14ac:dyDescent="0.25">
      <c r="B1148" s="27" t="s">
        <v>123</v>
      </c>
      <c r="C1148" s="28">
        <v>593029</v>
      </c>
      <c r="D1148" s="28" t="s">
        <v>976</v>
      </c>
      <c r="E1148" s="27" t="s">
        <v>32</v>
      </c>
      <c r="F1148" s="6" t="s">
        <v>1095</v>
      </c>
      <c r="G1148" s="28" t="s">
        <v>55</v>
      </c>
      <c r="H1148" s="28" t="s">
        <v>129</v>
      </c>
      <c r="I1148" s="98">
        <v>0.4</v>
      </c>
      <c r="J1148" s="27"/>
      <c r="K1148" s="29"/>
      <c r="L1148" s="29" t="s">
        <v>126</v>
      </c>
      <c r="M1148" s="29" t="s">
        <v>126</v>
      </c>
      <c r="N1148" s="29" t="s">
        <v>126</v>
      </c>
    </row>
    <row r="1149" spans="2:14" x14ac:dyDescent="0.25">
      <c r="B1149" s="27" t="s">
        <v>123</v>
      </c>
      <c r="C1149" s="28">
        <v>593030</v>
      </c>
      <c r="D1149" s="28" t="s">
        <v>977</v>
      </c>
      <c r="E1149" s="27" t="s">
        <v>32</v>
      </c>
      <c r="F1149" s="6" t="s">
        <v>1095</v>
      </c>
      <c r="G1149" s="28" t="s">
        <v>55</v>
      </c>
      <c r="H1149" s="28" t="s">
        <v>129</v>
      </c>
      <c r="I1149" s="98">
        <v>0.4</v>
      </c>
      <c r="J1149" s="27"/>
      <c r="K1149" s="29"/>
      <c r="L1149" s="29" t="s">
        <v>126</v>
      </c>
      <c r="M1149" s="29" t="s">
        <v>126</v>
      </c>
      <c r="N1149" s="29" t="s">
        <v>126</v>
      </c>
    </row>
    <row r="1150" spans="2:14" x14ac:dyDescent="0.25">
      <c r="B1150" s="27" t="s">
        <v>123</v>
      </c>
      <c r="C1150" s="28">
        <v>593031</v>
      </c>
      <c r="D1150" s="28" t="s">
        <v>978</v>
      </c>
      <c r="E1150" s="27" t="s">
        <v>32</v>
      </c>
      <c r="F1150" s="6" t="s">
        <v>1095</v>
      </c>
      <c r="G1150" s="28" t="s">
        <v>55</v>
      </c>
      <c r="H1150" s="28" t="s">
        <v>129</v>
      </c>
      <c r="I1150" s="98">
        <v>0.4</v>
      </c>
      <c r="J1150" s="27"/>
      <c r="K1150" s="29"/>
      <c r="L1150" s="29" t="s">
        <v>126</v>
      </c>
      <c r="M1150" s="29" t="s">
        <v>126</v>
      </c>
      <c r="N1150" s="29" t="s">
        <v>126</v>
      </c>
    </row>
    <row r="1151" spans="2:14" x14ac:dyDescent="0.25">
      <c r="B1151" s="27" t="s">
        <v>123</v>
      </c>
      <c r="C1151" s="28">
        <v>593032</v>
      </c>
      <c r="D1151" s="28" t="s">
        <v>979</v>
      </c>
      <c r="E1151" s="27" t="s">
        <v>32</v>
      </c>
      <c r="F1151" s="6" t="s">
        <v>1095</v>
      </c>
      <c r="G1151" s="28" t="s">
        <v>55</v>
      </c>
      <c r="H1151" s="28" t="s">
        <v>129</v>
      </c>
      <c r="I1151" s="98">
        <v>0.4</v>
      </c>
      <c r="J1151" s="27"/>
      <c r="K1151" s="29"/>
      <c r="L1151" s="29" t="s">
        <v>126</v>
      </c>
      <c r="M1151" s="29" t="s">
        <v>126</v>
      </c>
      <c r="N1151" s="29" t="s">
        <v>126</v>
      </c>
    </row>
    <row r="1152" spans="2:14" x14ac:dyDescent="0.25">
      <c r="B1152" s="27" t="s">
        <v>123</v>
      </c>
      <c r="C1152" s="28">
        <v>593033</v>
      </c>
      <c r="D1152" s="28" t="s">
        <v>980</v>
      </c>
      <c r="E1152" s="27" t="s">
        <v>32</v>
      </c>
      <c r="F1152" s="6" t="s">
        <v>1095</v>
      </c>
      <c r="G1152" s="28" t="s">
        <v>55</v>
      </c>
      <c r="H1152" s="28" t="s">
        <v>129</v>
      </c>
      <c r="I1152" s="98">
        <v>0.4</v>
      </c>
      <c r="J1152" s="27"/>
      <c r="K1152" s="29"/>
      <c r="L1152" s="29" t="s">
        <v>126</v>
      </c>
      <c r="M1152" s="29" t="s">
        <v>126</v>
      </c>
      <c r="N1152" s="29" t="s">
        <v>126</v>
      </c>
    </row>
    <row r="1153" spans="2:14" x14ac:dyDescent="0.25">
      <c r="B1153" s="27" t="s">
        <v>123</v>
      </c>
      <c r="C1153" s="28">
        <v>593034</v>
      </c>
      <c r="D1153" s="28" t="s">
        <v>981</v>
      </c>
      <c r="E1153" s="27" t="s">
        <v>32</v>
      </c>
      <c r="F1153" s="6" t="s">
        <v>1095</v>
      </c>
      <c r="G1153" s="28" t="s">
        <v>55</v>
      </c>
      <c r="H1153" s="28" t="s">
        <v>129</v>
      </c>
      <c r="I1153" s="98">
        <v>0.4</v>
      </c>
      <c r="J1153" s="27"/>
      <c r="K1153" s="29"/>
      <c r="L1153" s="29" t="s">
        <v>126</v>
      </c>
      <c r="M1153" s="29" t="s">
        <v>126</v>
      </c>
      <c r="N1153" s="29" t="s">
        <v>126</v>
      </c>
    </row>
    <row r="1154" spans="2:14" x14ac:dyDescent="0.25">
      <c r="B1154" s="27" t="s">
        <v>123</v>
      </c>
      <c r="C1154" s="28">
        <v>593035</v>
      </c>
      <c r="D1154" s="28" t="s">
        <v>982</v>
      </c>
      <c r="E1154" s="27" t="s">
        <v>32</v>
      </c>
      <c r="F1154" s="6" t="s">
        <v>1095</v>
      </c>
      <c r="G1154" s="28" t="s">
        <v>55</v>
      </c>
      <c r="H1154" s="28" t="s">
        <v>129</v>
      </c>
      <c r="I1154" s="98">
        <v>0.4</v>
      </c>
      <c r="J1154" s="27"/>
      <c r="K1154" s="29"/>
      <c r="L1154" s="29" t="s">
        <v>126</v>
      </c>
      <c r="M1154" s="29" t="s">
        <v>126</v>
      </c>
      <c r="N1154" s="29" t="s">
        <v>126</v>
      </c>
    </row>
    <row r="1155" spans="2:14" x14ac:dyDescent="0.25">
      <c r="B1155" s="27" t="s">
        <v>123</v>
      </c>
      <c r="C1155" s="28">
        <v>593036</v>
      </c>
      <c r="D1155" s="28" t="s">
        <v>983</v>
      </c>
      <c r="E1155" s="27" t="s">
        <v>32</v>
      </c>
      <c r="F1155" s="6" t="s">
        <v>1095</v>
      </c>
      <c r="G1155" s="28" t="s">
        <v>55</v>
      </c>
      <c r="H1155" s="28" t="s">
        <v>129</v>
      </c>
      <c r="I1155" s="98">
        <v>0.4</v>
      </c>
      <c r="J1155" s="27"/>
      <c r="K1155" s="29"/>
      <c r="L1155" s="29" t="s">
        <v>126</v>
      </c>
      <c r="M1155" s="29" t="s">
        <v>126</v>
      </c>
      <c r="N1155" s="29" t="s">
        <v>126</v>
      </c>
    </row>
    <row r="1156" spans="2:14" x14ac:dyDescent="0.25">
      <c r="B1156" s="27" t="s">
        <v>123</v>
      </c>
      <c r="C1156" s="28">
        <v>593037</v>
      </c>
      <c r="D1156" s="28" t="s">
        <v>984</v>
      </c>
      <c r="E1156" s="27" t="s">
        <v>32</v>
      </c>
      <c r="F1156" s="6" t="s">
        <v>1095</v>
      </c>
      <c r="G1156" s="28" t="s">
        <v>55</v>
      </c>
      <c r="H1156" s="28" t="s">
        <v>129</v>
      </c>
      <c r="I1156" s="98">
        <v>0.4</v>
      </c>
      <c r="J1156" s="27"/>
      <c r="K1156" s="29"/>
      <c r="L1156" s="29" t="s">
        <v>126</v>
      </c>
      <c r="M1156" s="29" t="s">
        <v>126</v>
      </c>
      <c r="N1156" s="29" t="s">
        <v>126</v>
      </c>
    </row>
    <row r="1157" spans="2:14" x14ac:dyDescent="0.25">
      <c r="B1157" s="27" t="s">
        <v>123</v>
      </c>
      <c r="C1157" s="28">
        <v>593038</v>
      </c>
      <c r="D1157" s="28" t="s">
        <v>985</v>
      </c>
      <c r="E1157" s="27" t="s">
        <v>32</v>
      </c>
      <c r="F1157" s="6" t="s">
        <v>1095</v>
      </c>
      <c r="G1157" s="28" t="s">
        <v>55</v>
      </c>
      <c r="H1157" s="28" t="s">
        <v>129</v>
      </c>
      <c r="I1157" s="98">
        <v>0.4</v>
      </c>
      <c r="J1157" s="27"/>
      <c r="K1157" s="29"/>
      <c r="L1157" s="29" t="s">
        <v>126</v>
      </c>
      <c r="M1157" s="29" t="s">
        <v>126</v>
      </c>
      <c r="N1157" s="29" t="s">
        <v>126</v>
      </c>
    </row>
    <row r="1158" spans="2:14" x14ac:dyDescent="0.25">
      <c r="B1158" s="27" t="s">
        <v>123</v>
      </c>
      <c r="C1158" s="28">
        <v>593039</v>
      </c>
      <c r="D1158" s="28" t="s">
        <v>986</v>
      </c>
      <c r="E1158" s="27" t="s">
        <v>32</v>
      </c>
      <c r="F1158" s="6" t="s">
        <v>1095</v>
      </c>
      <c r="G1158" s="28" t="s">
        <v>55</v>
      </c>
      <c r="H1158" s="28" t="s">
        <v>129</v>
      </c>
      <c r="I1158" s="98">
        <v>0.4</v>
      </c>
      <c r="J1158" s="27"/>
      <c r="K1158" s="29"/>
      <c r="L1158" s="29" t="s">
        <v>126</v>
      </c>
      <c r="M1158" s="29" t="s">
        <v>126</v>
      </c>
      <c r="N1158" s="29" t="s">
        <v>126</v>
      </c>
    </row>
    <row r="1159" spans="2:14" x14ac:dyDescent="0.25">
      <c r="B1159" s="27" t="s">
        <v>123</v>
      </c>
      <c r="C1159" s="28">
        <v>593040</v>
      </c>
      <c r="D1159" s="28" t="s">
        <v>987</v>
      </c>
      <c r="E1159" s="27" t="s">
        <v>32</v>
      </c>
      <c r="F1159" s="6" t="s">
        <v>1095</v>
      </c>
      <c r="G1159" s="28" t="s">
        <v>55</v>
      </c>
      <c r="H1159" s="28" t="s">
        <v>129</v>
      </c>
      <c r="I1159" s="98">
        <v>0.4</v>
      </c>
      <c r="J1159" s="27"/>
      <c r="K1159" s="29"/>
      <c r="L1159" s="29" t="s">
        <v>126</v>
      </c>
      <c r="M1159" s="29" t="s">
        <v>126</v>
      </c>
      <c r="N1159" s="29" t="s">
        <v>126</v>
      </c>
    </row>
    <row r="1160" spans="2:14" x14ac:dyDescent="0.25">
      <c r="B1160" s="27" t="s">
        <v>123</v>
      </c>
      <c r="C1160" s="28">
        <v>593041</v>
      </c>
      <c r="D1160" s="28" t="s">
        <v>988</v>
      </c>
      <c r="E1160" s="27" t="s">
        <v>32</v>
      </c>
      <c r="F1160" s="6" t="s">
        <v>1095</v>
      </c>
      <c r="G1160" s="28" t="s">
        <v>55</v>
      </c>
      <c r="H1160" s="28" t="s">
        <v>129</v>
      </c>
      <c r="I1160" s="98">
        <v>0.4</v>
      </c>
      <c r="J1160" s="27"/>
      <c r="K1160" s="29"/>
      <c r="L1160" s="29" t="s">
        <v>126</v>
      </c>
      <c r="M1160" s="29" t="s">
        <v>126</v>
      </c>
      <c r="N1160" s="29" t="s">
        <v>126</v>
      </c>
    </row>
    <row r="1161" spans="2:14" x14ac:dyDescent="0.25">
      <c r="B1161" s="27" t="s">
        <v>123</v>
      </c>
      <c r="C1161" s="28">
        <v>593042</v>
      </c>
      <c r="D1161" s="28" t="s">
        <v>989</v>
      </c>
      <c r="E1161" s="27" t="s">
        <v>32</v>
      </c>
      <c r="F1161" s="6" t="s">
        <v>1095</v>
      </c>
      <c r="G1161" s="28" t="s">
        <v>55</v>
      </c>
      <c r="H1161" s="28" t="s">
        <v>129</v>
      </c>
      <c r="I1161" s="98">
        <v>0.4</v>
      </c>
      <c r="J1161" s="27"/>
      <c r="K1161" s="29"/>
      <c r="L1161" s="29" t="s">
        <v>126</v>
      </c>
      <c r="M1161" s="29" t="s">
        <v>126</v>
      </c>
      <c r="N1161" s="29" t="s">
        <v>126</v>
      </c>
    </row>
    <row r="1162" spans="2:14" x14ac:dyDescent="0.25">
      <c r="B1162" s="27" t="s">
        <v>123</v>
      </c>
      <c r="C1162" s="28">
        <v>593043</v>
      </c>
      <c r="D1162" s="28" t="s">
        <v>990</v>
      </c>
      <c r="E1162" s="27" t="s">
        <v>32</v>
      </c>
      <c r="F1162" s="6" t="s">
        <v>1095</v>
      </c>
      <c r="G1162" s="28" t="s">
        <v>55</v>
      </c>
      <c r="H1162" s="28" t="s">
        <v>129</v>
      </c>
      <c r="I1162" s="98">
        <v>0.4</v>
      </c>
      <c r="J1162" s="27"/>
      <c r="K1162" s="29"/>
      <c r="L1162" s="29" t="s">
        <v>126</v>
      </c>
      <c r="M1162" s="29" t="s">
        <v>126</v>
      </c>
      <c r="N1162" s="29" t="s">
        <v>126</v>
      </c>
    </row>
    <row r="1163" spans="2:14" x14ac:dyDescent="0.25">
      <c r="B1163" s="27" t="s">
        <v>123</v>
      </c>
      <c r="C1163" s="28">
        <v>593044</v>
      </c>
      <c r="D1163" s="28" t="s">
        <v>991</v>
      </c>
      <c r="E1163" s="27" t="s">
        <v>32</v>
      </c>
      <c r="F1163" s="6" t="s">
        <v>1095</v>
      </c>
      <c r="G1163" s="28" t="s">
        <v>55</v>
      </c>
      <c r="H1163" s="28" t="s">
        <v>129</v>
      </c>
      <c r="I1163" s="98">
        <v>0.4</v>
      </c>
      <c r="J1163" s="27"/>
      <c r="K1163" s="29"/>
      <c r="L1163" s="29" t="s">
        <v>126</v>
      </c>
      <c r="M1163" s="29" t="s">
        <v>126</v>
      </c>
      <c r="N1163" s="29" t="s">
        <v>126</v>
      </c>
    </row>
    <row r="1164" spans="2:14" x14ac:dyDescent="0.25">
      <c r="B1164" s="27" t="s">
        <v>123</v>
      </c>
      <c r="C1164" s="28">
        <v>593934</v>
      </c>
      <c r="D1164" s="28" t="s">
        <v>992</v>
      </c>
      <c r="E1164" s="27" t="s">
        <v>32</v>
      </c>
      <c r="F1164" s="6" t="s">
        <v>1095</v>
      </c>
      <c r="G1164" s="28" t="s">
        <v>55</v>
      </c>
      <c r="H1164" s="28" t="s">
        <v>129</v>
      </c>
      <c r="I1164" s="98">
        <v>0.4</v>
      </c>
      <c r="J1164" s="27"/>
      <c r="K1164" s="29"/>
      <c r="L1164" s="29" t="s">
        <v>126</v>
      </c>
      <c r="M1164" s="29" t="s">
        <v>126</v>
      </c>
      <c r="N1164" s="29" t="s">
        <v>126</v>
      </c>
    </row>
    <row r="1165" spans="2:14" x14ac:dyDescent="0.25">
      <c r="B1165" s="27" t="s">
        <v>123</v>
      </c>
      <c r="C1165" s="28">
        <v>593935</v>
      </c>
      <c r="D1165" s="28" t="s">
        <v>993</v>
      </c>
      <c r="E1165" s="27" t="s">
        <v>32</v>
      </c>
      <c r="F1165" s="6" t="s">
        <v>1095</v>
      </c>
      <c r="G1165" s="28" t="s">
        <v>55</v>
      </c>
      <c r="H1165" s="28" t="s">
        <v>129</v>
      </c>
      <c r="I1165" s="98">
        <v>0.4</v>
      </c>
      <c r="J1165" s="27"/>
      <c r="K1165" s="29"/>
      <c r="L1165" s="29" t="s">
        <v>126</v>
      </c>
      <c r="M1165" s="29" t="s">
        <v>126</v>
      </c>
      <c r="N1165" s="29" t="s">
        <v>126</v>
      </c>
    </row>
    <row r="1166" spans="2:14" x14ac:dyDescent="0.25">
      <c r="B1166" s="27" t="s">
        <v>123</v>
      </c>
      <c r="C1166" s="28">
        <v>593936</v>
      </c>
      <c r="D1166" s="28" t="s">
        <v>994</v>
      </c>
      <c r="E1166" s="27" t="s">
        <v>32</v>
      </c>
      <c r="F1166" s="6" t="s">
        <v>1095</v>
      </c>
      <c r="G1166" s="28" t="s">
        <v>55</v>
      </c>
      <c r="H1166" s="28" t="s">
        <v>129</v>
      </c>
      <c r="I1166" s="98">
        <v>0.4</v>
      </c>
      <c r="J1166" s="27"/>
      <c r="K1166" s="29"/>
      <c r="L1166" s="29" t="s">
        <v>126</v>
      </c>
      <c r="M1166" s="29" t="s">
        <v>126</v>
      </c>
      <c r="N1166" s="29" t="s">
        <v>126</v>
      </c>
    </row>
    <row r="1167" spans="2:14" x14ac:dyDescent="0.25">
      <c r="B1167" s="27" t="s">
        <v>123</v>
      </c>
      <c r="C1167" s="28">
        <v>593937</v>
      </c>
      <c r="D1167" s="28" t="s">
        <v>995</v>
      </c>
      <c r="E1167" s="27" t="s">
        <v>32</v>
      </c>
      <c r="F1167" s="6" t="s">
        <v>1095</v>
      </c>
      <c r="G1167" s="28" t="s">
        <v>55</v>
      </c>
      <c r="H1167" s="28" t="s">
        <v>129</v>
      </c>
      <c r="I1167" s="98">
        <v>0.4</v>
      </c>
      <c r="J1167" s="27"/>
      <c r="K1167" s="29"/>
      <c r="L1167" s="29" t="s">
        <v>126</v>
      </c>
      <c r="M1167" s="29" t="s">
        <v>126</v>
      </c>
      <c r="N1167" s="29" t="s">
        <v>126</v>
      </c>
    </row>
    <row r="1168" spans="2:14" x14ac:dyDescent="0.25">
      <c r="B1168" s="27" t="s">
        <v>123</v>
      </c>
      <c r="C1168" s="28">
        <v>593938</v>
      </c>
      <c r="D1168" s="28" t="s">
        <v>996</v>
      </c>
      <c r="E1168" s="27" t="s">
        <v>32</v>
      </c>
      <c r="F1168" s="6" t="s">
        <v>1095</v>
      </c>
      <c r="G1168" s="28" t="s">
        <v>55</v>
      </c>
      <c r="H1168" s="28" t="s">
        <v>129</v>
      </c>
      <c r="I1168" s="98">
        <v>0.4</v>
      </c>
      <c r="J1168" s="27"/>
      <c r="K1168" s="29"/>
      <c r="L1168" s="29" t="s">
        <v>126</v>
      </c>
      <c r="M1168" s="29" t="s">
        <v>126</v>
      </c>
      <c r="N1168" s="29" t="s">
        <v>126</v>
      </c>
    </row>
    <row r="1169" spans="2:14" x14ac:dyDescent="0.25">
      <c r="B1169" s="27" t="s">
        <v>123</v>
      </c>
      <c r="C1169" s="28">
        <v>593939</v>
      </c>
      <c r="D1169" s="28" t="s">
        <v>997</v>
      </c>
      <c r="E1169" s="27" t="s">
        <v>32</v>
      </c>
      <c r="F1169" s="6" t="s">
        <v>1095</v>
      </c>
      <c r="G1169" s="28" t="s">
        <v>55</v>
      </c>
      <c r="H1169" s="28" t="s">
        <v>129</v>
      </c>
      <c r="I1169" s="98">
        <v>0.4</v>
      </c>
      <c r="J1169" s="27"/>
      <c r="K1169" s="29"/>
      <c r="L1169" s="29" t="s">
        <v>126</v>
      </c>
      <c r="M1169" s="29" t="s">
        <v>126</v>
      </c>
      <c r="N1169" s="29" t="s">
        <v>126</v>
      </c>
    </row>
    <row r="1170" spans="2:14" x14ac:dyDescent="0.25">
      <c r="B1170" s="27" t="s">
        <v>123</v>
      </c>
      <c r="C1170" s="28">
        <v>593051</v>
      </c>
      <c r="D1170" s="28" t="s">
        <v>998</v>
      </c>
      <c r="E1170" s="27" t="s">
        <v>32</v>
      </c>
      <c r="F1170" s="6" t="s">
        <v>1095</v>
      </c>
      <c r="G1170" s="28" t="s">
        <v>55</v>
      </c>
      <c r="H1170" s="28" t="s">
        <v>129</v>
      </c>
      <c r="I1170" s="98">
        <v>0.4</v>
      </c>
      <c r="J1170" s="27"/>
      <c r="K1170" s="29"/>
      <c r="L1170" s="29" t="s">
        <v>126</v>
      </c>
      <c r="M1170" s="29" t="s">
        <v>126</v>
      </c>
      <c r="N1170" s="29" t="s">
        <v>126</v>
      </c>
    </row>
    <row r="1171" spans="2:14" x14ac:dyDescent="0.25">
      <c r="B1171" s="27" t="s">
        <v>123</v>
      </c>
      <c r="C1171" s="28">
        <v>593052</v>
      </c>
      <c r="D1171" s="28" t="s">
        <v>999</v>
      </c>
      <c r="E1171" s="27" t="s">
        <v>32</v>
      </c>
      <c r="F1171" s="6" t="s">
        <v>1095</v>
      </c>
      <c r="G1171" s="28" t="s">
        <v>55</v>
      </c>
      <c r="H1171" s="28" t="s">
        <v>129</v>
      </c>
      <c r="I1171" s="98">
        <v>0.4</v>
      </c>
      <c r="J1171" s="27"/>
      <c r="K1171" s="29"/>
      <c r="L1171" s="29" t="s">
        <v>126</v>
      </c>
      <c r="M1171" s="29" t="s">
        <v>126</v>
      </c>
      <c r="N1171" s="29" t="s">
        <v>126</v>
      </c>
    </row>
    <row r="1172" spans="2:14" x14ac:dyDescent="0.25">
      <c r="B1172" s="27" t="s">
        <v>123</v>
      </c>
      <c r="C1172" s="28">
        <v>593053</v>
      </c>
      <c r="D1172" s="28" t="s">
        <v>1000</v>
      </c>
      <c r="E1172" s="27" t="s">
        <v>32</v>
      </c>
      <c r="F1172" s="6" t="s">
        <v>1095</v>
      </c>
      <c r="G1172" s="28" t="s">
        <v>55</v>
      </c>
      <c r="H1172" s="28" t="s">
        <v>129</v>
      </c>
      <c r="I1172" s="98">
        <v>0.4</v>
      </c>
      <c r="J1172" s="27"/>
      <c r="K1172" s="29"/>
      <c r="L1172" s="29" t="s">
        <v>126</v>
      </c>
      <c r="M1172" s="29" t="s">
        <v>126</v>
      </c>
      <c r="N1172" s="29" t="s">
        <v>126</v>
      </c>
    </row>
    <row r="1173" spans="2:14" x14ac:dyDescent="0.25">
      <c r="B1173" s="27" t="s">
        <v>123</v>
      </c>
      <c r="C1173" s="28">
        <v>593054</v>
      </c>
      <c r="D1173" s="28" t="s">
        <v>1001</v>
      </c>
      <c r="E1173" s="27" t="s">
        <v>32</v>
      </c>
      <c r="F1173" s="6" t="s">
        <v>1095</v>
      </c>
      <c r="G1173" s="28" t="s">
        <v>55</v>
      </c>
      <c r="H1173" s="28" t="s">
        <v>129</v>
      </c>
      <c r="I1173" s="98">
        <v>0.4</v>
      </c>
      <c r="J1173" s="27"/>
      <c r="K1173" s="29"/>
      <c r="L1173" s="29" t="s">
        <v>126</v>
      </c>
      <c r="M1173" s="29" t="s">
        <v>126</v>
      </c>
      <c r="N1173" s="29" t="s">
        <v>126</v>
      </c>
    </row>
    <row r="1174" spans="2:14" x14ac:dyDescent="0.25">
      <c r="B1174" s="27" t="s">
        <v>123</v>
      </c>
      <c r="C1174" s="28">
        <v>593055</v>
      </c>
      <c r="D1174" s="28" t="s">
        <v>1002</v>
      </c>
      <c r="E1174" s="27" t="s">
        <v>32</v>
      </c>
      <c r="F1174" s="6" t="s">
        <v>1095</v>
      </c>
      <c r="G1174" s="28" t="s">
        <v>55</v>
      </c>
      <c r="H1174" s="28" t="s">
        <v>129</v>
      </c>
      <c r="I1174" s="98">
        <v>0.4</v>
      </c>
      <c r="J1174" s="27"/>
      <c r="K1174" s="29"/>
      <c r="L1174" s="29" t="s">
        <v>126</v>
      </c>
      <c r="M1174" s="29" t="s">
        <v>126</v>
      </c>
      <c r="N1174" s="29" t="s">
        <v>126</v>
      </c>
    </row>
    <row r="1175" spans="2:14" x14ac:dyDescent="0.25">
      <c r="B1175" s="27" t="s">
        <v>123</v>
      </c>
      <c r="C1175" s="28">
        <v>593056</v>
      </c>
      <c r="D1175" s="28" t="s">
        <v>1003</v>
      </c>
      <c r="E1175" s="27" t="s">
        <v>32</v>
      </c>
      <c r="F1175" s="6" t="s">
        <v>1095</v>
      </c>
      <c r="G1175" s="28" t="s">
        <v>55</v>
      </c>
      <c r="H1175" s="28" t="s">
        <v>129</v>
      </c>
      <c r="I1175" s="98">
        <v>0.4</v>
      </c>
      <c r="J1175" s="27"/>
      <c r="K1175" s="29"/>
      <c r="L1175" s="29" t="s">
        <v>126</v>
      </c>
      <c r="M1175" s="29" t="s">
        <v>126</v>
      </c>
      <c r="N1175" s="29" t="s">
        <v>126</v>
      </c>
    </row>
    <row r="1176" spans="2:14" x14ac:dyDescent="0.25">
      <c r="B1176" s="27" t="s">
        <v>123</v>
      </c>
      <c r="C1176" s="28">
        <v>593045</v>
      </c>
      <c r="D1176" s="28" t="s">
        <v>1004</v>
      </c>
      <c r="E1176" s="27" t="s">
        <v>32</v>
      </c>
      <c r="F1176" s="6" t="s">
        <v>1095</v>
      </c>
      <c r="G1176" s="28" t="s">
        <v>55</v>
      </c>
      <c r="H1176" s="28" t="s">
        <v>129</v>
      </c>
      <c r="I1176" s="98">
        <v>0.4</v>
      </c>
      <c r="J1176" s="27"/>
      <c r="K1176" s="29"/>
      <c r="L1176" s="29" t="s">
        <v>126</v>
      </c>
      <c r="M1176" s="29" t="s">
        <v>126</v>
      </c>
      <c r="N1176" s="29" t="s">
        <v>126</v>
      </c>
    </row>
    <row r="1177" spans="2:14" x14ac:dyDescent="0.25">
      <c r="B1177" s="27" t="s">
        <v>123</v>
      </c>
      <c r="C1177" s="28">
        <v>593046</v>
      </c>
      <c r="D1177" s="28" t="s">
        <v>1005</v>
      </c>
      <c r="E1177" s="27" t="s">
        <v>32</v>
      </c>
      <c r="F1177" s="6" t="s">
        <v>1095</v>
      </c>
      <c r="G1177" s="28" t="s">
        <v>55</v>
      </c>
      <c r="H1177" s="28" t="s">
        <v>129</v>
      </c>
      <c r="I1177" s="98">
        <v>0.4</v>
      </c>
      <c r="J1177" s="27"/>
      <c r="K1177" s="29"/>
      <c r="L1177" s="29" t="s">
        <v>126</v>
      </c>
      <c r="M1177" s="29" t="s">
        <v>126</v>
      </c>
      <c r="N1177" s="29" t="s">
        <v>126</v>
      </c>
    </row>
    <row r="1178" spans="2:14" x14ac:dyDescent="0.25">
      <c r="B1178" s="27" t="s">
        <v>123</v>
      </c>
      <c r="C1178" s="28">
        <v>593047</v>
      </c>
      <c r="D1178" s="28" t="s">
        <v>1006</v>
      </c>
      <c r="E1178" s="27" t="s">
        <v>32</v>
      </c>
      <c r="F1178" s="6" t="s">
        <v>1095</v>
      </c>
      <c r="G1178" s="28" t="s">
        <v>55</v>
      </c>
      <c r="H1178" s="28" t="s">
        <v>129</v>
      </c>
      <c r="I1178" s="98">
        <v>0.4</v>
      </c>
      <c r="J1178" s="27"/>
      <c r="K1178" s="29"/>
      <c r="L1178" s="29" t="s">
        <v>126</v>
      </c>
      <c r="M1178" s="29" t="s">
        <v>126</v>
      </c>
      <c r="N1178" s="29" t="s">
        <v>126</v>
      </c>
    </row>
    <row r="1179" spans="2:14" x14ac:dyDescent="0.25">
      <c r="B1179" s="27" t="s">
        <v>123</v>
      </c>
      <c r="C1179" s="28">
        <v>593048</v>
      </c>
      <c r="D1179" s="28" t="s">
        <v>1007</v>
      </c>
      <c r="E1179" s="27" t="s">
        <v>32</v>
      </c>
      <c r="F1179" s="6" t="s">
        <v>1095</v>
      </c>
      <c r="G1179" s="28" t="s">
        <v>55</v>
      </c>
      <c r="H1179" s="28" t="s">
        <v>129</v>
      </c>
      <c r="I1179" s="98">
        <v>0.4</v>
      </c>
      <c r="J1179" s="27"/>
      <c r="K1179" s="29"/>
      <c r="L1179" s="29" t="s">
        <v>126</v>
      </c>
      <c r="M1179" s="29" t="s">
        <v>126</v>
      </c>
      <c r="N1179" s="29" t="s">
        <v>126</v>
      </c>
    </row>
    <row r="1180" spans="2:14" x14ac:dyDescent="0.25">
      <c r="B1180" s="27" t="s">
        <v>123</v>
      </c>
      <c r="C1180" s="28">
        <v>593049</v>
      </c>
      <c r="D1180" s="28" t="s">
        <v>1008</v>
      </c>
      <c r="E1180" s="27" t="s">
        <v>32</v>
      </c>
      <c r="F1180" s="6" t="s">
        <v>1095</v>
      </c>
      <c r="G1180" s="28" t="s">
        <v>55</v>
      </c>
      <c r="H1180" s="28" t="s">
        <v>129</v>
      </c>
      <c r="I1180" s="98">
        <v>0.4</v>
      </c>
      <c r="J1180" s="27"/>
      <c r="K1180" s="29"/>
      <c r="L1180" s="29" t="s">
        <v>126</v>
      </c>
      <c r="M1180" s="29" t="s">
        <v>126</v>
      </c>
      <c r="N1180" s="29" t="s">
        <v>126</v>
      </c>
    </row>
    <row r="1181" spans="2:14" x14ac:dyDescent="0.25">
      <c r="B1181" s="27" t="s">
        <v>123</v>
      </c>
      <c r="C1181" s="28">
        <v>593050</v>
      </c>
      <c r="D1181" s="28" t="s">
        <v>1009</v>
      </c>
      <c r="E1181" s="27" t="s">
        <v>32</v>
      </c>
      <c r="F1181" s="6" t="s">
        <v>1095</v>
      </c>
      <c r="G1181" s="28" t="s">
        <v>55</v>
      </c>
      <c r="H1181" s="28" t="s">
        <v>129</v>
      </c>
      <c r="I1181" s="98">
        <v>0.4</v>
      </c>
      <c r="J1181" s="27"/>
      <c r="K1181" s="29"/>
      <c r="L1181" s="29" t="s">
        <v>126</v>
      </c>
      <c r="M1181" s="29" t="s">
        <v>126</v>
      </c>
      <c r="N1181" s="29" t="s">
        <v>126</v>
      </c>
    </row>
    <row r="1182" spans="2:14" x14ac:dyDescent="0.25">
      <c r="B1182" s="27" t="s">
        <v>123</v>
      </c>
      <c r="C1182" s="28">
        <v>593702</v>
      </c>
      <c r="D1182" s="28" t="s">
        <v>1010</v>
      </c>
      <c r="E1182" s="27" t="s">
        <v>32</v>
      </c>
      <c r="F1182" s="6" t="s">
        <v>1095</v>
      </c>
      <c r="G1182" s="28" t="s">
        <v>55</v>
      </c>
      <c r="H1182" s="28" t="s">
        <v>129</v>
      </c>
      <c r="I1182" s="98">
        <v>0.4</v>
      </c>
      <c r="J1182" s="27"/>
      <c r="K1182" s="29"/>
      <c r="L1182" s="29" t="s">
        <v>126</v>
      </c>
      <c r="M1182" s="29" t="s">
        <v>126</v>
      </c>
      <c r="N1182" s="29" t="s">
        <v>126</v>
      </c>
    </row>
    <row r="1183" spans="2:14" x14ac:dyDescent="0.25">
      <c r="B1183" s="27" t="s">
        <v>123</v>
      </c>
      <c r="C1183" s="28">
        <v>593703</v>
      </c>
      <c r="D1183" s="28" t="s">
        <v>1011</v>
      </c>
      <c r="E1183" s="27" t="s">
        <v>32</v>
      </c>
      <c r="F1183" s="6" t="s">
        <v>1095</v>
      </c>
      <c r="G1183" s="28" t="s">
        <v>55</v>
      </c>
      <c r="H1183" s="28" t="s">
        <v>129</v>
      </c>
      <c r="I1183" s="98">
        <v>0.4</v>
      </c>
      <c r="J1183" s="27"/>
      <c r="K1183" s="29"/>
      <c r="L1183" s="29" t="s">
        <v>126</v>
      </c>
      <c r="M1183" s="29" t="s">
        <v>126</v>
      </c>
      <c r="N1183" s="29" t="s">
        <v>126</v>
      </c>
    </row>
    <row r="1184" spans="2:14" x14ac:dyDescent="0.25">
      <c r="B1184" s="27" t="s">
        <v>123</v>
      </c>
      <c r="C1184" s="28">
        <v>593704</v>
      </c>
      <c r="D1184" s="28" t="s">
        <v>1012</v>
      </c>
      <c r="E1184" s="27" t="s">
        <v>32</v>
      </c>
      <c r="F1184" s="6" t="s">
        <v>1095</v>
      </c>
      <c r="G1184" s="28" t="s">
        <v>55</v>
      </c>
      <c r="H1184" s="28" t="s">
        <v>129</v>
      </c>
      <c r="I1184" s="98">
        <v>0.4</v>
      </c>
      <c r="J1184" s="27"/>
      <c r="K1184" s="29"/>
      <c r="L1184" s="29" t="s">
        <v>126</v>
      </c>
      <c r="M1184" s="29" t="s">
        <v>126</v>
      </c>
      <c r="N1184" s="29" t="s">
        <v>126</v>
      </c>
    </row>
    <row r="1185" spans="2:14" x14ac:dyDescent="0.25">
      <c r="B1185" s="27" t="s">
        <v>123</v>
      </c>
      <c r="C1185" s="28">
        <v>593705</v>
      </c>
      <c r="D1185" s="28" t="s">
        <v>1013</v>
      </c>
      <c r="E1185" s="27" t="s">
        <v>32</v>
      </c>
      <c r="F1185" s="6" t="s">
        <v>1095</v>
      </c>
      <c r="G1185" s="28" t="s">
        <v>55</v>
      </c>
      <c r="H1185" s="28" t="s">
        <v>129</v>
      </c>
      <c r="I1185" s="98">
        <v>0.4</v>
      </c>
      <c r="J1185" s="27"/>
      <c r="K1185" s="29"/>
      <c r="L1185" s="29" t="s">
        <v>126</v>
      </c>
      <c r="M1185" s="29" t="s">
        <v>126</v>
      </c>
      <c r="N1185" s="29" t="s">
        <v>126</v>
      </c>
    </row>
    <row r="1186" spans="2:14" x14ac:dyDescent="0.25">
      <c r="B1186" s="27" t="s">
        <v>123</v>
      </c>
      <c r="C1186" s="28">
        <v>593706</v>
      </c>
      <c r="D1186" s="28" t="s">
        <v>1014</v>
      </c>
      <c r="E1186" s="27" t="s">
        <v>32</v>
      </c>
      <c r="F1186" s="6" t="s">
        <v>1095</v>
      </c>
      <c r="G1186" s="28" t="s">
        <v>55</v>
      </c>
      <c r="H1186" s="28" t="s">
        <v>129</v>
      </c>
      <c r="I1186" s="98">
        <v>0.4</v>
      </c>
      <c r="J1186" s="27"/>
      <c r="K1186" s="29"/>
      <c r="L1186" s="29" t="s">
        <v>126</v>
      </c>
      <c r="M1186" s="29" t="s">
        <v>126</v>
      </c>
      <c r="N1186" s="29" t="s">
        <v>126</v>
      </c>
    </row>
    <row r="1187" spans="2:14" x14ac:dyDescent="0.25">
      <c r="B1187" s="27" t="s">
        <v>123</v>
      </c>
      <c r="C1187" s="28">
        <v>593707</v>
      </c>
      <c r="D1187" s="28" t="s">
        <v>1015</v>
      </c>
      <c r="E1187" s="27" t="s">
        <v>32</v>
      </c>
      <c r="F1187" s="6" t="s">
        <v>1095</v>
      </c>
      <c r="G1187" s="28" t="s">
        <v>55</v>
      </c>
      <c r="H1187" s="28" t="s">
        <v>129</v>
      </c>
      <c r="I1187" s="98">
        <v>0.4</v>
      </c>
      <c r="J1187" s="27"/>
      <c r="K1187" s="29"/>
      <c r="L1187" s="29" t="s">
        <v>126</v>
      </c>
      <c r="M1187" s="29" t="s">
        <v>126</v>
      </c>
      <c r="N1187" s="29" t="s">
        <v>126</v>
      </c>
    </row>
    <row r="1188" spans="2:14" x14ac:dyDescent="0.25">
      <c r="B1188" s="27" t="s">
        <v>123</v>
      </c>
      <c r="C1188" s="28">
        <v>593708</v>
      </c>
      <c r="D1188" s="28" t="s">
        <v>1016</v>
      </c>
      <c r="E1188" s="27" t="s">
        <v>32</v>
      </c>
      <c r="F1188" s="6" t="s">
        <v>1095</v>
      </c>
      <c r="G1188" s="28" t="s">
        <v>55</v>
      </c>
      <c r="H1188" s="28" t="s">
        <v>129</v>
      </c>
      <c r="I1188" s="98">
        <v>0.4</v>
      </c>
      <c r="J1188" s="27"/>
      <c r="K1188" s="29"/>
      <c r="L1188" s="29" t="s">
        <v>126</v>
      </c>
      <c r="M1188" s="29" t="s">
        <v>126</v>
      </c>
      <c r="N1188" s="29" t="s">
        <v>126</v>
      </c>
    </row>
    <row r="1189" spans="2:14" x14ac:dyDescent="0.25">
      <c r="B1189" s="27" t="s">
        <v>123</v>
      </c>
      <c r="C1189" s="28">
        <v>593709</v>
      </c>
      <c r="D1189" s="28" t="s">
        <v>1017</v>
      </c>
      <c r="E1189" s="27" t="s">
        <v>32</v>
      </c>
      <c r="F1189" s="6" t="s">
        <v>1095</v>
      </c>
      <c r="G1189" s="28" t="s">
        <v>55</v>
      </c>
      <c r="H1189" s="28" t="s">
        <v>129</v>
      </c>
      <c r="I1189" s="98">
        <v>0.4</v>
      </c>
      <c r="J1189" s="27"/>
      <c r="K1189" s="29"/>
      <c r="L1189" s="29" t="s">
        <v>126</v>
      </c>
      <c r="M1189" s="29" t="s">
        <v>126</v>
      </c>
      <c r="N1189" s="29" t="s">
        <v>126</v>
      </c>
    </row>
    <row r="1190" spans="2:14" x14ac:dyDescent="0.25">
      <c r="B1190" s="27" t="s">
        <v>123</v>
      </c>
      <c r="C1190" s="28">
        <v>593711</v>
      </c>
      <c r="D1190" s="28" t="s">
        <v>1018</v>
      </c>
      <c r="E1190" s="27" t="s">
        <v>32</v>
      </c>
      <c r="F1190" s="6" t="s">
        <v>1095</v>
      </c>
      <c r="G1190" s="28" t="s">
        <v>55</v>
      </c>
      <c r="H1190" s="28" t="s">
        <v>129</v>
      </c>
      <c r="I1190" s="98">
        <v>0.4</v>
      </c>
      <c r="J1190" s="27"/>
      <c r="K1190" s="29"/>
      <c r="L1190" s="29" t="s">
        <v>126</v>
      </c>
      <c r="M1190" s="29" t="s">
        <v>126</v>
      </c>
      <c r="N1190" s="29" t="s">
        <v>126</v>
      </c>
    </row>
    <row r="1191" spans="2:14" x14ac:dyDescent="0.25">
      <c r="B1191" s="27" t="s">
        <v>123</v>
      </c>
      <c r="C1191" s="28">
        <v>593713</v>
      </c>
      <c r="D1191" s="28" t="s">
        <v>1019</v>
      </c>
      <c r="E1191" s="27" t="s">
        <v>32</v>
      </c>
      <c r="F1191" s="6" t="s">
        <v>1095</v>
      </c>
      <c r="G1191" s="28" t="s">
        <v>55</v>
      </c>
      <c r="H1191" s="28" t="s">
        <v>129</v>
      </c>
      <c r="I1191" s="98">
        <v>0.4</v>
      </c>
      <c r="J1191" s="27"/>
      <c r="K1191" s="29"/>
      <c r="L1191" s="29" t="s">
        <v>126</v>
      </c>
      <c r="M1191" s="29" t="s">
        <v>126</v>
      </c>
      <c r="N1191" s="29" t="s">
        <v>126</v>
      </c>
    </row>
    <row r="1192" spans="2:14" x14ac:dyDescent="0.25">
      <c r="B1192" s="27" t="s">
        <v>123</v>
      </c>
      <c r="C1192" s="28">
        <v>593714</v>
      </c>
      <c r="D1192" s="28" t="s">
        <v>1020</v>
      </c>
      <c r="E1192" s="27" t="s">
        <v>32</v>
      </c>
      <c r="F1192" s="6" t="s">
        <v>1095</v>
      </c>
      <c r="G1192" s="28" t="s">
        <v>55</v>
      </c>
      <c r="H1192" s="28" t="s">
        <v>129</v>
      </c>
      <c r="I1192" s="98">
        <v>0.4</v>
      </c>
      <c r="J1192" s="27"/>
      <c r="K1192" s="29"/>
      <c r="L1192" s="29" t="s">
        <v>126</v>
      </c>
      <c r="M1192" s="29" t="s">
        <v>126</v>
      </c>
      <c r="N1192" s="29" t="s">
        <v>126</v>
      </c>
    </row>
    <row r="1193" spans="2:14" x14ac:dyDescent="0.25">
      <c r="B1193" s="27" t="s">
        <v>123</v>
      </c>
      <c r="C1193" s="28">
        <v>593715</v>
      </c>
      <c r="D1193" s="28" t="s">
        <v>1021</v>
      </c>
      <c r="E1193" s="27" t="s">
        <v>32</v>
      </c>
      <c r="F1193" s="6" t="s">
        <v>1095</v>
      </c>
      <c r="G1193" s="28" t="s">
        <v>55</v>
      </c>
      <c r="H1193" s="28" t="s">
        <v>129</v>
      </c>
      <c r="I1193" s="98">
        <v>0.4</v>
      </c>
      <c r="J1193" s="27"/>
      <c r="K1193" s="29"/>
      <c r="L1193" s="29" t="s">
        <v>126</v>
      </c>
      <c r="M1193" s="29" t="s">
        <v>126</v>
      </c>
      <c r="N1193" s="29" t="s">
        <v>126</v>
      </c>
    </row>
    <row r="1194" spans="2:14" x14ac:dyDescent="0.25">
      <c r="B1194" s="27" t="s">
        <v>123</v>
      </c>
      <c r="C1194" s="28">
        <v>593716</v>
      </c>
      <c r="D1194" s="28" t="s">
        <v>1022</v>
      </c>
      <c r="E1194" s="27" t="s">
        <v>32</v>
      </c>
      <c r="F1194" s="6" t="s">
        <v>1095</v>
      </c>
      <c r="G1194" s="28" t="s">
        <v>55</v>
      </c>
      <c r="H1194" s="28" t="s">
        <v>129</v>
      </c>
      <c r="I1194" s="98">
        <v>0.4</v>
      </c>
      <c r="J1194" s="27"/>
      <c r="K1194" s="29"/>
      <c r="L1194" s="29" t="s">
        <v>126</v>
      </c>
      <c r="M1194" s="29" t="s">
        <v>126</v>
      </c>
      <c r="N1194" s="29" t="s">
        <v>126</v>
      </c>
    </row>
    <row r="1195" spans="2:14" x14ac:dyDescent="0.25">
      <c r="B1195" s="27" t="s">
        <v>123</v>
      </c>
      <c r="C1195" s="28">
        <v>593717</v>
      </c>
      <c r="D1195" s="28" t="s">
        <v>1023</v>
      </c>
      <c r="E1195" s="27" t="s">
        <v>32</v>
      </c>
      <c r="F1195" s="6" t="s">
        <v>1095</v>
      </c>
      <c r="G1195" s="28" t="s">
        <v>55</v>
      </c>
      <c r="H1195" s="28" t="s">
        <v>129</v>
      </c>
      <c r="I1195" s="98">
        <v>0.4</v>
      </c>
      <c r="J1195" s="27"/>
      <c r="K1195" s="29"/>
      <c r="L1195" s="29" t="s">
        <v>126</v>
      </c>
      <c r="M1195" s="29" t="s">
        <v>126</v>
      </c>
      <c r="N1195" s="29" t="s">
        <v>126</v>
      </c>
    </row>
    <row r="1196" spans="2:14" x14ac:dyDescent="0.25">
      <c r="B1196" s="27" t="s">
        <v>123</v>
      </c>
      <c r="C1196" s="28">
        <v>593718</v>
      </c>
      <c r="D1196" s="28" t="s">
        <v>1024</v>
      </c>
      <c r="E1196" s="27" t="s">
        <v>32</v>
      </c>
      <c r="F1196" s="6" t="s">
        <v>1095</v>
      </c>
      <c r="G1196" s="28" t="s">
        <v>55</v>
      </c>
      <c r="H1196" s="28" t="s">
        <v>129</v>
      </c>
      <c r="I1196" s="98">
        <v>0.4</v>
      </c>
      <c r="J1196" s="27"/>
      <c r="K1196" s="29"/>
      <c r="L1196" s="29" t="s">
        <v>126</v>
      </c>
      <c r="M1196" s="29" t="s">
        <v>126</v>
      </c>
      <c r="N1196" s="29" t="s">
        <v>126</v>
      </c>
    </row>
    <row r="1197" spans="2:14" x14ac:dyDescent="0.25">
      <c r="B1197" s="27" t="s">
        <v>123</v>
      </c>
      <c r="C1197" s="28">
        <v>593719</v>
      </c>
      <c r="D1197" s="28" t="s">
        <v>1025</v>
      </c>
      <c r="E1197" s="27" t="s">
        <v>32</v>
      </c>
      <c r="F1197" s="6" t="s">
        <v>1095</v>
      </c>
      <c r="G1197" s="28" t="s">
        <v>55</v>
      </c>
      <c r="H1197" s="28" t="s">
        <v>129</v>
      </c>
      <c r="I1197" s="98">
        <v>0.4</v>
      </c>
      <c r="J1197" s="27"/>
      <c r="K1197" s="29"/>
      <c r="L1197" s="29" t="s">
        <v>126</v>
      </c>
      <c r="M1197" s="29" t="s">
        <v>126</v>
      </c>
      <c r="N1197" s="29" t="s">
        <v>126</v>
      </c>
    </row>
    <row r="1198" spans="2:14" x14ac:dyDescent="0.25">
      <c r="B1198" s="27" t="s">
        <v>123</v>
      </c>
      <c r="C1198" s="28">
        <v>593720</v>
      </c>
      <c r="D1198" s="28" t="s">
        <v>1026</v>
      </c>
      <c r="E1198" s="27" t="s">
        <v>32</v>
      </c>
      <c r="F1198" s="6" t="s">
        <v>1095</v>
      </c>
      <c r="G1198" s="28" t="s">
        <v>55</v>
      </c>
      <c r="H1198" s="28" t="s">
        <v>129</v>
      </c>
      <c r="I1198" s="98">
        <v>0.4</v>
      </c>
      <c r="J1198" s="27"/>
      <c r="K1198" s="29"/>
      <c r="L1198" s="29" t="s">
        <v>126</v>
      </c>
      <c r="M1198" s="29" t="s">
        <v>126</v>
      </c>
      <c r="N1198" s="29" t="s">
        <v>126</v>
      </c>
    </row>
    <row r="1199" spans="2:14" x14ac:dyDescent="0.25">
      <c r="B1199" s="27" t="s">
        <v>123</v>
      </c>
      <c r="C1199" s="28">
        <v>593721</v>
      </c>
      <c r="D1199" s="28" t="s">
        <v>1027</v>
      </c>
      <c r="E1199" s="27" t="s">
        <v>32</v>
      </c>
      <c r="F1199" s="6" t="s">
        <v>1095</v>
      </c>
      <c r="G1199" s="28" t="s">
        <v>55</v>
      </c>
      <c r="H1199" s="28" t="s">
        <v>129</v>
      </c>
      <c r="I1199" s="98">
        <v>0.4</v>
      </c>
      <c r="J1199" s="27"/>
      <c r="K1199" s="29"/>
      <c r="L1199" s="29" t="s">
        <v>126</v>
      </c>
      <c r="M1199" s="29" t="s">
        <v>126</v>
      </c>
      <c r="N1199" s="29" t="s">
        <v>126</v>
      </c>
    </row>
    <row r="1200" spans="2:14" x14ac:dyDescent="0.25">
      <c r="B1200" s="27" t="s">
        <v>123</v>
      </c>
      <c r="C1200" s="28">
        <v>593722</v>
      </c>
      <c r="D1200" s="28" t="s">
        <v>1028</v>
      </c>
      <c r="E1200" s="27" t="s">
        <v>32</v>
      </c>
      <c r="F1200" s="6" t="s">
        <v>1095</v>
      </c>
      <c r="G1200" s="28" t="s">
        <v>55</v>
      </c>
      <c r="H1200" s="28" t="s">
        <v>129</v>
      </c>
      <c r="I1200" s="98">
        <v>0.4</v>
      </c>
      <c r="J1200" s="27"/>
      <c r="K1200" s="29"/>
      <c r="L1200" s="29" t="s">
        <v>126</v>
      </c>
      <c r="M1200" s="29" t="s">
        <v>126</v>
      </c>
      <c r="N1200" s="29" t="s">
        <v>126</v>
      </c>
    </row>
    <row r="1201" spans="2:14" x14ac:dyDescent="0.25">
      <c r="B1201" s="27" t="s">
        <v>123</v>
      </c>
      <c r="C1201" s="28">
        <v>593723</v>
      </c>
      <c r="D1201" s="28" t="s">
        <v>1029</v>
      </c>
      <c r="E1201" s="27" t="s">
        <v>32</v>
      </c>
      <c r="F1201" s="6" t="s">
        <v>1095</v>
      </c>
      <c r="G1201" s="28" t="s">
        <v>55</v>
      </c>
      <c r="H1201" s="28" t="s">
        <v>129</v>
      </c>
      <c r="I1201" s="98">
        <v>0.4</v>
      </c>
      <c r="J1201" s="27"/>
      <c r="K1201" s="29"/>
      <c r="L1201" s="29" t="s">
        <v>126</v>
      </c>
      <c r="M1201" s="29" t="s">
        <v>126</v>
      </c>
      <c r="N1201" s="29" t="s">
        <v>126</v>
      </c>
    </row>
    <row r="1202" spans="2:14" x14ac:dyDescent="0.25">
      <c r="B1202" s="27" t="s">
        <v>123</v>
      </c>
      <c r="C1202" s="28">
        <v>593724</v>
      </c>
      <c r="D1202" s="28" t="s">
        <v>1030</v>
      </c>
      <c r="E1202" s="27" t="s">
        <v>32</v>
      </c>
      <c r="F1202" s="6" t="s">
        <v>1095</v>
      </c>
      <c r="G1202" s="28" t="s">
        <v>55</v>
      </c>
      <c r="H1202" s="28" t="s">
        <v>129</v>
      </c>
      <c r="I1202" s="98">
        <v>0.4</v>
      </c>
      <c r="J1202" s="27"/>
      <c r="K1202" s="29"/>
      <c r="L1202" s="29" t="s">
        <v>126</v>
      </c>
      <c r="M1202" s="29" t="s">
        <v>126</v>
      </c>
      <c r="N1202" s="29" t="s">
        <v>126</v>
      </c>
    </row>
    <row r="1203" spans="2:14" x14ac:dyDescent="0.25">
      <c r="B1203" s="27" t="s">
        <v>123</v>
      </c>
      <c r="C1203" s="28">
        <v>593725</v>
      </c>
      <c r="D1203" s="28" t="s">
        <v>1031</v>
      </c>
      <c r="E1203" s="27" t="s">
        <v>32</v>
      </c>
      <c r="F1203" s="6" t="s">
        <v>1095</v>
      </c>
      <c r="G1203" s="28" t="s">
        <v>55</v>
      </c>
      <c r="H1203" s="28" t="s">
        <v>129</v>
      </c>
      <c r="I1203" s="98">
        <v>0.4</v>
      </c>
      <c r="J1203" s="27"/>
      <c r="K1203" s="29"/>
      <c r="L1203" s="29" t="s">
        <v>126</v>
      </c>
      <c r="M1203" s="29" t="s">
        <v>126</v>
      </c>
      <c r="N1203" s="29" t="s">
        <v>126</v>
      </c>
    </row>
    <row r="1204" spans="2:14" x14ac:dyDescent="0.25">
      <c r="B1204" s="27" t="s">
        <v>123</v>
      </c>
      <c r="C1204" s="28">
        <v>593726</v>
      </c>
      <c r="D1204" s="28" t="s">
        <v>1032</v>
      </c>
      <c r="E1204" s="27" t="s">
        <v>32</v>
      </c>
      <c r="F1204" s="6" t="s">
        <v>1095</v>
      </c>
      <c r="G1204" s="28" t="s">
        <v>55</v>
      </c>
      <c r="H1204" s="28" t="s">
        <v>129</v>
      </c>
      <c r="I1204" s="98">
        <v>0.4</v>
      </c>
      <c r="J1204" s="27"/>
      <c r="K1204" s="29"/>
      <c r="L1204" s="29" t="s">
        <v>126</v>
      </c>
      <c r="M1204" s="29" t="s">
        <v>126</v>
      </c>
      <c r="N1204" s="29" t="s">
        <v>126</v>
      </c>
    </row>
    <row r="1205" spans="2:14" x14ac:dyDescent="0.25">
      <c r="B1205" s="27" t="s">
        <v>123</v>
      </c>
      <c r="C1205" s="28">
        <v>593727</v>
      </c>
      <c r="D1205" s="28" t="s">
        <v>1033</v>
      </c>
      <c r="E1205" s="27" t="s">
        <v>32</v>
      </c>
      <c r="F1205" s="6" t="s">
        <v>1095</v>
      </c>
      <c r="G1205" s="28" t="s">
        <v>55</v>
      </c>
      <c r="H1205" s="28" t="s">
        <v>129</v>
      </c>
      <c r="I1205" s="98">
        <v>0.4</v>
      </c>
      <c r="J1205" s="27"/>
      <c r="K1205" s="29"/>
      <c r="L1205" s="29" t="s">
        <v>126</v>
      </c>
      <c r="M1205" s="29" t="s">
        <v>126</v>
      </c>
      <c r="N1205" s="29" t="s">
        <v>126</v>
      </c>
    </row>
    <row r="1206" spans="2:14" x14ac:dyDescent="0.25">
      <c r="B1206" s="27" t="s">
        <v>123</v>
      </c>
      <c r="C1206" s="28">
        <v>593728</v>
      </c>
      <c r="D1206" s="28" t="s">
        <v>1034</v>
      </c>
      <c r="E1206" s="27" t="s">
        <v>32</v>
      </c>
      <c r="F1206" s="6" t="s">
        <v>1095</v>
      </c>
      <c r="G1206" s="28" t="s">
        <v>55</v>
      </c>
      <c r="H1206" s="28" t="s">
        <v>129</v>
      </c>
      <c r="I1206" s="98">
        <v>0.4</v>
      </c>
      <c r="J1206" s="27"/>
      <c r="K1206" s="29"/>
      <c r="L1206" s="29" t="s">
        <v>126</v>
      </c>
      <c r="M1206" s="29" t="s">
        <v>126</v>
      </c>
      <c r="N1206" s="29" t="s">
        <v>126</v>
      </c>
    </row>
    <row r="1207" spans="2:14" x14ac:dyDescent="0.25">
      <c r="B1207" s="27" t="s">
        <v>123</v>
      </c>
      <c r="C1207" s="28">
        <v>593729</v>
      </c>
      <c r="D1207" s="28" t="s">
        <v>1035</v>
      </c>
      <c r="E1207" s="27" t="s">
        <v>32</v>
      </c>
      <c r="F1207" s="6" t="s">
        <v>1095</v>
      </c>
      <c r="G1207" s="28" t="s">
        <v>55</v>
      </c>
      <c r="H1207" s="28" t="s">
        <v>129</v>
      </c>
      <c r="I1207" s="98">
        <v>0.4</v>
      </c>
      <c r="J1207" s="27"/>
      <c r="K1207" s="29"/>
      <c r="L1207" s="29" t="s">
        <v>126</v>
      </c>
      <c r="M1207" s="29" t="s">
        <v>126</v>
      </c>
      <c r="N1207" s="29" t="s">
        <v>126</v>
      </c>
    </row>
    <row r="1208" spans="2:14" x14ac:dyDescent="0.25">
      <c r="B1208" s="27" t="s">
        <v>123</v>
      </c>
      <c r="C1208" s="28">
        <v>593730</v>
      </c>
      <c r="D1208" s="28" t="s">
        <v>1036</v>
      </c>
      <c r="E1208" s="27" t="s">
        <v>32</v>
      </c>
      <c r="F1208" s="6" t="s">
        <v>1095</v>
      </c>
      <c r="G1208" s="28" t="s">
        <v>55</v>
      </c>
      <c r="H1208" s="28" t="s">
        <v>129</v>
      </c>
      <c r="I1208" s="98">
        <v>0.4</v>
      </c>
      <c r="J1208" s="27"/>
      <c r="K1208" s="29"/>
      <c r="L1208" s="29" t="s">
        <v>126</v>
      </c>
      <c r="M1208" s="29" t="s">
        <v>126</v>
      </c>
      <c r="N1208" s="29" t="s">
        <v>126</v>
      </c>
    </row>
    <row r="1209" spans="2:14" x14ac:dyDescent="0.25">
      <c r="B1209" s="27" t="s">
        <v>123</v>
      </c>
      <c r="C1209" s="28">
        <v>593731</v>
      </c>
      <c r="D1209" s="28" t="s">
        <v>1037</v>
      </c>
      <c r="E1209" s="27" t="s">
        <v>32</v>
      </c>
      <c r="F1209" s="6" t="s">
        <v>1095</v>
      </c>
      <c r="G1209" s="28" t="s">
        <v>55</v>
      </c>
      <c r="H1209" s="28" t="s">
        <v>129</v>
      </c>
      <c r="I1209" s="98">
        <v>0.4</v>
      </c>
      <c r="J1209" s="27"/>
      <c r="K1209" s="29"/>
      <c r="L1209" s="29" t="s">
        <v>126</v>
      </c>
      <c r="M1209" s="29" t="s">
        <v>126</v>
      </c>
      <c r="N1209" s="29" t="s">
        <v>126</v>
      </c>
    </row>
    <row r="1210" spans="2:14" x14ac:dyDescent="0.25">
      <c r="B1210" s="27" t="s">
        <v>123</v>
      </c>
      <c r="C1210" s="28">
        <v>593732</v>
      </c>
      <c r="D1210" s="28" t="s">
        <v>1038</v>
      </c>
      <c r="E1210" s="27" t="s">
        <v>32</v>
      </c>
      <c r="F1210" s="6" t="s">
        <v>1095</v>
      </c>
      <c r="G1210" s="28" t="s">
        <v>55</v>
      </c>
      <c r="H1210" s="28" t="s">
        <v>129</v>
      </c>
      <c r="I1210" s="98">
        <v>0.4</v>
      </c>
      <c r="J1210" s="27"/>
      <c r="K1210" s="29"/>
      <c r="L1210" s="29" t="s">
        <v>126</v>
      </c>
      <c r="M1210" s="29" t="s">
        <v>126</v>
      </c>
      <c r="N1210" s="29" t="s">
        <v>126</v>
      </c>
    </row>
    <row r="1211" spans="2:14" x14ac:dyDescent="0.25">
      <c r="B1211" s="27" t="s">
        <v>123</v>
      </c>
      <c r="C1211" s="28">
        <v>593733</v>
      </c>
      <c r="D1211" s="28" t="s">
        <v>1039</v>
      </c>
      <c r="E1211" s="27" t="s">
        <v>32</v>
      </c>
      <c r="F1211" s="6" t="s">
        <v>1095</v>
      </c>
      <c r="G1211" s="28" t="s">
        <v>55</v>
      </c>
      <c r="H1211" s="28" t="s">
        <v>129</v>
      </c>
      <c r="I1211" s="98">
        <v>0.4</v>
      </c>
      <c r="J1211" s="27"/>
      <c r="K1211" s="29"/>
      <c r="L1211" s="29" t="s">
        <v>126</v>
      </c>
      <c r="M1211" s="29" t="s">
        <v>126</v>
      </c>
      <c r="N1211" s="29" t="s">
        <v>126</v>
      </c>
    </row>
    <row r="1212" spans="2:14" x14ac:dyDescent="0.25">
      <c r="B1212" s="27" t="s">
        <v>123</v>
      </c>
      <c r="C1212" s="28">
        <v>593734</v>
      </c>
      <c r="D1212" s="28" t="s">
        <v>1040</v>
      </c>
      <c r="E1212" s="27" t="s">
        <v>32</v>
      </c>
      <c r="F1212" s="6" t="s">
        <v>1095</v>
      </c>
      <c r="G1212" s="28" t="s">
        <v>55</v>
      </c>
      <c r="H1212" s="28" t="s">
        <v>129</v>
      </c>
      <c r="I1212" s="98">
        <v>0.4</v>
      </c>
      <c r="J1212" s="27"/>
      <c r="K1212" s="29"/>
      <c r="L1212" s="29" t="s">
        <v>126</v>
      </c>
      <c r="M1212" s="29" t="s">
        <v>126</v>
      </c>
      <c r="N1212" s="29" t="s">
        <v>126</v>
      </c>
    </row>
    <row r="1213" spans="2:14" x14ac:dyDescent="0.25">
      <c r="B1213" s="27" t="s">
        <v>123</v>
      </c>
      <c r="C1213" s="28">
        <v>593735</v>
      </c>
      <c r="D1213" s="28" t="s">
        <v>1041</v>
      </c>
      <c r="E1213" s="27" t="s">
        <v>32</v>
      </c>
      <c r="F1213" s="6" t="s">
        <v>1095</v>
      </c>
      <c r="G1213" s="28" t="s">
        <v>55</v>
      </c>
      <c r="H1213" s="28" t="s">
        <v>129</v>
      </c>
      <c r="I1213" s="98">
        <v>0.4</v>
      </c>
      <c r="J1213" s="27"/>
      <c r="K1213" s="29"/>
      <c r="L1213" s="29" t="s">
        <v>126</v>
      </c>
      <c r="M1213" s="29" t="s">
        <v>126</v>
      </c>
      <c r="N1213" s="29" t="s">
        <v>126</v>
      </c>
    </row>
    <row r="1214" spans="2:14" x14ac:dyDescent="0.25">
      <c r="B1214" s="27" t="s">
        <v>123</v>
      </c>
      <c r="C1214" s="28">
        <v>593736</v>
      </c>
      <c r="D1214" s="28" t="s">
        <v>1042</v>
      </c>
      <c r="E1214" s="27" t="s">
        <v>32</v>
      </c>
      <c r="F1214" s="6" t="s">
        <v>1095</v>
      </c>
      <c r="G1214" s="28" t="s">
        <v>55</v>
      </c>
      <c r="H1214" s="28" t="s">
        <v>129</v>
      </c>
      <c r="I1214" s="98">
        <v>0.4</v>
      </c>
      <c r="J1214" s="27"/>
      <c r="K1214" s="29"/>
      <c r="L1214" s="29" t="s">
        <v>126</v>
      </c>
      <c r="M1214" s="29" t="s">
        <v>126</v>
      </c>
      <c r="N1214" s="29" t="s">
        <v>126</v>
      </c>
    </row>
    <row r="1215" spans="2:14" x14ac:dyDescent="0.25">
      <c r="B1215" s="27" t="s">
        <v>123</v>
      </c>
      <c r="C1215" s="28">
        <v>593737</v>
      </c>
      <c r="D1215" s="28" t="s">
        <v>1043</v>
      </c>
      <c r="E1215" s="27" t="s">
        <v>32</v>
      </c>
      <c r="F1215" s="6" t="s">
        <v>1095</v>
      </c>
      <c r="G1215" s="28" t="s">
        <v>55</v>
      </c>
      <c r="H1215" s="28" t="s">
        <v>129</v>
      </c>
      <c r="I1215" s="98">
        <v>0.4</v>
      </c>
      <c r="J1215" s="27"/>
      <c r="K1215" s="29"/>
      <c r="L1215" s="29" t="s">
        <v>126</v>
      </c>
      <c r="M1215" s="29" t="s">
        <v>126</v>
      </c>
      <c r="N1215" s="29" t="s">
        <v>126</v>
      </c>
    </row>
    <row r="1216" spans="2:14" x14ac:dyDescent="0.25">
      <c r="B1216" s="27" t="s">
        <v>123</v>
      </c>
      <c r="C1216" s="28">
        <v>593738</v>
      </c>
      <c r="D1216" s="28" t="s">
        <v>1044</v>
      </c>
      <c r="E1216" s="27" t="s">
        <v>32</v>
      </c>
      <c r="F1216" s="6" t="s">
        <v>1095</v>
      </c>
      <c r="G1216" s="28" t="s">
        <v>55</v>
      </c>
      <c r="H1216" s="28" t="s">
        <v>129</v>
      </c>
      <c r="I1216" s="98">
        <v>0.4</v>
      </c>
      <c r="J1216" s="27"/>
      <c r="K1216" s="29"/>
      <c r="L1216" s="29" t="s">
        <v>126</v>
      </c>
      <c r="M1216" s="29" t="s">
        <v>126</v>
      </c>
      <c r="N1216" s="29" t="s">
        <v>126</v>
      </c>
    </row>
    <row r="1217" spans="2:14" x14ac:dyDescent="0.25">
      <c r="B1217" s="27" t="s">
        <v>123</v>
      </c>
      <c r="C1217" s="28">
        <v>593739</v>
      </c>
      <c r="D1217" s="28" t="s">
        <v>1045</v>
      </c>
      <c r="E1217" s="27" t="s">
        <v>32</v>
      </c>
      <c r="F1217" s="6" t="s">
        <v>1095</v>
      </c>
      <c r="G1217" s="28" t="s">
        <v>55</v>
      </c>
      <c r="H1217" s="28" t="s">
        <v>129</v>
      </c>
      <c r="I1217" s="98">
        <v>0.4</v>
      </c>
      <c r="J1217" s="27"/>
      <c r="K1217" s="29"/>
      <c r="L1217" s="29" t="s">
        <v>126</v>
      </c>
      <c r="M1217" s="29" t="s">
        <v>126</v>
      </c>
      <c r="N1217" s="29" t="s">
        <v>126</v>
      </c>
    </row>
    <row r="1218" spans="2:14" x14ac:dyDescent="0.25">
      <c r="B1218" s="27" t="s">
        <v>123</v>
      </c>
      <c r="C1218" s="28">
        <v>593740</v>
      </c>
      <c r="D1218" s="28" t="s">
        <v>1046</v>
      </c>
      <c r="E1218" s="27" t="s">
        <v>32</v>
      </c>
      <c r="F1218" s="6" t="s">
        <v>1095</v>
      </c>
      <c r="G1218" s="28" t="s">
        <v>55</v>
      </c>
      <c r="H1218" s="28" t="s">
        <v>129</v>
      </c>
      <c r="I1218" s="98">
        <v>0.4</v>
      </c>
      <c r="J1218" s="27"/>
      <c r="K1218" s="29"/>
      <c r="L1218" s="29" t="s">
        <v>126</v>
      </c>
      <c r="M1218" s="29" t="s">
        <v>126</v>
      </c>
      <c r="N1218" s="29" t="s">
        <v>126</v>
      </c>
    </row>
    <row r="1219" spans="2:14" x14ac:dyDescent="0.25">
      <c r="B1219" s="27" t="s">
        <v>123</v>
      </c>
      <c r="C1219" s="28">
        <v>593741</v>
      </c>
      <c r="D1219" s="28" t="s">
        <v>1047</v>
      </c>
      <c r="E1219" s="27" t="s">
        <v>32</v>
      </c>
      <c r="F1219" s="6" t="s">
        <v>1095</v>
      </c>
      <c r="G1219" s="28" t="s">
        <v>55</v>
      </c>
      <c r="H1219" s="28" t="s">
        <v>129</v>
      </c>
      <c r="I1219" s="98">
        <v>0.4</v>
      </c>
      <c r="J1219" s="27"/>
      <c r="K1219" s="29"/>
      <c r="L1219" s="29" t="s">
        <v>126</v>
      </c>
      <c r="M1219" s="29" t="s">
        <v>126</v>
      </c>
      <c r="N1219" s="29" t="s">
        <v>126</v>
      </c>
    </row>
    <row r="1220" spans="2:14" x14ac:dyDescent="0.25">
      <c r="B1220" s="27" t="s">
        <v>123</v>
      </c>
      <c r="C1220" s="28">
        <v>593742</v>
      </c>
      <c r="D1220" s="28" t="s">
        <v>1048</v>
      </c>
      <c r="E1220" s="27" t="s">
        <v>32</v>
      </c>
      <c r="F1220" s="6" t="s">
        <v>1095</v>
      </c>
      <c r="G1220" s="28" t="s">
        <v>55</v>
      </c>
      <c r="H1220" s="28" t="s">
        <v>129</v>
      </c>
      <c r="I1220" s="98">
        <v>0.4</v>
      </c>
      <c r="J1220" s="27"/>
      <c r="K1220" s="29"/>
      <c r="L1220" s="29" t="s">
        <v>126</v>
      </c>
      <c r="M1220" s="29" t="s">
        <v>126</v>
      </c>
      <c r="N1220" s="29" t="s">
        <v>126</v>
      </c>
    </row>
    <row r="1221" spans="2:14" x14ac:dyDescent="0.25">
      <c r="B1221" s="27" t="s">
        <v>123</v>
      </c>
      <c r="C1221" s="28">
        <v>593743</v>
      </c>
      <c r="D1221" s="28" t="s">
        <v>1049</v>
      </c>
      <c r="E1221" s="27" t="s">
        <v>32</v>
      </c>
      <c r="F1221" s="6" t="s">
        <v>1095</v>
      </c>
      <c r="G1221" s="28" t="s">
        <v>55</v>
      </c>
      <c r="H1221" s="28" t="s">
        <v>129</v>
      </c>
      <c r="I1221" s="98">
        <v>0.4</v>
      </c>
      <c r="J1221" s="27"/>
      <c r="K1221" s="29"/>
      <c r="L1221" s="29" t="s">
        <v>126</v>
      </c>
      <c r="M1221" s="29" t="s">
        <v>126</v>
      </c>
      <c r="N1221" s="29" t="s">
        <v>126</v>
      </c>
    </row>
    <row r="1222" spans="2:14" x14ac:dyDescent="0.25">
      <c r="B1222" s="27" t="s">
        <v>123</v>
      </c>
      <c r="C1222" s="28">
        <v>593744</v>
      </c>
      <c r="D1222" s="28" t="s">
        <v>1050</v>
      </c>
      <c r="E1222" s="27" t="s">
        <v>32</v>
      </c>
      <c r="F1222" s="6" t="s">
        <v>1095</v>
      </c>
      <c r="G1222" s="28" t="s">
        <v>55</v>
      </c>
      <c r="H1222" s="28" t="s">
        <v>129</v>
      </c>
      <c r="I1222" s="98">
        <v>0.4</v>
      </c>
      <c r="J1222" s="27"/>
      <c r="K1222" s="29"/>
      <c r="L1222" s="29" t="s">
        <v>126</v>
      </c>
      <c r="M1222" s="29" t="s">
        <v>126</v>
      </c>
      <c r="N1222" s="29" t="s">
        <v>126</v>
      </c>
    </row>
    <row r="1223" spans="2:14" x14ac:dyDescent="0.25">
      <c r="B1223" s="27" t="s">
        <v>123</v>
      </c>
      <c r="C1223" s="28">
        <v>593745</v>
      </c>
      <c r="D1223" s="28" t="s">
        <v>1051</v>
      </c>
      <c r="E1223" s="27" t="s">
        <v>32</v>
      </c>
      <c r="F1223" s="6" t="s">
        <v>1095</v>
      </c>
      <c r="G1223" s="28" t="s">
        <v>55</v>
      </c>
      <c r="H1223" s="28" t="s">
        <v>129</v>
      </c>
      <c r="I1223" s="98">
        <v>0.4</v>
      </c>
      <c r="J1223" s="27"/>
      <c r="K1223" s="29"/>
      <c r="L1223" s="29" t="s">
        <v>126</v>
      </c>
      <c r="M1223" s="29" t="s">
        <v>126</v>
      </c>
      <c r="N1223" s="29" t="s">
        <v>126</v>
      </c>
    </row>
    <row r="1224" spans="2:14" x14ac:dyDescent="0.25">
      <c r="B1224" s="27" t="s">
        <v>123</v>
      </c>
      <c r="C1224" s="28">
        <v>593746</v>
      </c>
      <c r="D1224" s="28" t="s">
        <v>1052</v>
      </c>
      <c r="E1224" s="27" t="s">
        <v>32</v>
      </c>
      <c r="F1224" s="6" t="s">
        <v>1095</v>
      </c>
      <c r="G1224" s="28" t="s">
        <v>55</v>
      </c>
      <c r="H1224" s="28" t="s">
        <v>129</v>
      </c>
      <c r="I1224" s="98">
        <v>0.4</v>
      </c>
      <c r="J1224" s="27"/>
      <c r="K1224" s="29"/>
      <c r="L1224" s="29" t="s">
        <v>126</v>
      </c>
      <c r="M1224" s="29" t="s">
        <v>126</v>
      </c>
      <c r="N1224" s="29" t="s">
        <v>126</v>
      </c>
    </row>
    <row r="1225" spans="2:14" x14ac:dyDescent="0.25">
      <c r="B1225" s="27" t="s">
        <v>123</v>
      </c>
      <c r="C1225" s="28">
        <v>593747</v>
      </c>
      <c r="D1225" s="28" t="s">
        <v>1053</v>
      </c>
      <c r="E1225" s="27" t="s">
        <v>32</v>
      </c>
      <c r="F1225" s="6" t="s">
        <v>1095</v>
      </c>
      <c r="G1225" s="28" t="s">
        <v>55</v>
      </c>
      <c r="H1225" s="28" t="s">
        <v>129</v>
      </c>
      <c r="I1225" s="98">
        <v>0.4</v>
      </c>
      <c r="J1225" s="27"/>
      <c r="K1225" s="29"/>
      <c r="L1225" s="29" t="s">
        <v>126</v>
      </c>
      <c r="M1225" s="29" t="s">
        <v>126</v>
      </c>
      <c r="N1225" s="29" t="s">
        <v>126</v>
      </c>
    </row>
    <row r="1226" spans="2:14" x14ac:dyDescent="0.25">
      <c r="B1226" s="27" t="s">
        <v>123</v>
      </c>
      <c r="C1226" s="28">
        <v>593748</v>
      </c>
      <c r="D1226" s="28" t="s">
        <v>1054</v>
      </c>
      <c r="E1226" s="27" t="s">
        <v>32</v>
      </c>
      <c r="F1226" s="6" t="s">
        <v>1095</v>
      </c>
      <c r="G1226" s="28" t="s">
        <v>55</v>
      </c>
      <c r="H1226" s="28" t="s">
        <v>129</v>
      </c>
      <c r="I1226" s="98">
        <v>0.4</v>
      </c>
      <c r="J1226" s="27"/>
      <c r="K1226" s="29"/>
      <c r="L1226" s="29" t="s">
        <v>126</v>
      </c>
      <c r="M1226" s="29" t="s">
        <v>126</v>
      </c>
      <c r="N1226" s="29" t="s">
        <v>126</v>
      </c>
    </row>
    <row r="1227" spans="2:14" x14ac:dyDescent="0.25">
      <c r="B1227" s="27" t="s">
        <v>123</v>
      </c>
      <c r="C1227" s="28">
        <v>593749</v>
      </c>
      <c r="D1227" s="28" t="s">
        <v>1055</v>
      </c>
      <c r="E1227" s="27" t="s">
        <v>32</v>
      </c>
      <c r="F1227" s="6" t="s">
        <v>1095</v>
      </c>
      <c r="G1227" s="28" t="s">
        <v>55</v>
      </c>
      <c r="H1227" s="28" t="s">
        <v>129</v>
      </c>
      <c r="I1227" s="98">
        <v>0.4</v>
      </c>
      <c r="J1227" s="27"/>
      <c r="K1227" s="29"/>
      <c r="L1227" s="29" t="s">
        <v>126</v>
      </c>
      <c r="M1227" s="29" t="s">
        <v>126</v>
      </c>
      <c r="N1227" s="29" t="s">
        <v>126</v>
      </c>
    </row>
    <row r="1228" spans="2:14" x14ac:dyDescent="0.25">
      <c r="B1228" s="27" t="s">
        <v>123</v>
      </c>
      <c r="C1228" s="28">
        <v>593750</v>
      </c>
      <c r="D1228" s="28" t="s">
        <v>1056</v>
      </c>
      <c r="E1228" s="27" t="s">
        <v>32</v>
      </c>
      <c r="F1228" s="6" t="s">
        <v>1095</v>
      </c>
      <c r="G1228" s="28" t="s">
        <v>55</v>
      </c>
      <c r="H1228" s="28" t="s">
        <v>129</v>
      </c>
      <c r="I1228" s="98">
        <v>0.4</v>
      </c>
      <c r="J1228" s="27"/>
      <c r="K1228" s="29"/>
      <c r="L1228" s="29" t="s">
        <v>126</v>
      </c>
      <c r="M1228" s="29" t="s">
        <v>126</v>
      </c>
      <c r="N1228" s="29" t="s">
        <v>126</v>
      </c>
    </row>
    <row r="1229" spans="2:14" x14ac:dyDescent="0.25">
      <c r="B1229" s="27" t="s">
        <v>123</v>
      </c>
      <c r="C1229" s="28">
        <v>593751</v>
      </c>
      <c r="D1229" s="28" t="s">
        <v>1057</v>
      </c>
      <c r="E1229" s="27" t="s">
        <v>32</v>
      </c>
      <c r="F1229" s="6" t="s">
        <v>1095</v>
      </c>
      <c r="G1229" s="28" t="s">
        <v>55</v>
      </c>
      <c r="H1229" s="28" t="s">
        <v>129</v>
      </c>
      <c r="I1229" s="98">
        <v>0.4</v>
      </c>
      <c r="J1229" s="27"/>
      <c r="K1229" s="29"/>
      <c r="L1229" s="29" t="s">
        <v>126</v>
      </c>
      <c r="M1229" s="29" t="s">
        <v>126</v>
      </c>
      <c r="N1229" s="29" t="s">
        <v>126</v>
      </c>
    </row>
    <row r="1230" spans="2:14" x14ac:dyDescent="0.25">
      <c r="B1230" s="27" t="s">
        <v>123</v>
      </c>
      <c r="C1230" s="28">
        <v>593752</v>
      </c>
      <c r="D1230" s="28" t="s">
        <v>1058</v>
      </c>
      <c r="E1230" s="27" t="s">
        <v>32</v>
      </c>
      <c r="F1230" s="6" t="s">
        <v>1095</v>
      </c>
      <c r="G1230" s="28" t="s">
        <v>55</v>
      </c>
      <c r="H1230" s="28" t="s">
        <v>129</v>
      </c>
      <c r="I1230" s="98">
        <v>0.4</v>
      </c>
      <c r="J1230" s="27"/>
      <c r="K1230" s="29"/>
      <c r="L1230" s="29" t="s">
        <v>126</v>
      </c>
      <c r="M1230" s="29" t="s">
        <v>126</v>
      </c>
      <c r="N1230" s="29" t="s">
        <v>126</v>
      </c>
    </row>
    <row r="1231" spans="2:14" x14ac:dyDescent="0.25">
      <c r="B1231" s="27" t="s">
        <v>123</v>
      </c>
      <c r="C1231" s="28">
        <v>593753</v>
      </c>
      <c r="D1231" s="28" t="s">
        <v>1059</v>
      </c>
      <c r="E1231" s="27" t="s">
        <v>32</v>
      </c>
      <c r="F1231" s="6" t="s">
        <v>1095</v>
      </c>
      <c r="G1231" s="28" t="s">
        <v>55</v>
      </c>
      <c r="H1231" s="28" t="s">
        <v>129</v>
      </c>
      <c r="I1231" s="98">
        <v>0.4</v>
      </c>
      <c r="J1231" s="27"/>
      <c r="K1231" s="29"/>
      <c r="L1231" s="29" t="s">
        <v>126</v>
      </c>
      <c r="M1231" s="29" t="s">
        <v>126</v>
      </c>
      <c r="N1231" s="29" t="s">
        <v>126</v>
      </c>
    </row>
    <row r="1232" spans="2:14" x14ac:dyDescent="0.25">
      <c r="B1232" s="27" t="s">
        <v>123</v>
      </c>
      <c r="C1232" s="28">
        <v>593754</v>
      </c>
      <c r="D1232" s="28" t="s">
        <v>1060</v>
      </c>
      <c r="E1232" s="27" t="s">
        <v>32</v>
      </c>
      <c r="F1232" s="6" t="s">
        <v>1095</v>
      </c>
      <c r="G1232" s="28" t="s">
        <v>55</v>
      </c>
      <c r="H1232" s="28" t="s">
        <v>129</v>
      </c>
      <c r="I1232" s="98">
        <v>0.4</v>
      </c>
      <c r="J1232" s="27"/>
      <c r="K1232" s="29"/>
      <c r="L1232" s="29" t="s">
        <v>126</v>
      </c>
      <c r="M1232" s="29" t="s">
        <v>126</v>
      </c>
      <c r="N1232" s="29" t="s">
        <v>126</v>
      </c>
    </row>
    <row r="1233" spans="2:14" x14ac:dyDescent="0.25">
      <c r="B1233" s="27" t="s">
        <v>123</v>
      </c>
      <c r="C1233" s="28">
        <v>593755</v>
      </c>
      <c r="D1233" s="28" t="s">
        <v>1061</v>
      </c>
      <c r="E1233" s="27" t="s">
        <v>32</v>
      </c>
      <c r="F1233" s="6" t="s">
        <v>1095</v>
      </c>
      <c r="G1233" s="28" t="s">
        <v>55</v>
      </c>
      <c r="H1233" s="28" t="s">
        <v>129</v>
      </c>
      <c r="I1233" s="98">
        <v>0.4</v>
      </c>
      <c r="J1233" s="27"/>
      <c r="K1233" s="29"/>
      <c r="L1233" s="29" t="s">
        <v>126</v>
      </c>
      <c r="M1233" s="29" t="s">
        <v>126</v>
      </c>
      <c r="N1233" s="29" t="s">
        <v>126</v>
      </c>
    </row>
    <row r="1234" spans="2:14" x14ac:dyDescent="0.25">
      <c r="B1234" s="27" t="s">
        <v>123</v>
      </c>
      <c r="C1234" s="28">
        <v>593756</v>
      </c>
      <c r="D1234" s="28" t="s">
        <v>1062</v>
      </c>
      <c r="E1234" s="27" t="s">
        <v>32</v>
      </c>
      <c r="F1234" s="6" t="s">
        <v>1095</v>
      </c>
      <c r="G1234" s="28" t="s">
        <v>55</v>
      </c>
      <c r="H1234" s="28" t="s">
        <v>129</v>
      </c>
      <c r="I1234" s="98">
        <v>0.4</v>
      </c>
      <c r="J1234" s="27"/>
      <c r="K1234" s="29"/>
      <c r="L1234" s="29" t="s">
        <v>126</v>
      </c>
      <c r="M1234" s="29" t="s">
        <v>126</v>
      </c>
      <c r="N1234" s="29" t="s">
        <v>126</v>
      </c>
    </row>
    <row r="1235" spans="2:14" x14ac:dyDescent="0.25">
      <c r="B1235" s="27" t="s">
        <v>123</v>
      </c>
      <c r="C1235" s="28">
        <v>593757</v>
      </c>
      <c r="D1235" s="28" t="s">
        <v>1063</v>
      </c>
      <c r="E1235" s="27" t="s">
        <v>32</v>
      </c>
      <c r="F1235" s="6" t="s">
        <v>1095</v>
      </c>
      <c r="G1235" s="28" t="s">
        <v>55</v>
      </c>
      <c r="H1235" s="28" t="s">
        <v>129</v>
      </c>
      <c r="I1235" s="98">
        <v>0.4</v>
      </c>
      <c r="J1235" s="27"/>
      <c r="K1235" s="29"/>
      <c r="L1235" s="29" t="s">
        <v>126</v>
      </c>
      <c r="M1235" s="29" t="s">
        <v>126</v>
      </c>
      <c r="N1235" s="29" t="s">
        <v>126</v>
      </c>
    </row>
    <row r="1236" spans="2:14" x14ac:dyDescent="0.25">
      <c r="B1236" s="27" t="s">
        <v>123</v>
      </c>
      <c r="C1236" s="28">
        <v>593759</v>
      </c>
      <c r="D1236" s="28" t="s">
        <v>1064</v>
      </c>
      <c r="E1236" s="27" t="s">
        <v>32</v>
      </c>
      <c r="F1236" s="6" t="s">
        <v>1095</v>
      </c>
      <c r="G1236" s="28" t="s">
        <v>55</v>
      </c>
      <c r="H1236" s="28" t="s">
        <v>129</v>
      </c>
      <c r="I1236" s="98">
        <v>0.4</v>
      </c>
      <c r="J1236" s="27"/>
      <c r="K1236" s="29"/>
      <c r="L1236" s="29" t="s">
        <v>126</v>
      </c>
      <c r="M1236" s="29" t="s">
        <v>126</v>
      </c>
      <c r="N1236" s="29" t="s">
        <v>126</v>
      </c>
    </row>
    <row r="1237" spans="2:14" x14ac:dyDescent="0.25">
      <c r="B1237" s="27" t="s">
        <v>123</v>
      </c>
      <c r="C1237" s="28">
        <v>593760</v>
      </c>
      <c r="D1237" s="28" t="s">
        <v>1065</v>
      </c>
      <c r="E1237" s="27" t="s">
        <v>32</v>
      </c>
      <c r="F1237" s="6" t="s">
        <v>1095</v>
      </c>
      <c r="G1237" s="28" t="s">
        <v>55</v>
      </c>
      <c r="H1237" s="28" t="s">
        <v>129</v>
      </c>
      <c r="I1237" s="98">
        <v>0.4</v>
      </c>
      <c r="J1237" s="27"/>
      <c r="K1237" s="29"/>
      <c r="L1237" s="29" t="s">
        <v>126</v>
      </c>
      <c r="M1237" s="29" t="s">
        <v>126</v>
      </c>
      <c r="N1237" s="29" t="s">
        <v>126</v>
      </c>
    </row>
    <row r="1238" spans="2:14" x14ac:dyDescent="0.25">
      <c r="B1238" s="27" t="s">
        <v>123</v>
      </c>
      <c r="C1238" s="28">
        <v>593761</v>
      </c>
      <c r="D1238" s="28" t="s">
        <v>1066</v>
      </c>
      <c r="E1238" s="27" t="s">
        <v>32</v>
      </c>
      <c r="F1238" s="6" t="s">
        <v>1095</v>
      </c>
      <c r="G1238" s="28" t="s">
        <v>55</v>
      </c>
      <c r="H1238" s="28" t="s">
        <v>129</v>
      </c>
      <c r="I1238" s="98">
        <v>0.4</v>
      </c>
      <c r="J1238" s="27"/>
      <c r="K1238" s="29"/>
      <c r="L1238" s="29" t="s">
        <v>126</v>
      </c>
      <c r="M1238" s="29" t="s">
        <v>126</v>
      </c>
      <c r="N1238" s="29" t="s">
        <v>126</v>
      </c>
    </row>
    <row r="1239" spans="2:14" x14ac:dyDescent="0.25">
      <c r="B1239" s="27" t="s">
        <v>123</v>
      </c>
      <c r="C1239" s="28">
        <v>593762</v>
      </c>
      <c r="D1239" s="28" t="s">
        <v>1067</v>
      </c>
      <c r="E1239" s="27" t="s">
        <v>32</v>
      </c>
      <c r="F1239" s="6" t="s">
        <v>1095</v>
      </c>
      <c r="G1239" s="28" t="s">
        <v>55</v>
      </c>
      <c r="H1239" s="28" t="s">
        <v>129</v>
      </c>
      <c r="I1239" s="98">
        <v>0.4</v>
      </c>
      <c r="J1239" s="27"/>
      <c r="K1239" s="29"/>
      <c r="L1239" s="29" t="s">
        <v>126</v>
      </c>
      <c r="M1239" s="29" t="s">
        <v>126</v>
      </c>
      <c r="N1239" s="29" t="s">
        <v>126</v>
      </c>
    </row>
    <row r="1240" spans="2:14" x14ac:dyDescent="0.25">
      <c r="B1240" s="27" t="s">
        <v>123</v>
      </c>
      <c r="C1240" s="28">
        <v>593763</v>
      </c>
      <c r="D1240" s="28" t="s">
        <v>1068</v>
      </c>
      <c r="E1240" s="27" t="s">
        <v>32</v>
      </c>
      <c r="F1240" s="6" t="s">
        <v>1095</v>
      </c>
      <c r="G1240" s="28" t="s">
        <v>55</v>
      </c>
      <c r="H1240" s="28" t="s">
        <v>129</v>
      </c>
      <c r="I1240" s="98">
        <v>0.4</v>
      </c>
      <c r="J1240" s="27"/>
      <c r="K1240" s="29"/>
      <c r="L1240" s="29" t="s">
        <v>126</v>
      </c>
      <c r="M1240" s="29" t="s">
        <v>126</v>
      </c>
      <c r="N1240" s="29" t="s">
        <v>126</v>
      </c>
    </row>
    <row r="1241" spans="2:14" x14ac:dyDescent="0.25">
      <c r="B1241" s="27" t="s">
        <v>123</v>
      </c>
      <c r="C1241" s="28">
        <v>593764</v>
      </c>
      <c r="D1241" s="28" t="s">
        <v>1069</v>
      </c>
      <c r="E1241" s="27" t="s">
        <v>32</v>
      </c>
      <c r="F1241" s="6" t="s">
        <v>1095</v>
      </c>
      <c r="G1241" s="28" t="s">
        <v>55</v>
      </c>
      <c r="H1241" s="28" t="s">
        <v>129</v>
      </c>
      <c r="I1241" s="98">
        <v>0.4</v>
      </c>
      <c r="J1241" s="27"/>
      <c r="K1241" s="29"/>
      <c r="L1241" s="29" t="s">
        <v>126</v>
      </c>
      <c r="M1241" s="29" t="s">
        <v>126</v>
      </c>
      <c r="N1241" s="29" t="s">
        <v>126</v>
      </c>
    </row>
    <row r="1242" spans="2:14" x14ac:dyDescent="0.25">
      <c r="B1242" s="27" t="s">
        <v>123</v>
      </c>
      <c r="C1242" s="28">
        <v>593765</v>
      </c>
      <c r="D1242" s="28" t="s">
        <v>1070</v>
      </c>
      <c r="E1242" s="27" t="s">
        <v>32</v>
      </c>
      <c r="F1242" s="6" t="s">
        <v>1095</v>
      </c>
      <c r="G1242" s="28" t="s">
        <v>55</v>
      </c>
      <c r="H1242" s="28" t="s">
        <v>129</v>
      </c>
      <c r="I1242" s="98">
        <v>0.4</v>
      </c>
      <c r="J1242" s="27"/>
      <c r="K1242" s="29"/>
      <c r="L1242" s="29" t="s">
        <v>126</v>
      </c>
      <c r="M1242" s="29" t="s">
        <v>126</v>
      </c>
      <c r="N1242" s="29" t="s">
        <v>126</v>
      </c>
    </row>
    <row r="1243" spans="2:14" x14ac:dyDescent="0.25">
      <c r="B1243" s="27" t="s">
        <v>123</v>
      </c>
      <c r="C1243" s="28">
        <v>593766</v>
      </c>
      <c r="D1243" s="28" t="s">
        <v>1071</v>
      </c>
      <c r="E1243" s="27" t="s">
        <v>32</v>
      </c>
      <c r="F1243" s="6" t="s">
        <v>1095</v>
      </c>
      <c r="G1243" s="28" t="s">
        <v>55</v>
      </c>
      <c r="H1243" s="28" t="s">
        <v>129</v>
      </c>
      <c r="I1243" s="98">
        <v>0.4</v>
      </c>
      <c r="J1243" s="27"/>
      <c r="K1243" s="29"/>
      <c r="L1243" s="29" t="s">
        <v>126</v>
      </c>
      <c r="M1243" s="29" t="s">
        <v>126</v>
      </c>
      <c r="N1243" s="29" t="s">
        <v>126</v>
      </c>
    </row>
    <row r="1244" spans="2:14" x14ac:dyDescent="0.25">
      <c r="B1244" s="27" t="s">
        <v>123</v>
      </c>
      <c r="C1244" s="28">
        <v>593767</v>
      </c>
      <c r="D1244" s="28" t="s">
        <v>1072</v>
      </c>
      <c r="E1244" s="27" t="s">
        <v>32</v>
      </c>
      <c r="F1244" s="6" t="s">
        <v>1095</v>
      </c>
      <c r="G1244" s="28" t="s">
        <v>55</v>
      </c>
      <c r="H1244" s="28" t="s">
        <v>129</v>
      </c>
      <c r="I1244" s="98">
        <v>0.4</v>
      </c>
      <c r="J1244" s="27"/>
      <c r="K1244" s="29"/>
      <c r="L1244" s="29" t="s">
        <v>126</v>
      </c>
      <c r="M1244" s="29" t="s">
        <v>126</v>
      </c>
      <c r="N1244" s="29" t="s">
        <v>126</v>
      </c>
    </row>
    <row r="1245" spans="2:14" x14ac:dyDescent="0.25">
      <c r="B1245" s="27" t="s">
        <v>123</v>
      </c>
      <c r="C1245" s="28">
        <v>593768</v>
      </c>
      <c r="D1245" s="28" t="s">
        <v>1073</v>
      </c>
      <c r="E1245" s="27" t="s">
        <v>32</v>
      </c>
      <c r="F1245" s="6" t="s">
        <v>1095</v>
      </c>
      <c r="G1245" s="28" t="s">
        <v>55</v>
      </c>
      <c r="H1245" s="28" t="s">
        <v>129</v>
      </c>
      <c r="I1245" s="98">
        <v>0.4</v>
      </c>
      <c r="J1245" s="27"/>
      <c r="K1245" s="29"/>
      <c r="L1245" s="29" t="s">
        <v>126</v>
      </c>
      <c r="M1245" s="29" t="s">
        <v>126</v>
      </c>
      <c r="N1245" s="29" t="s">
        <v>126</v>
      </c>
    </row>
    <row r="1246" spans="2:14" x14ac:dyDescent="0.25">
      <c r="B1246" s="27" t="s">
        <v>123</v>
      </c>
      <c r="C1246" s="28">
        <v>593769</v>
      </c>
      <c r="D1246" s="28" t="s">
        <v>1074</v>
      </c>
      <c r="E1246" s="27" t="s">
        <v>32</v>
      </c>
      <c r="F1246" s="6" t="s">
        <v>1095</v>
      </c>
      <c r="G1246" s="28" t="s">
        <v>55</v>
      </c>
      <c r="H1246" s="28" t="s">
        <v>129</v>
      </c>
      <c r="I1246" s="98">
        <v>0.4</v>
      </c>
      <c r="J1246" s="27"/>
      <c r="K1246" s="29"/>
      <c r="L1246" s="29" t="s">
        <v>126</v>
      </c>
      <c r="M1246" s="29" t="s">
        <v>126</v>
      </c>
      <c r="N1246" s="29" t="s">
        <v>126</v>
      </c>
    </row>
    <row r="1247" spans="2:14" x14ac:dyDescent="0.25">
      <c r="B1247" s="27" t="s">
        <v>123</v>
      </c>
      <c r="C1247" s="28">
        <v>593770</v>
      </c>
      <c r="D1247" s="28" t="s">
        <v>1075</v>
      </c>
      <c r="E1247" s="27" t="s">
        <v>32</v>
      </c>
      <c r="F1247" s="6" t="s">
        <v>1095</v>
      </c>
      <c r="G1247" s="28" t="s">
        <v>55</v>
      </c>
      <c r="H1247" s="28" t="s">
        <v>129</v>
      </c>
      <c r="I1247" s="98">
        <v>0.4</v>
      </c>
      <c r="J1247" s="27"/>
      <c r="K1247" s="29"/>
      <c r="L1247" s="29" t="s">
        <v>126</v>
      </c>
      <c r="M1247" s="29" t="s">
        <v>126</v>
      </c>
      <c r="N1247" s="29" t="s">
        <v>126</v>
      </c>
    </row>
    <row r="1248" spans="2:14" x14ac:dyDescent="0.25">
      <c r="B1248" s="27" t="s">
        <v>123</v>
      </c>
      <c r="C1248" s="28">
        <v>593771</v>
      </c>
      <c r="D1248" s="28" t="s">
        <v>1076</v>
      </c>
      <c r="E1248" s="27" t="s">
        <v>32</v>
      </c>
      <c r="F1248" s="6" t="s">
        <v>1095</v>
      </c>
      <c r="G1248" s="28" t="s">
        <v>55</v>
      </c>
      <c r="H1248" s="28" t="s">
        <v>129</v>
      </c>
      <c r="I1248" s="98">
        <v>0.4</v>
      </c>
      <c r="J1248" s="27"/>
      <c r="K1248" s="29"/>
      <c r="L1248" s="29" t="s">
        <v>126</v>
      </c>
      <c r="M1248" s="29" t="s">
        <v>126</v>
      </c>
      <c r="N1248" s="29" t="s">
        <v>126</v>
      </c>
    </row>
    <row r="1249" spans="2:14" x14ac:dyDescent="0.25">
      <c r="B1249" s="27" t="s">
        <v>123</v>
      </c>
      <c r="C1249" s="28">
        <v>593772</v>
      </c>
      <c r="D1249" s="28" t="s">
        <v>1077</v>
      </c>
      <c r="E1249" s="27" t="s">
        <v>32</v>
      </c>
      <c r="F1249" s="6" t="s">
        <v>1095</v>
      </c>
      <c r="G1249" s="28" t="s">
        <v>55</v>
      </c>
      <c r="H1249" s="28" t="s">
        <v>129</v>
      </c>
      <c r="I1249" s="98">
        <v>0.4</v>
      </c>
      <c r="J1249" s="27"/>
      <c r="K1249" s="29"/>
      <c r="L1249" s="29" t="s">
        <v>126</v>
      </c>
      <c r="M1249" s="29" t="s">
        <v>126</v>
      </c>
      <c r="N1249" s="29" t="s">
        <v>126</v>
      </c>
    </row>
    <row r="1250" spans="2:14" x14ac:dyDescent="0.25">
      <c r="B1250" s="27" t="s">
        <v>123</v>
      </c>
      <c r="C1250" s="28">
        <v>593773</v>
      </c>
      <c r="D1250" s="28" t="s">
        <v>1078</v>
      </c>
      <c r="E1250" s="27" t="s">
        <v>32</v>
      </c>
      <c r="F1250" s="6" t="s">
        <v>1095</v>
      </c>
      <c r="G1250" s="28" t="s">
        <v>55</v>
      </c>
      <c r="H1250" s="28" t="s">
        <v>129</v>
      </c>
      <c r="I1250" s="98">
        <v>0.4</v>
      </c>
      <c r="J1250" s="27"/>
      <c r="K1250" s="29"/>
      <c r="L1250" s="29" t="s">
        <v>126</v>
      </c>
      <c r="M1250" s="29" t="s">
        <v>126</v>
      </c>
      <c r="N1250" s="29" t="s">
        <v>126</v>
      </c>
    </row>
    <row r="1251" spans="2:14" x14ac:dyDescent="0.25">
      <c r="B1251" s="27" t="s">
        <v>123</v>
      </c>
      <c r="C1251" s="28">
        <v>593774</v>
      </c>
      <c r="D1251" s="28" t="s">
        <v>1079</v>
      </c>
      <c r="E1251" s="27" t="s">
        <v>32</v>
      </c>
      <c r="F1251" s="6" t="s">
        <v>1095</v>
      </c>
      <c r="G1251" s="28" t="s">
        <v>55</v>
      </c>
      <c r="H1251" s="28" t="s">
        <v>129</v>
      </c>
      <c r="I1251" s="98">
        <v>0.4</v>
      </c>
      <c r="J1251" s="27"/>
      <c r="K1251" s="29"/>
      <c r="L1251" s="29" t="s">
        <v>126</v>
      </c>
      <c r="M1251" s="29" t="s">
        <v>126</v>
      </c>
      <c r="N1251" s="29" t="s">
        <v>126</v>
      </c>
    </row>
    <row r="1252" spans="2:14" x14ac:dyDescent="0.25">
      <c r="B1252" s="27" t="s">
        <v>123</v>
      </c>
      <c r="C1252" s="28">
        <v>593775</v>
      </c>
      <c r="D1252" s="28" t="s">
        <v>1080</v>
      </c>
      <c r="E1252" s="27" t="s">
        <v>32</v>
      </c>
      <c r="F1252" s="6" t="s">
        <v>1095</v>
      </c>
      <c r="G1252" s="28" t="s">
        <v>55</v>
      </c>
      <c r="H1252" s="28" t="s">
        <v>129</v>
      </c>
      <c r="I1252" s="98">
        <v>0.4</v>
      </c>
      <c r="J1252" s="27"/>
      <c r="K1252" s="29"/>
      <c r="L1252" s="29" t="s">
        <v>126</v>
      </c>
      <c r="M1252" s="29" t="s">
        <v>126</v>
      </c>
      <c r="N1252" s="29" t="s">
        <v>126</v>
      </c>
    </row>
    <row r="1253" spans="2:14" x14ac:dyDescent="0.25">
      <c r="B1253" s="27" t="s">
        <v>123</v>
      </c>
      <c r="C1253" s="28">
        <v>593776</v>
      </c>
      <c r="D1253" s="28" t="s">
        <v>1081</v>
      </c>
      <c r="E1253" s="27" t="s">
        <v>32</v>
      </c>
      <c r="F1253" s="6" t="s">
        <v>1095</v>
      </c>
      <c r="G1253" s="28" t="s">
        <v>55</v>
      </c>
      <c r="H1253" s="28" t="s">
        <v>129</v>
      </c>
      <c r="I1253" s="98">
        <v>0.4</v>
      </c>
      <c r="J1253" s="27"/>
      <c r="K1253" s="29"/>
      <c r="L1253" s="29" t="s">
        <v>126</v>
      </c>
      <c r="M1253" s="29" t="s">
        <v>126</v>
      </c>
      <c r="N1253" s="29" t="s">
        <v>126</v>
      </c>
    </row>
    <row r="1254" spans="2:14" x14ac:dyDescent="0.25">
      <c r="B1254" s="27" t="s">
        <v>123</v>
      </c>
      <c r="C1254" s="28">
        <v>593777</v>
      </c>
      <c r="D1254" s="28" t="s">
        <v>1082</v>
      </c>
      <c r="E1254" s="27" t="s">
        <v>32</v>
      </c>
      <c r="F1254" s="6" t="s">
        <v>1095</v>
      </c>
      <c r="G1254" s="28" t="s">
        <v>55</v>
      </c>
      <c r="H1254" s="28" t="s">
        <v>129</v>
      </c>
      <c r="I1254" s="98">
        <v>0.4</v>
      </c>
      <c r="J1254" s="27"/>
      <c r="K1254" s="29"/>
      <c r="L1254" s="29" t="s">
        <v>126</v>
      </c>
      <c r="M1254" s="29" t="s">
        <v>126</v>
      </c>
      <c r="N1254" s="29" t="s">
        <v>126</v>
      </c>
    </row>
    <row r="1255" spans="2:14" x14ac:dyDescent="0.25">
      <c r="B1255" s="27" t="s">
        <v>123</v>
      </c>
      <c r="C1255" s="28">
        <v>593778</v>
      </c>
      <c r="D1255" s="28" t="s">
        <v>1083</v>
      </c>
      <c r="E1255" s="27" t="s">
        <v>32</v>
      </c>
      <c r="F1255" s="6" t="s">
        <v>1095</v>
      </c>
      <c r="G1255" s="28" t="s">
        <v>55</v>
      </c>
      <c r="H1255" s="28" t="s">
        <v>129</v>
      </c>
      <c r="I1255" s="98">
        <v>0.4</v>
      </c>
      <c r="J1255" s="27"/>
      <c r="K1255" s="29"/>
      <c r="L1255" s="29" t="s">
        <v>126</v>
      </c>
      <c r="M1255" s="29" t="s">
        <v>126</v>
      </c>
      <c r="N1255" s="29" t="s">
        <v>126</v>
      </c>
    </row>
    <row r="1256" spans="2:14" x14ac:dyDescent="0.25">
      <c r="B1256" s="27" t="s">
        <v>123</v>
      </c>
      <c r="C1256" s="28">
        <v>593779</v>
      </c>
      <c r="D1256" s="28" t="s">
        <v>1084</v>
      </c>
      <c r="E1256" s="27" t="s">
        <v>32</v>
      </c>
      <c r="F1256" s="6" t="s">
        <v>1095</v>
      </c>
      <c r="G1256" s="28" t="s">
        <v>55</v>
      </c>
      <c r="H1256" s="28" t="s">
        <v>129</v>
      </c>
      <c r="I1256" s="98">
        <v>0.4</v>
      </c>
      <c r="J1256" s="27"/>
      <c r="K1256" s="29"/>
      <c r="L1256" s="29" t="s">
        <v>126</v>
      </c>
      <c r="M1256" s="29" t="s">
        <v>126</v>
      </c>
      <c r="N1256" s="29" t="s">
        <v>126</v>
      </c>
    </row>
    <row r="1257" spans="2:14" x14ac:dyDescent="0.25">
      <c r="B1257" s="27" t="s">
        <v>123</v>
      </c>
      <c r="C1257" s="28">
        <v>593780</v>
      </c>
      <c r="D1257" s="28" t="s">
        <v>1085</v>
      </c>
      <c r="E1257" s="27" t="s">
        <v>32</v>
      </c>
      <c r="F1257" s="6" t="s">
        <v>1095</v>
      </c>
      <c r="G1257" s="28" t="s">
        <v>55</v>
      </c>
      <c r="H1257" s="28" t="s">
        <v>129</v>
      </c>
      <c r="I1257" s="98">
        <v>0.4</v>
      </c>
      <c r="J1257" s="27"/>
      <c r="K1257" s="29"/>
      <c r="L1257" s="29" t="s">
        <v>126</v>
      </c>
      <c r="M1257" s="29" t="s">
        <v>126</v>
      </c>
      <c r="N1257" s="29" t="s">
        <v>126</v>
      </c>
    </row>
    <row r="1258" spans="2:14" x14ac:dyDescent="0.25">
      <c r="B1258" s="27" t="s">
        <v>123</v>
      </c>
      <c r="C1258" s="28">
        <v>593781</v>
      </c>
      <c r="D1258" s="28" t="s">
        <v>1086</v>
      </c>
      <c r="E1258" s="27" t="s">
        <v>32</v>
      </c>
      <c r="F1258" s="6" t="s">
        <v>1095</v>
      </c>
      <c r="G1258" s="28" t="s">
        <v>55</v>
      </c>
      <c r="H1258" s="28" t="s">
        <v>129</v>
      </c>
      <c r="I1258" s="98">
        <v>0.4</v>
      </c>
      <c r="J1258" s="27"/>
      <c r="K1258" s="29"/>
      <c r="L1258" s="29" t="s">
        <v>126</v>
      </c>
      <c r="M1258" s="29" t="s">
        <v>126</v>
      </c>
      <c r="N1258" s="29" t="s">
        <v>126</v>
      </c>
    </row>
    <row r="1259" spans="2:14" x14ac:dyDescent="0.25">
      <c r="B1259" s="27" t="s">
        <v>123</v>
      </c>
      <c r="C1259" s="28">
        <v>593782</v>
      </c>
      <c r="D1259" s="28" t="s">
        <v>1087</v>
      </c>
      <c r="E1259" s="27" t="s">
        <v>32</v>
      </c>
      <c r="F1259" s="6" t="s">
        <v>1095</v>
      </c>
      <c r="G1259" s="28" t="s">
        <v>55</v>
      </c>
      <c r="H1259" s="28" t="s">
        <v>129</v>
      </c>
      <c r="I1259" s="98">
        <v>0.4</v>
      </c>
      <c r="J1259" s="27"/>
      <c r="K1259" s="29"/>
      <c r="L1259" s="29" t="s">
        <v>126</v>
      </c>
      <c r="M1259" s="29" t="s">
        <v>126</v>
      </c>
      <c r="N1259" s="29" t="s">
        <v>126</v>
      </c>
    </row>
    <row r="1260" spans="2:14" x14ac:dyDescent="0.25">
      <c r="B1260" s="27" t="s">
        <v>123</v>
      </c>
      <c r="C1260" s="28">
        <v>593783</v>
      </c>
      <c r="D1260" s="28" t="s">
        <v>1088</v>
      </c>
      <c r="E1260" s="27" t="s">
        <v>32</v>
      </c>
      <c r="F1260" s="6" t="s">
        <v>1095</v>
      </c>
      <c r="G1260" s="28" t="s">
        <v>55</v>
      </c>
      <c r="H1260" s="28" t="s">
        <v>129</v>
      </c>
      <c r="I1260" s="98">
        <v>0.4</v>
      </c>
      <c r="J1260" s="27"/>
      <c r="K1260" s="29"/>
      <c r="L1260" s="29" t="s">
        <v>126</v>
      </c>
      <c r="M1260" s="29" t="s">
        <v>126</v>
      </c>
      <c r="N1260" s="29" t="s">
        <v>126</v>
      </c>
    </row>
    <row r="1261" spans="2:14" x14ac:dyDescent="0.25">
      <c r="B1261" s="27" t="s">
        <v>123</v>
      </c>
      <c r="C1261" s="28">
        <v>593784</v>
      </c>
      <c r="D1261" s="28" t="s">
        <v>1089</v>
      </c>
      <c r="E1261" s="27" t="s">
        <v>32</v>
      </c>
      <c r="F1261" s="6" t="s">
        <v>1095</v>
      </c>
      <c r="G1261" s="28" t="s">
        <v>55</v>
      </c>
      <c r="H1261" s="28" t="s">
        <v>129</v>
      </c>
      <c r="I1261" s="98">
        <v>0.4</v>
      </c>
      <c r="J1261" s="27"/>
      <c r="K1261" s="29"/>
      <c r="L1261" s="29" t="s">
        <v>126</v>
      </c>
      <c r="M1261" s="29" t="s">
        <v>126</v>
      </c>
      <c r="N1261" s="29" t="s">
        <v>126</v>
      </c>
    </row>
    <row r="1262" spans="2:14" x14ac:dyDescent="0.25">
      <c r="B1262" s="27" t="s">
        <v>123</v>
      </c>
      <c r="C1262" s="28">
        <v>593785</v>
      </c>
      <c r="D1262" s="28" t="s">
        <v>1090</v>
      </c>
      <c r="E1262" s="27" t="s">
        <v>32</v>
      </c>
      <c r="F1262" s="6" t="s">
        <v>1095</v>
      </c>
      <c r="G1262" s="28" t="s">
        <v>55</v>
      </c>
      <c r="H1262" s="28" t="s">
        <v>129</v>
      </c>
      <c r="I1262" s="98">
        <v>0.4</v>
      </c>
      <c r="J1262" s="27"/>
      <c r="K1262" s="29"/>
      <c r="L1262" s="29" t="s">
        <v>126</v>
      </c>
      <c r="M1262" s="29" t="s">
        <v>126</v>
      </c>
      <c r="N1262" s="29" t="s">
        <v>126</v>
      </c>
    </row>
    <row r="1263" spans="2:14" x14ac:dyDescent="0.25">
      <c r="B1263" s="27" t="s">
        <v>123</v>
      </c>
      <c r="C1263" s="28">
        <v>593786</v>
      </c>
      <c r="D1263" s="28" t="s">
        <v>1091</v>
      </c>
      <c r="E1263" s="27" t="s">
        <v>32</v>
      </c>
      <c r="F1263" s="6" t="s">
        <v>1095</v>
      </c>
      <c r="G1263" s="28" t="s">
        <v>55</v>
      </c>
      <c r="H1263" s="28" t="s">
        <v>129</v>
      </c>
      <c r="I1263" s="98">
        <v>0.4</v>
      </c>
      <c r="J1263" s="27"/>
      <c r="K1263" s="29"/>
      <c r="L1263" s="29" t="s">
        <v>126</v>
      </c>
      <c r="M1263" s="29" t="s">
        <v>126</v>
      </c>
      <c r="N1263" s="29" t="s">
        <v>126</v>
      </c>
    </row>
    <row r="1264" spans="2:14" x14ac:dyDescent="0.25">
      <c r="B1264" s="27" t="s">
        <v>123</v>
      </c>
      <c r="C1264" s="28">
        <v>67683</v>
      </c>
      <c r="D1264" s="28" t="s">
        <v>2032</v>
      </c>
      <c r="E1264" s="27" t="s">
        <v>32</v>
      </c>
      <c r="F1264" s="6" t="s">
        <v>1095</v>
      </c>
      <c r="G1264" s="28" t="s">
        <v>55</v>
      </c>
      <c r="H1264" s="28" t="s">
        <v>129</v>
      </c>
      <c r="I1264" s="98">
        <v>0.23166023166023164</v>
      </c>
      <c r="J1264" s="27"/>
      <c r="K1264" s="29"/>
      <c r="L1264" s="29" t="s">
        <v>126</v>
      </c>
      <c r="M1264" s="29" t="s">
        <v>126</v>
      </c>
      <c r="N1264" s="29" t="s">
        <v>126</v>
      </c>
    </row>
    <row r="1265" spans="2:14" x14ac:dyDescent="0.25">
      <c r="B1265" s="27" t="s">
        <v>123</v>
      </c>
      <c r="C1265" s="28">
        <v>67702</v>
      </c>
      <c r="D1265" s="28" t="s">
        <v>2033</v>
      </c>
      <c r="E1265" s="27" t="s">
        <v>32</v>
      </c>
      <c r="F1265" s="6" t="s">
        <v>1095</v>
      </c>
      <c r="G1265" s="28" t="s">
        <v>55</v>
      </c>
      <c r="H1265" s="28" t="s">
        <v>129</v>
      </c>
      <c r="I1265" s="98">
        <v>0.28612303290414876</v>
      </c>
      <c r="J1265" s="27"/>
      <c r="K1265" s="29"/>
      <c r="L1265" s="29" t="s">
        <v>126</v>
      </c>
      <c r="M1265" s="29" t="s">
        <v>126</v>
      </c>
      <c r="N1265" s="29" t="s">
        <v>126</v>
      </c>
    </row>
    <row r="1266" spans="2:14" x14ac:dyDescent="0.25">
      <c r="B1266" s="27" t="s">
        <v>123</v>
      </c>
      <c r="C1266" s="28">
        <v>67705</v>
      </c>
      <c r="D1266" s="28" t="s">
        <v>2034</v>
      </c>
      <c r="E1266" s="27" t="s">
        <v>32</v>
      </c>
      <c r="F1266" s="6" t="s">
        <v>1095</v>
      </c>
      <c r="G1266" s="28" t="s">
        <v>55</v>
      </c>
      <c r="H1266" s="28" t="s">
        <v>129</v>
      </c>
      <c r="I1266" s="98">
        <v>0.20054200542005418</v>
      </c>
      <c r="J1266" s="27"/>
      <c r="K1266" s="29"/>
      <c r="L1266" s="29" t="s">
        <v>126</v>
      </c>
      <c r="M1266" s="29" t="s">
        <v>126</v>
      </c>
      <c r="N1266" s="29" t="s">
        <v>126</v>
      </c>
    </row>
    <row r="1267" spans="2:14" x14ac:dyDescent="0.25">
      <c r="B1267" s="27" t="s">
        <v>123</v>
      </c>
      <c r="C1267" s="28">
        <v>67704</v>
      </c>
      <c r="D1267" s="28" t="s">
        <v>2035</v>
      </c>
      <c r="E1267" s="27" t="s">
        <v>32</v>
      </c>
      <c r="F1267" s="6" t="s">
        <v>1095</v>
      </c>
      <c r="G1267" s="28" t="s">
        <v>55</v>
      </c>
      <c r="H1267" s="28" t="s">
        <v>129</v>
      </c>
      <c r="I1267" s="98">
        <v>0.20034542314335058</v>
      </c>
      <c r="J1267" s="27"/>
      <c r="K1267" s="29"/>
      <c r="L1267" s="29" t="s">
        <v>126</v>
      </c>
      <c r="M1267" s="29" t="s">
        <v>126</v>
      </c>
      <c r="N1267" s="29" t="s">
        <v>126</v>
      </c>
    </row>
    <row r="1268" spans="2:14" x14ac:dyDescent="0.25">
      <c r="B1268" s="27" t="s">
        <v>123</v>
      </c>
      <c r="C1268" s="28">
        <v>67708</v>
      </c>
      <c r="D1268" s="28" t="s">
        <v>2036</v>
      </c>
      <c r="E1268" s="27" t="s">
        <v>32</v>
      </c>
      <c r="F1268" s="6" t="s">
        <v>1095</v>
      </c>
      <c r="G1268" s="28" t="s">
        <v>55</v>
      </c>
      <c r="H1268" s="28" t="s">
        <v>129</v>
      </c>
      <c r="I1268" s="98">
        <v>0.20064724919093846</v>
      </c>
      <c r="J1268" s="27"/>
      <c r="K1268" s="29"/>
      <c r="L1268" s="29" t="s">
        <v>126</v>
      </c>
      <c r="M1268" s="29" t="s">
        <v>126</v>
      </c>
      <c r="N1268" s="29" t="s">
        <v>126</v>
      </c>
    </row>
    <row r="1269" spans="2:14" x14ac:dyDescent="0.25">
      <c r="B1269" s="27" t="s">
        <v>123</v>
      </c>
      <c r="C1269" s="28">
        <v>67709</v>
      </c>
      <c r="D1269" s="28" t="s">
        <v>2037</v>
      </c>
      <c r="E1269" s="27" t="s">
        <v>32</v>
      </c>
      <c r="F1269" s="6" t="s">
        <v>1095</v>
      </c>
      <c r="G1269" s="28" t="s">
        <v>55</v>
      </c>
      <c r="H1269" s="28" t="s">
        <v>129</v>
      </c>
      <c r="I1269" s="98">
        <v>0.20029455081001468</v>
      </c>
      <c r="J1269" s="27"/>
      <c r="K1269" s="29"/>
      <c r="L1269" s="29" t="s">
        <v>126</v>
      </c>
      <c r="M1269" s="29" t="s">
        <v>126</v>
      </c>
      <c r="N1269" s="29" t="s">
        <v>126</v>
      </c>
    </row>
    <row r="1270" spans="2:14" x14ac:dyDescent="0.25">
      <c r="B1270" s="27" t="s">
        <v>123</v>
      </c>
      <c r="C1270" s="28">
        <v>51396</v>
      </c>
      <c r="D1270" s="28" t="s">
        <v>2038</v>
      </c>
      <c r="E1270" s="27" t="s">
        <v>32</v>
      </c>
      <c r="F1270" s="6" t="s">
        <v>1095</v>
      </c>
      <c r="G1270" s="28" t="s">
        <v>55</v>
      </c>
      <c r="H1270" s="28" t="s">
        <v>129</v>
      </c>
      <c r="I1270" s="98">
        <v>0.20027063599458728</v>
      </c>
      <c r="J1270" s="27"/>
      <c r="K1270" s="29"/>
      <c r="L1270" s="29" t="s">
        <v>126</v>
      </c>
      <c r="M1270" s="29" t="s">
        <v>126</v>
      </c>
      <c r="N1270" s="29" t="s">
        <v>126</v>
      </c>
    </row>
    <row r="1271" spans="2:14" x14ac:dyDescent="0.25">
      <c r="B1271" s="27" t="s">
        <v>123</v>
      </c>
      <c r="C1271" s="28">
        <v>51400</v>
      </c>
      <c r="D1271" s="28" t="s">
        <v>2039</v>
      </c>
      <c r="E1271" s="27" t="s">
        <v>32</v>
      </c>
      <c r="F1271" s="6" t="s">
        <v>1095</v>
      </c>
      <c r="G1271" s="28" t="s">
        <v>55</v>
      </c>
      <c r="H1271" s="28" t="s">
        <v>129</v>
      </c>
      <c r="I1271" s="98">
        <v>0.2002567394094994</v>
      </c>
      <c r="J1271" s="27"/>
      <c r="K1271" s="29"/>
      <c r="L1271" s="29" t="s">
        <v>126</v>
      </c>
      <c r="M1271" s="29" t="s">
        <v>126</v>
      </c>
      <c r="N1271" s="29" t="s">
        <v>126</v>
      </c>
    </row>
    <row r="1272" spans="2:14" x14ac:dyDescent="0.25">
      <c r="B1272" s="27" t="s">
        <v>123</v>
      </c>
      <c r="C1272" s="28">
        <v>51201</v>
      </c>
      <c r="D1272" s="28" t="s">
        <v>2040</v>
      </c>
      <c r="E1272" s="27" t="s">
        <v>32</v>
      </c>
      <c r="F1272" s="6" t="s">
        <v>1095</v>
      </c>
      <c r="G1272" s="28" t="s">
        <v>55</v>
      </c>
      <c r="H1272" s="28" t="s">
        <v>129</v>
      </c>
      <c r="I1272" s="98">
        <v>0.20043572984749458</v>
      </c>
      <c r="J1272" s="27"/>
      <c r="K1272" s="29"/>
      <c r="L1272" s="29" t="s">
        <v>126</v>
      </c>
      <c r="M1272" s="29" t="s">
        <v>126</v>
      </c>
      <c r="N1272" s="29" t="s">
        <v>126</v>
      </c>
    </row>
    <row r="1273" spans="2:14" x14ac:dyDescent="0.25">
      <c r="B1273" s="27" t="s">
        <v>123</v>
      </c>
      <c r="C1273" s="28">
        <v>51204</v>
      </c>
      <c r="D1273" s="28" t="s">
        <v>2041</v>
      </c>
      <c r="E1273" s="27" t="s">
        <v>32</v>
      </c>
      <c r="F1273" s="6" t="s">
        <v>1095</v>
      </c>
      <c r="G1273" s="28" t="s">
        <v>55</v>
      </c>
      <c r="H1273" s="28" t="s">
        <v>129</v>
      </c>
      <c r="I1273" s="98">
        <v>0.20032310177705981</v>
      </c>
      <c r="J1273" s="27"/>
      <c r="K1273" s="29"/>
      <c r="L1273" s="29" t="s">
        <v>126</v>
      </c>
      <c r="M1273" s="29" t="s">
        <v>126</v>
      </c>
      <c r="N1273" s="29" t="s">
        <v>126</v>
      </c>
    </row>
    <row r="1274" spans="2:14" x14ac:dyDescent="0.25">
      <c r="B1274" s="27" t="s">
        <v>123</v>
      </c>
      <c r="C1274" s="28">
        <v>35981</v>
      </c>
      <c r="D1274" s="28" t="s">
        <v>2042</v>
      </c>
      <c r="E1274" s="27" t="s">
        <v>32</v>
      </c>
      <c r="F1274" s="6" t="s">
        <v>1095</v>
      </c>
      <c r="G1274" s="28" t="s">
        <v>55</v>
      </c>
      <c r="H1274" s="28" t="s">
        <v>129</v>
      </c>
      <c r="I1274" s="98">
        <v>0.20037105751391471</v>
      </c>
      <c r="J1274" s="27"/>
      <c r="K1274" s="29"/>
      <c r="L1274" s="29" t="s">
        <v>126</v>
      </c>
      <c r="M1274" s="29" t="s">
        <v>126</v>
      </c>
      <c r="N1274" s="29" t="s">
        <v>126</v>
      </c>
    </row>
    <row r="1275" spans="2:14" x14ac:dyDescent="0.25">
      <c r="B1275" s="27" t="s">
        <v>123</v>
      </c>
      <c r="C1275" s="28">
        <v>51237</v>
      </c>
      <c r="D1275" s="28" t="s">
        <v>2043</v>
      </c>
      <c r="E1275" s="27" t="s">
        <v>32</v>
      </c>
      <c r="F1275" s="6" t="s">
        <v>1095</v>
      </c>
      <c r="G1275" s="28" t="s">
        <v>55</v>
      </c>
      <c r="H1275" s="28" t="s">
        <v>129</v>
      </c>
      <c r="I1275" s="98">
        <v>0.20030349013657056</v>
      </c>
      <c r="J1275" s="27"/>
      <c r="K1275" s="29"/>
      <c r="L1275" s="29" t="s">
        <v>126</v>
      </c>
      <c r="M1275" s="29" t="s">
        <v>126</v>
      </c>
      <c r="N1275" s="29" t="s">
        <v>126</v>
      </c>
    </row>
    <row r="1276" spans="2:14" x14ac:dyDescent="0.25">
      <c r="B1276" s="27" t="s">
        <v>123</v>
      </c>
      <c r="C1276" s="28">
        <v>51205</v>
      </c>
      <c r="D1276" s="28" t="s">
        <v>2044</v>
      </c>
      <c r="E1276" s="27" t="s">
        <v>32</v>
      </c>
      <c r="F1276" s="6" t="s">
        <v>1095</v>
      </c>
      <c r="G1276" s="28" t="s">
        <v>55</v>
      </c>
      <c r="H1276" s="28" t="s">
        <v>129</v>
      </c>
      <c r="I1276" s="98">
        <v>0.20027434842249658</v>
      </c>
      <c r="J1276" s="27"/>
      <c r="K1276" s="29"/>
      <c r="L1276" s="29" t="s">
        <v>126</v>
      </c>
      <c r="M1276" s="29" t="s">
        <v>126</v>
      </c>
      <c r="N1276" s="29" t="s">
        <v>126</v>
      </c>
    </row>
    <row r="1277" spans="2:14" x14ac:dyDescent="0.25">
      <c r="B1277" s="27" t="s">
        <v>123</v>
      </c>
      <c r="C1277" s="28">
        <v>2414</v>
      </c>
      <c r="D1277" s="28" t="s">
        <v>2045</v>
      </c>
      <c r="E1277" s="27" t="s">
        <v>32</v>
      </c>
      <c r="F1277" s="6" t="s">
        <v>1095</v>
      </c>
      <c r="G1277" s="28" t="s">
        <v>55</v>
      </c>
      <c r="H1277" s="28" t="s">
        <v>129</v>
      </c>
      <c r="I1277" s="98">
        <v>0.1645161290322581</v>
      </c>
      <c r="J1277" s="27"/>
      <c r="K1277" s="29"/>
      <c r="L1277" s="29" t="s">
        <v>126</v>
      </c>
      <c r="M1277" s="29" t="s">
        <v>126</v>
      </c>
      <c r="N1277" s="29" t="s">
        <v>126</v>
      </c>
    </row>
    <row r="1278" spans="2:14" x14ac:dyDescent="0.25">
      <c r="B1278" s="27" t="s">
        <v>123</v>
      </c>
      <c r="C1278" s="28">
        <v>28944</v>
      </c>
      <c r="D1278" s="28" t="s">
        <v>2046</v>
      </c>
      <c r="E1278" s="27" t="s">
        <v>32</v>
      </c>
      <c r="F1278" s="6" t="s">
        <v>1095</v>
      </c>
      <c r="G1278" s="28" t="s">
        <v>55</v>
      </c>
      <c r="H1278" s="28" t="s">
        <v>129</v>
      </c>
      <c r="I1278" s="98">
        <v>0.15384615384615385</v>
      </c>
      <c r="J1278" s="27"/>
      <c r="K1278" s="29"/>
      <c r="L1278" s="29" t="s">
        <v>126</v>
      </c>
      <c r="M1278" s="29" t="s">
        <v>126</v>
      </c>
      <c r="N1278" s="29" t="s">
        <v>126</v>
      </c>
    </row>
    <row r="1279" spans="2:14" x14ac:dyDescent="0.25">
      <c r="B1279" s="27" t="s">
        <v>123</v>
      </c>
      <c r="C1279" s="28">
        <v>35719</v>
      </c>
      <c r="D1279" s="28" t="s">
        <v>2047</v>
      </c>
      <c r="E1279" s="27" t="s">
        <v>32</v>
      </c>
      <c r="F1279" s="6" t="s">
        <v>1095</v>
      </c>
      <c r="G1279" s="28" t="s">
        <v>55</v>
      </c>
      <c r="H1279" s="28" t="s">
        <v>129</v>
      </c>
      <c r="I1279" s="98">
        <v>0.18852459016393441</v>
      </c>
      <c r="J1279" s="27"/>
      <c r="K1279" s="29"/>
      <c r="L1279" s="29" t="s">
        <v>126</v>
      </c>
      <c r="M1279" s="29" t="s">
        <v>126</v>
      </c>
      <c r="N1279" s="29" t="s">
        <v>126</v>
      </c>
    </row>
    <row r="1280" spans="2:14" x14ac:dyDescent="0.25">
      <c r="B1280" s="27" t="s">
        <v>123</v>
      </c>
      <c r="C1280" s="28">
        <v>18223</v>
      </c>
      <c r="D1280" s="28" t="s">
        <v>2048</v>
      </c>
      <c r="E1280" s="27" t="s">
        <v>32</v>
      </c>
      <c r="F1280" s="6" t="s">
        <v>1095</v>
      </c>
      <c r="G1280" s="28" t="s">
        <v>55</v>
      </c>
      <c r="H1280" s="28" t="s">
        <v>129</v>
      </c>
      <c r="I1280" s="98">
        <v>0.16666666666666663</v>
      </c>
      <c r="J1280" s="27"/>
      <c r="K1280" s="29"/>
      <c r="L1280" s="29" t="s">
        <v>126</v>
      </c>
      <c r="M1280" s="29" t="s">
        <v>126</v>
      </c>
      <c r="N1280" s="29" t="s">
        <v>126</v>
      </c>
    </row>
    <row r="1281" spans="2:14" x14ac:dyDescent="0.25">
      <c r="B1281" s="27" t="s">
        <v>123</v>
      </c>
      <c r="C1281" s="28">
        <v>13788</v>
      </c>
      <c r="D1281" s="28" t="s">
        <v>2049</v>
      </c>
      <c r="E1281" s="27" t="s">
        <v>32</v>
      </c>
      <c r="F1281" s="6" t="s">
        <v>1095</v>
      </c>
      <c r="G1281" s="28" t="s">
        <v>55</v>
      </c>
      <c r="H1281" s="28" t="s">
        <v>129</v>
      </c>
      <c r="I1281" s="98">
        <v>0.10810810810810811</v>
      </c>
      <c r="J1281" s="27"/>
      <c r="K1281" s="29"/>
      <c r="L1281" s="29" t="s">
        <v>126</v>
      </c>
      <c r="M1281" s="29" t="s">
        <v>126</v>
      </c>
      <c r="N1281" s="29" t="s">
        <v>126</v>
      </c>
    </row>
    <row r="1282" spans="2:14" x14ac:dyDescent="0.25">
      <c r="B1282" s="27" t="s">
        <v>123</v>
      </c>
      <c r="C1282" s="28">
        <v>44899</v>
      </c>
      <c r="D1282" s="28" t="s">
        <v>2050</v>
      </c>
      <c r="E1282" s="27" t="s">
        <v>32</v>
      </c>
      <c r="F1282" s="6" t="s">
        <v>1095</v>
      </c>
      <c r="G1282" s="28" t="s">
        <v>55</v>
      </c>
      <c r="H1282" s="28" t="s">
        <v>129</v>
      </c>
      <c r="I1282" s="98">
        <v>0.10526315789473684</v>
      </c>
      <c r="J1282" s="27"/>
      <c r="K1282" s="29"/>
      <c r="L1282" s="29" t="s">
        <v>126</v>
      </c>
      <c r="M1282" s="29" t="s">
        <v>126</v>
      </c>
      <c r="N1282" s="29" t="s">
        <v>126</v>
      </c>
    </row>
    <row r="1283" spans="2:14" x14ac:dyDescent="0.25">
      <c r="B1283" s="27" t="s">
        <v>123</v>
      </c>
      <c r="C1283" s="28">
        <v>97368</v>
      </c>
      <c r="D1283" s="28" t="s">
        <v>2051</v>
      </c>
      <c r="E1283" s="27" t="s">
        <v>32</v>
      </c>
      <c r="F1283" s="6" t="s">
        <v>1095</v>
      </c>
      <c r="G1283" s="28" t="s">
        <v>55</v>
      </c>
      <c r="H1283" s="28" t="s">
        <v>129</v>
      </c>
      <c r="I1283" s="98">
        <v>0.12903225806451613</v>
      </c>
      <c r="J1283" s="27"/>
      <c r="K1283" s="29"/>
      <c r="L1283" s="29" t="s">
        <v>126</v>
      </c>
      <c r="M1283" s="29" t="s">
        <v>126</v>
      </c>
      <c r="N1283" s="29" t="s">
        <v>126</v>
      </c>
    </row>
    <row r="1284" spans="2:14" x14ac:dyDescent="0.25">
      <c r="B1284" s="27" t="s">
        <v>123</v>
      </c>
      <c r="C1284" s="28">
        <v>1078</v>
      </c>
      <c r="D1284" s="28" t="s">
        <v>2052</v>
      </c>
      <c r="E1284" s="27" t="s">
        <v>32</v>
      </c>
      <c r="F1284" s="6" t="s">
        <v>1095</v>
      </c>
      <c r="G1284" s="28" t="s">
        <v>55</v>
      </c>
      <c r="H1284" s="28" t="s">
        <v>129</v>
      </c>
      <c r="I1284" s="98">
        <v>0.11111111111111116</v>
      </c>
      <c r="J1284" s="27"/>
      <c r="K1284" s="29"/>
      <c r="L1284" s="29" t="s">
        <v>126</v>
      </c>
      <c r="M1284" s="29" t="s">
        <v>126</v>
      </c>
      <c r="N1284" s="29" t="s">
        <v>126</v>
      </c>
    </row>
    <row r="1285" spans="2:14" x14ac:dyDescent="0.25">
      <c r="B1285" s="27" t="s">
        <v>123</v>
      </c>
      <c r="C1285" s="28">
        <v>17693</v>
      </c>
      <c r="D1285" s="28" t="s">
        <v>2053</v>
      </c>
      <c r="E1285" s="27" t="s">
        <v>32</v>
      </c>
      <c r="F1285" s="6" t="s">
        <v>1095</v>
      </c>
      <c r="G1285" s="28" t="s">
        <v>55</v>
      </c>
      <c r="H1285" s="28" t="s">
        <v>129</v>
      </c>
      <c r="I1285" s="98">
        <v>0.10227272727272729</v>
      </c>
      <c r="J1285" s="27"/>
      <c r="K1285" s="29"/>
      <c r="L1285" s="29" t="s">
        <v>126</v>
      </c>
      <c r="M1285" s="29" t="s">
        <v>126</v>
      </c>
      <c r="N1285" s="29" t="s">
        <v>126</v>
      </c>
    </row>
    <row r="1286" spans="2:14" x14ac:dyDescent="0.25">
      <c r="B1286" s="27" t="s">
        <v>123</v>
      </c>
      <c r="C1286" s="28">
        <v>78686</v>
      </c>
      <c r="D1286" s="28" t="s">
        <v>2054</v>
      </c>
      <c r="E1286" s="27" t="s">
        <v>32</v>
      </c>
      <c r="F1286" s="6" t="s">
        <v>1095</v>
      </c>
      <c r="G1286" s="28" t="s">
        <v>55</v>
      </c>
      <c r="H1286" s="28" t="s">
        <v>129</v>
      </c>
      <c r="I1286" s="98">
        <v>0.1428571428571429</v>
      </c>
      <c r="J1286" s="27"/>
      <c r="K1286" s="29"/>
      <c r="L1286" s="29" t="s">
        <v>126</v>
      </c>
      <c r="M1286" s="29" t="s">
        <v>126</v>
      </c>
      <c r="N1286" s="29" t="s">
        <v>126</v>
      </c>
    </row>
    <row r="1287" spans="2:14" x14ac:dyDescent="0.25">
      <c r="B1287" s="27" t="s">
        <v>123</v>
      </c>
      <c r="C1287" s="28">
        <v>52205</v>
      </c>
      <c r="D1287" s="28" t="s">
        <v>2055</v>
      </c>
      <c r="E1287" s="27" t="s">
        <v>32</v>
      </c>
      <c r="F1287" s="6" t="s">
        <v>1095</v>
      </c>
      <c r="G1287" s="28" t="s">
        <v>55</v>
      </c>
      <c r="H1287" s="28" t="s">
        <v>129</v>
      </c>
      <c r="I1287" s="98">
        <v>0.11111111111111116</v>
      </c>
      <c r="J1287" s="27"/>
      <c r="K1287" s="29"/>
      <c r="L1287" s="29" t="s">
        <v>126</v>
      </c>
      <c r="M1287" s="29" t="s">
        <v>126</v>
      </c>
      <c r="N1287" s="29" t="s">
        <v>126</v>
      </c>
    </row>
    <row r="1288" spans="2:14" x14ac:dyDescent="0.25">
      <c r="B1288" s="27" t="s">
        <v>123</v>
      </c>
      <c r="C1288" s="28">
        <v>58841</v>
      </c>
      <c r="D1288" s="28" t="s">
        <v>2056</v>
      </c>
      <c r="E1288" s="27" t="s">
        <v>32</v>
      </c>
      <c r="F1288" s="6" t="s">
        <v>1095</v>
      </c>
      <c r="G1288" s="28" t="s">
        <v>55</v>
      </c>
      <c r="H1288" s="28" t="s">
        <v>129</v>
      </c>
      <c r="I1288" s="98">
        <v>0.11764705882352944</v>
      </c>
      <c r="J1288" s="27"/>
      <c r="K1288" s="29"/>
      <c r="L1288" s="29" t="s">
        <v>126</v>
      </c>
      <c r="M1288" s="29" t="s">
        <v>126</v>
      </c>
      <c r="N1288" s="29" t="s">
        <v>126</v>
      </c>
    </row>
    <row r="1289" spans="2:14" x14ac:dyDescent="0.25">
      <c r="B1289" s="27" t="s">
        <v>123</v>
      </c>
      <c r="C1289" s="28">
        <v>24476</v>
      </c>
      <c r="D1289" s="28" t="s">
        <v>2057</v>
      </c>
      <c r="E1289" s="27" t="s">
        <v>32</v>
      </c>
      <c r="F1289" s="6" t="s">
        <v>1095</v>
      </c>
      <c r="G1289" s="28" t="s">
        <v>55</v>
      </c>
      <c r="H1289" s="28" t="s">
        <v>129</v>
      </c>
      <c r="I1289" s="98">
        <v>0.15789473684210531</v>
      </c>
      <c r="J1289" s="27"/>
      <c r="K1289" s="29"/>
      <c r="L1289" s="29" t="s">
        <v>126</v>
      </c>
      <c r="M1289" s="29" t="s">
        <v>126</v>
      </c>
      <c r="N1289" s="29" t="s">
        <v>126</v>
      </c>
    </row>
    <row r="1290" spans="2:14" x14ac:dyDescent="0.25">
      <c r="B1290" s="27" t="s">
        <v>123</v>
      </c>
      <c r="C1290" s="28">
        <v>59928</v>
      </c>
      <c r="D1290" s="28" t="s">
        <v>2058</v>
      </c>
      <c r="E1290" s="27" t="s">
        <v>32</v>
      </c>
      <c r="F1290" s="6" t="s">
        <v>1095</v>
      </c>
      <c r="G1290" s="28" t="s">
        <v>55</v>
      </c>
      <c r="H1290" s="28" t="s">
        <v>129</v>
      </c>
      <c r="I1290" s="98">
        <v>0.17647058823529416</v>
      </c>
      <c r="J1290" s="27"/>
      <c r="K1290" s="29"/>
      <c r="L1290" s="29" t="s">
        <v>126</v>
      </c>
      <c r="M1290" s="29" t="s">
        <v>126</v>
      </c>
      <c r="N1290" s="29" t="s">
        <v>126</v>
      </c>
    </row>
    <row r="1291" spans="2:14" x14ac:dyDescent="0.25">
      <c r="B1291" s="27" t="s">
        <v>123</v>
      </c>
      <c r="C1291" s="28">
        <v>11241</v>
      </c>
      <c r="D1291" s="28" t="s">
        <v>2059</v>
      </c>
      <c r="E1291" s="27" t="s">
        <v>32</v>
      </c>
      <c r="F1291" s="6" t="s">
        <v>1095</v>
      </c>
      <c r="G1291" s="28" t="s">
        <v>55</v>
      </c>
      <c r="H1291" s="28" t="s">
        <v>129</v>
      </c>
      <c r="I1291" s="98">
        <v>0.23136246786632386</v>
      </c>
      <c r="J1291" s="27"/>
      <c r="K1291" s="29"/>
      <c r="L1291" s="29" t="s">
        <v>126</v>
      </c>
      <c r="M1291" s="29" t="s">
        <v>126</v>
      </c>
      <c r="N1291" s="29" t="s">
        <v>126</v>
      </c>
    </row>
    <row r="1292" spans="2:14" x14ac:dyDescent="0.25">
      <c r="B1292" s="27" t="s">
        <v>123</v>
      </c>
      <c r="C1292" s="28">
        <v>62799</v>
      </c>
      <c r="D1292" s="28" t="s">
        <v>2060</v>
      </c>
      <c r="E1292" s="27" t="s">
        <v>32</v>
      </c>
      <c r="F1292" s="6" t="s">
        <v>1095</v>
      </c>
      <c r="G1292" s="28" t="s">
        <v>55</v>
      </c>
      <c r="H1292" s="28" t="s">
        <v>129</v>
      </c>
      <c r="I1292" s="98">
        <v>0.13043478260869568</v>
      </c>
      <c r="J1292" s="27"/>
      <c r="K1292" s="29"/>
      <c r="L1292" s="29" t="s">
        <v>126</v>
      </c>
      <c r="M1292" s="29" t="s">
        <v>126</v>
      </c>
      <c r="N1292" s="29" t="s">
        <v>126</v>
      </c>
    </row>
    <row r="1293" spans="2:14" x14ac:dyDescent="0.25">
      <c r="B1293" s="27" t="s">
        <v>123</v>
      </c>
      <c r="C1293" s="28">
        <v>62812</v>
      </c>
      <c r="D1293" s="28" t="s">
        <v>2061</v>
      </c>
      <c r="E1293" s="27" t="s">
        <v>32</v>
      </c>
      <c r="F1293" s="6" t="s">
        <v>1095</v>
      </c>
      <c r="G1293" s="28" t="s">
        <v>55</v>
      </c>
      <c r="H1293" s="28" t="s">
        <v>129</v>
      </c>
      <c r="I1293" s="98">
        <v>0.12903225806451613</v>
      </c>
      <c r="J1293" s="27"/>
      <c r="K1293" s="29"/>
      <c r="L1293" s="29" t="s">
        <v>126</v>
      </c>
      <c r="M1293" s="29" t="s">
        <v>126</v>
      </c>
      <c r="N1293" s="29" t="s">
        <v>126</v>
      </c>
    </row>
    <row r="1294" spans="2:14" x14ac:dyDescent="0.25">
      <c r="B1294" s="27" t="s">
        <v>123</v>
      </c>
      <c r="C1294" s="28">
        <v>35425</v>
      </c>
      <c r="D1294" s="28" t="s">
        <v>2062</v>
      </c>
      <c r="E1294" s="27" t="s">
        <v>32</v>
      </c>
      <c r="F1294" s="6" t="s">
        <v>1095</v>
      </c>
      <c r="G1294" s="28" t="s">
        <v>55</v>
      </c>
      <c r="H1294" s="28" t="s">
        <v>129</v>
      </c>
      <c r="I1294" s="98">
        <v>0.13095238095238093</v>
      </c>
      <c r="J1294" s="27"/>
      <c r="K1294" s="29"/>
      <c r="L1294" s="29" t="s">
        <v>126</v>
      </c>
      <c r="M1294" s="29" t="s">
        <v>126</v>
      </c>
      <c r="N1294" s="29" t="s">
        <v>126</v>
      </c>
    </row>
    <row r="1295" spans="2:14" x14ac:dyDescent="0.25">
      <c r="B1295" s="27" t="s">
        <v>123</v>
      </c>
      <c r="C1295" s="28">
        <v>57667</v>
      </c>
      <c r="D1295" s="28" t="s">
        <v>2063</v>
      </c>
      <c r="E1295" s="27" t="s">
        <v>32</v>
      </c>
      <c r="F1295" s="6" t="s">
        <v>1095</v>
      </c>
      <c r="G1295" s="28" t="s">
        <v>55</v>
      </c>
      <c r="H1295" s="28" t="s">
        <v>129</v>
      </c>
      <c r="I1295" s="98">
        <v>0.15238095238095239</v>
      </c>
      <c r="J1295" s="27"/>
      <c r="K1295" s="29"/>
      <c r="L1295" s="29" t="s">
        <v>126</v>
      </c>
      <c r="M1295" s="29" t="s">
        <v>126</v>
      </c>
      <c r="N1295" s="29" t="s">
        <v>126</v>
      </c>
    </row>
    <row r="1296" spans="2:14" x14ac:dyDescent="0.25">
      <c r="B1296" s="27" t="s">
        <v>123</v>
      </c>
      <c r="C1296" s="28">
        <v>17804</v>
      </c>
      <c r="D1296" s="28" t="s">
        <v>2064</v>
      </c>
      <c r="E1296" s="27" t="s">
        <v>32</v>
      </c>
      <c r="F1296" s="6" t="s">
        <v>1095</v>
      </c>
      <c r="G1296" s="28" t="s">
        <v>55</v>
      </c>
      <c r="H1296" s="28" t="s">
        <v>129</v>
      </c>
      <c r="I1296" s="98">
        <v>0.16736401673640167</v>
      </c>
      <c r="J1296" s="27"/>
      <c r="K1296" s="29"/>
      <c r="L1296" s="29" t="s">
        <v>126</v>
      </c>
      <c r="M1296" s="29" t="s">
        <v>126</v>
      </c>
      <c r="N1296" s="29" t="s">
        <v>126</v>
      </c>
    </row>
    <row r="1297" spans="2:14" x14ac:dyDescent="0.25">
      <c r="B1297" s="27" t="s">
        <v>123</v>
      </c>
      <c r="C1297" s="28">
        <v>55973</v>
      </c>
      <c r="D1297" s="28" t="s">
        <v>2065</v>
      </c>
      <c r="E1297" s="27" t="s">
        <v>32</v>
      </c>
      <c r="F1297" s="6" t="s">
        <v>1095</v>
      </c>
      <c r="G1297" s="28" t="s">
        <v>55</v>
      </c>
      <c r="H1297" s="28" t="s">
        <v>129</v>
      </c>
      <c r="I1297" s="98">
        <v>0.16736401673640167</v>
      </c>
      <c r="J1297" s="27"/>
      <c r="K1297" s="29"/>
      <c r="L1297" s="29" t="s">
        <v>126</v>
      </c>
      <c r="M1297" s="29" t="s">
        <v>126</v>
      </c>
      <c r="N1297" s="29" t="s">
        <v>126</v>
      </c>
    </row>
    <row r="1298" spans="2:14" x14ac:dyDescent="0.25">
      <c r="B1298" s="27" t="s">
        <v>123</v>
      </c>
      <c r="C1298" s="28">
        <v>61773</v>
      </c>
      <c r="D1298" s="28" t="s">
        <v>2066</v>
      </c>
      <c r="E1298" s="27" t="s">
        <v>32</v>
      </c>
      <c r="F1298" s="6" t="s">
        <v>1095</v>
      </c>
      <c r="G1298" s="28" t="s">
        <v>55</v>
      </c>
      <c r="H1298" s="28" t="s">
        <v>129</v>
      </c>
      <c r="I1298" s="98">
        <v>0.10050251256281406</v>
      </c>
      <c r="J1298" s="27"/>
      <c r="K1298" s="29"/>
      <c r="L1298" s="29" t="s">
        <v>126</v>
      </c>
      <c r="M1298" s="29" t="s">
        <v>126</v>
      </c>
      <c r="N1298" s="29" t="s">
        <v>126</v>
      </c>
    </row>
    <row r="1299" spans="2:14" x14ac:dyDescent="0.25">
      <c r="B1299" s="27" t="s">
        <v>123</v>
      </c>
      <c r="C1299" s="28">
        <v>61775</v>
      </c>
      <c r="D1299" s="28" t="s">
        <v>2067</v>
      </c>
      <c r="E1299" s="27" t="s">
        <v>32</v>
      </c>
      <c r="F1299" s="6" t="s">
        <v>1095</v>
      </c>
      <c r="G1299" s="28" t="s">
        <v>55</v>
      </c>
      <c r="H1299" s="28" t="s">
        <v>129</v>
      </c>
      <c r="I1299" s="98">
        <v>0.10582010582010581</v>
      </c>
      <c r="J1299" s="27"/>
      <c r="K1299" s="29"/>
      <c r="L1299" s="29" t="s">
        <v>126</v>
      </c>
      <c r="M1299" s="29" t="s">
        <v>126</v>
      </c>
      <c r="N1299" s="29" t="s">
        <v>126</v>
      </c>
    </row>
    <row r="1300" spans="2:14" x14ac:dyDescent="0.25">
      <c r="B1300" s="27" t="s">
        <v>123</v>
      </c>
      <c r="C1300" s="28">
        <v>10556</v>
      </c>
      <c r="D1300" s="28" t="s">
        <v>2068</v>
      </c>
      <c r="E1300" s="27" t="s">
        <v>32</v>
      </c>
      <c r="F1300" s="6" t="s">
        <v>1095</v>
      </c>
      <c r="G1300" s="28" t="s">
        <v>55</v>
      </c>
      <c r="H1300" s="28" t="s">
        <v>129</v>
      </c>
      <c r="I1300" s="98">
        <v>9.6045197740112997E-2</v>
      </c>
      <c r="J1300" s="27"/>
      <c r="K1300" s="29"/>
      <c r="L1300" s="29" t="s">
        <v>126</v>
      </c>
      <c r="M1300" s="29" t="s">
        <v>126</v>
      </c>
      <c r="N1300" s="29" t="s">
        <v>126</v>
      </c>
    </row>
    <row r="1301" spans="2:14" x14ac:dyDescent="0.25">
      <c r="B1301" s="27" t="s">
        <v>123</v>
      </c>
      <c r="C1301" s="28">
        <v>57630</v>
      </c>
      <c r="D1301" s="28" t="s">
        <v>2069</v>
      </c>
      <c r="E1301" s="27" t="s">
        <v>32</v>
      </c>
      <c r="F1301" s="6" t="s">
        <v>1095</v>
      </c>
      <c r="G1301" s="28" t="s">
        <v>55</v>
      </c>
      <c r="H1301" s="28" t="s">
        <v>129</v>
      </c>
      <c r="I1301" s="98">
        <v>0.17142857142857137</v>
      </c>
      <c r="J1301" s="27"/>
      <c r="K1301" s="29"/>
      <c r="L1301" s="29" t="s">
        <v>126</v>
      </c>
      <c r="M1301" s="29" t="s">
        <v>126</v>
      </c>
      <c r="N1301" s="29" t="s">
        <v>126</v>
      </c>
    </row>
    <row r="1302" spans="2:14" x14ac:dyDescent="0.25">
      <c r="B1302" s="27" t="s">
        <v>123</v>
      </c>
      <c r="C1302" s="28">
        <v>57629</v>
      </c>
      <c r="D1302" s="28" t="s">
        <v>2070</v>
      </c>
      <c r="E1302" s="27" t="s">
        <v>32</v>
      </c>
      <c r="F1302" s="6" t="s">
        <v>1095</v>
      </c>
      <c r="G1302" s="28" t="s">
        <v>55</v>
      </c>
      <c r="H1302" s="28" t="s">
        <v>129</v>
      </c>
      <c r="I1302" s="98">
        <v>0.17142857142857137</v>
      </c>
      <c r="J1302" s="27"/>
      <c r="K1302" s="29"/>
      <c r="L1302" s="29" t="s">
        <v>126</v>
      </c>
      <c r="M1302" s="29" t="s">
        <v>126</v>
      </c>
      <c r="N1302" s="29" t="s">
        <v>126</v>
      </c>
    </row>
    <row r="1303" spans="2:14" x14ac:dyDescent="0.25">
      <c r="B1303" s="27" t="s">
        <v>123</v>
      </c>
      <c r="C1303" s="28">
        <v>12587</v>
      </c>
      <c r="D1303" s="28" t="s">
        <v>2071</v>
      </c>
      <c r="E1303" s="27" t="s">
        <v>32</v>
      </c>
      <c r="F1303" s="6" t="s">
        <v>1095</v>
      </c>
      <c r="G1303" s="28" t="s">
        <v>55</v>
      </c>
      <c r="H1303" s="28" t="s">
        <v>129</v>
      </c>
      <c r="I1303" s="98">
        <v>0.1333333333333333</v>
      </c>
      <c r="J1303" s="27"/>
      <c r="K1303" s="29"/>
      <c r="L1303" s="29" t="s">
        <v>126</v>
      </c>
      <c r="M1303" s="29" t="s">
        <v>126</v>
      </c>
      <c r="N1303" s="29" t="s">
        <v>126</v>
      </c>
    </row>
    <row r="1304" spans="2:14" x14ac:dyDescent="0.25">
      <c r="B1304" s="27" t="s">
        <v>123</v>
      </c>
      <c r="C1304" s="28">
        <v>12829</v>
      </c>
      <c r="D1304" s="28" t="s">
        <v>2072</v>
      </c>
      <c r="E1304" s="27" t="s">
        <v>32</v>
      </c>
      <c r="F1304" s="6" t="s">
        <v>1095</v>
      </c>
      <c r="G1304" s="28" t="s">
        <v>55</v>
      </c>
      <c r="H1304" s="28" t="s">
        <v>129</v>
      </c>
      <c r="I1304" s="98">
        <v>9.2783505154639179E-2</v>
      </c>
      <c r="J1304" s="27"/>
      <c r="K1304" s="29"/>
      <c r="L1304" s="29" t="s">
        <v>126</v>
      </c>
      <c r="M1304" s="29" t="s">
        <v>126</v>
      </c>
      <c r="N1304" s="29" t="s">
        <v>126</v>
      </c>
    </row>
    <row r="1305" spans="2:14" x14ac:dyDescent="0.25">
      <c r="B1305" s="27" t="s">
        <v>123</v>
      </c>
      <c r="C1305" s="28">
        <v>13278</v>
      </c>
      <c r="D1305" s="28" t="s">
        <v>2073</v>
      </c>
      <c r="E1305" s="27" t="s">
        <v>32</v>
      </c>
      <c r="F1305" s="6" t="s">
        <v>1095</v>
      </c>
      <c r="G1305" s="28" t="s">
        <v>55</v>
      </c>
      <c r="H1305" s="28" t="s">
        <v>129</v>
      </c>
      <c r="I1305" s="98">
        <v>0.12149532710280375</v>
      </c>
      <c r="J1305" s="27"/>
      <c r="K1305" s="29"/>
      <c r="L1305" s="29" t="s">
        <v>126</v>
      </c>
      <c r="M1305" s="29" t="s">
        <v>126</v>
      </c>
      <c r="N1305" s="29" t="s">
        <v>126</v>
      </c>
    </row>
    <row r="1306" spans="2:14" x14ac:dyDescent="0.25">
      <c r="B1306" s="27" t="s">
        <v>123</v>
      </c>
      <c r="C1306" s="28">
        <v>11489</v>
      </c>
      <c r="D1306" s="28" t="s">
        <v>2074</v>
      </c>
      <c r="E1306" s="27" t="s">
        <v>32</v>
      </c>
      <c r="F1306" s="6" t="s">
        <v>1095</v>
      </c>
      <c r="G1306" s="28" t="s">
        <v>55</v>
      </c>
      <c r="H1306" s="28" t="s">
        <v>129</v>
      </c>
      <c r="I1306" s="98">
        <v>0.15957446808510634</v>
      </c>
      <c r="J1306" s="27"/>
      <c r="K1306" s="29"/>
      <c r="L1306" s="29" t="s">
        <v>126</v>
      </c>
      <c r="M1306" s="29" t="s">
        <v>126</v>
      </c>
      <c r="N1306" s="29" t="s">
        <v>126</v>
      </c>
    </row>
    <row r="1307" spans="2:14" x14ac:dyDescent="0.25">
      <c r="B1307" s="27" t="s">
        <v>123</v>
      </c>
      <c r="C1307" s="28">
        <v>11488</v>
      </c>
      <c r="D1307" s="28" t="s">
        <v>2075</v>
      </c>
      <c r="E1307" s="27" t="s">
        <v>32</v>
      </c>
      <c r="F1307" s="6" t="s">
        <v>1095</v>
      </c>
      <c r="G1307" s="28" t="s">
        <v>55</v>
      </c>
      <c r="H1307" s="28" t="s">
        <v>129</v>
      </c>
      <c r="I1307" s="98">
        <v>0.15957446808510634</v>
      </c>
      <c r="J1307" s="27"/>
      <c r="K1307" s="29"/>
      <c r="L1307" s="29" t="s">
        <v>126</v>
      </c>
      <c r="M1307" s="29" t="s">
        <v>126</v>
      </c>
      <c r="N1307" s="29" t="s">
        <v>126</v>
      </c>
    </row>
    <row r="1308" spans="2:14" x14ac:dyDescent="0.25">
      <c r="B1308" s="27" t="s">
        <v>123</v>
      </c>
      <c r="C1308" s="28">
        <v>11490</v>
      </c>
      <c r="D1308" s="28" t="s">
        <v>2076</v>
      </c>
      <c r="E1308" s="27" t="s">
        <v>32</v>
      </c>
      <c r="F1308" s="6" t="s">
        <v>1095</v>
      </c>
      <c r="G1308" s="28" t="s">
        <v>55</v>
      </c>
      <c r="H1308" s="28" t="s">
        <v>129</v>
      </c>
      <c r="I1308" s="98">
        <v>0.15957446808510634</v>
      </c>
      <c r="J1308" s="27"/>
      <c r="K1308" s="29"/>
      <c r="L1308" s="29" t="s">
        <v>126</v>
      </c>
      <c r="M1308" s="29" t="s">
        <v>126</v>
      </c>
      <c r="N1308" s="29" t="s">
        <v>126</v>
      </c>
    </row>
    <row r="1309" spans="2:14" x14ac:dyDescent="0.25">
      <c r="B1309" s="27" t="s">
        <v>123</v>
      </c>
      <c r="C1309" s="28">
        <v>95974</v>
      </c>
      <c r="D1309" s="28" t="s">
        <v>2077</v>
      </c>
      <c r="E1309" s="27" t="s">
        <v>32</v>
      </c>
      <c r="F1309" s="6" t="s">
        <v>1095</v>
      </c>
      <c r="G1309" s="28" t="s">
        <v>55</v>
      </c>
      <c r="H1309" s="28" t="s">
        <v>129</v>
      </c>
      <c r="I1309" s="98">
        <v>0.20202020202020199</v>
      </c>
      <c r="J1309" s="27"/>
      <c r="K1309" s="29"/>
      <c r="L1309" s="29" t="s">
        <v>126</v>
      </c>
      <c r="M1309" s="29" t="s">
        <v>126</v>
      </c>
      <c r="N1309" s="29" t="s">
        <v>126</v>
      </c>
    </row>
    <row r="1310" spans="2:14" x14ac:dyDescent="0.25">
      <c r="B1310" s="27" t="s">
        <v>123</v>
      </c>
      <c r="C1310" s="28">
        <v>18542</v>
      </c>
      <c r="D1310" s="28" t="s">
        <v>2078</v>
      </c>
      <c r="E1310" s="27" t="s">
        <v>32</v>
      </c>
      <c r="F1310" s="6" t="s">
        <v>1095</v>
      </c>
      <c r="G1310" s="28" t="s">
        <v>55</v>
      </c>
      <c r="H1310" s="28" t="s">
        <v>129</v>
      </c>
      <c r="I1310" s="98">
        <v>0.11971830985915488</v>
      </c>
      <c r="J1310" s="27"/>
      <c r="K1310" s="29"/>
      <c r="L1310" s="29" t="s">
        <v>126</v>
      </c>
      <c r="M1310" s="29" t="s">
        <v>126</v>
      </c>
      <c r="N1310" s="29" t="s">
        <v>126</v>
      </c>
    </row>
    <row r="1311" spans="2:14" x14ac:dyDescent="0.25">
      <c r="B1311" s="27" t="s">
        <v>123</v>
      </c>
      <c r="C1311" s="28">
        <v>56589</v>
      </c>
      <c r="D1311" s="28" t="s">
        <v>2079</v>
      </c>
      <c r="E1311" s="27" t="s">
        <v>32</v>
      </c>
      <c r="F1311" s="6" t="s">
        <v>1095</v>
      </c>
      <c r="G1311" s="28" t="s">
        <v>55</v>
      </c>
      <c r="H1311" s="28" t="s">
        <v>129</v>
      </c>
      <c r="I1311" s="98">
        <v>0.1428571428571429</v>
      </c>
      <c r="J1311" s="27"/>
      <c r="K1311" s="29"/>
      <c r="L1311" s="29" t="s">
        <v>126</v>
      </c>
      <c r="M1311" s="29" t="s">
        <v>126</v>
      </c>
      <c r="N1311" s="29" t="s">
        <v>126</v>
      </c>
    </row>
    <row r="1312" spans="2:14" x14ac:dyDescent="0.25">
      <c r="B1312" s="27" t="s">
        <v>123</v>
      </c>
      <c r="C1312" s="28">
        <v>86441</v>
      </c>
      <c r="D1312" s="28" t="s">
        <v>2080</v>
      </c>
      <c r="E1312" s="27" t="s">
        <v>32</v>
      </c>
      <c r="F1312" s="6" t="s">
        <v>1095</v>
      </c>
      <c r="G1312" s="28" t="s">
        <v>55</v>
      </c>
      <c r="H1312" s="28" t="s">
        <v>129</v>
      </c>
      <c r="I1312" s="98">
        <v>0.13793103448275867</v>
      </c>
      <c r="J1312" s="27"/>
      <c r="K1312" s="29"/>
      <c r="L1312" s="29" t="s">
        <v>126</v>
      </c>
      <c r="M1312" s="29" t="s">
        <v>126</v>
      </c>
      <c r="N1312" s="29" t="s">
        <v>126</v>
      </c>
    </row>
    <row r="1313" spans="2:14" x14ac:dyDescent="0.25">
      <c r="B1313" s="27" t="s">
        <v>123</v>
      </c>
      <c r="C1313" s="28">
        <v>12420</v>
      </c>
      <c r="D1313" s="28" t="s">
        <v>2081</v>
      </c>
      <c r="E1313" s="27" t="s">
        <v>32</v>
      </c>
      <c r="F1313" s="6" t="s">
        <v>1095</v>
      </c>
      <c r="G1313" s="28" t="s">
        <v>55</v>
      </c>
      <c r="H1313" s="28" t="s">
        <v>129</v>
      </c>
      <c r="I1313" s="98">
        <v>0.15000000000000002</v>
      </c>
      <c r="J1313" s="27"/>
      <c r="K1313" s="29"/>
      <c r="L1313" s="29" t="s">
        <v>126</v>
      </c>
      <c r="M1313" s="29" t="s">
        <v>126</v>
      </c>
      <c r="N1313" s="29" t="s">
        <v>126</v>
      </c>
    </row>
    <row r="1314" spans="2:14" x14ac:dyDescent="0.25">
      <c r="B1314" s="27" t="s">
        <v>123</v>
      </c>
      <c r="C1314" s="28">
        <v>17587</v>
      </c>
      <c r="D1314" s="28" t="s">
        <v>2082</v>
      </c>
      <c r="E1314" s="27" t="s">
        <v>32</v>
      </c>
      <c r="F1314" s="6" t="s">
        <v>1095</v>
      </c>
      <c r="G1314" s="28" t="s">
        <v>55</v>
      </c>
      <c r="H1314" s="28" t="s">
        <v>129</v>
      </c>
      <c r="I1314" s="98">
        <v>0.15789473684210531</v>
      </c>
      <c r="J1314" s="27"/>
      <c r="K1314" s="29"/>
      <c r="L1314" s="29" t="s">
        <v>126</v>
      </c>
      <c r="M1314" s="29" t="s">
        <v>126</v>
      </c>
      <c r="N1314" s="29" t="s">
        <v>126</v>
      </c>
    </row>
    <row r="1315" spans="2:14" x14ac:dyDescent="0.25">
      <c r="B1315" s="27" t="s">
        <v>123</v>
      </c>
      <c r="C1315" s="28">
        <v>17588</v>
      </c>
      <c r="D1315" s="28" t="s">
        <v>2083</v>
      </c>
      <c r="E1315" s="27" t="s">
        <v>32</v>
      </c>
      <c r="F1315" s="6" t="s">
        <v>1095</v>
      </c>
      <c r="G1315" s="28" t="s">
        <v>55</v>
      </c>
      <c r="H1315" s="28" t="s">
        <v>129</v>
      </c>
      <c r="I1315" s="98">
        <v>5.8823529411764719E-2</v>
      </c>
      <c r="J1315" s="27"/>
      <c r="K1315" s="29"/>
      <c r="L1315" s="29" t="s">
        <v>126</v>
      </c>
      <c r="M1315" s="29" t="s">
        <v>126</v>
      </c>
      <c r="N1315" s="29" t="s">
        <v>126</v>
      </c>
    </row>
    <row r="1316" spans="2:14" x14ac:dyDescent="0.25">
      <c r="B1316" s="27" t="s">
        <v>123</v>
      </c>
      <c r="C1316" s="28">
        <v>17589</v>
      </c>
      <c r="D1316" s="28" t="s">
        <v>2084</v>
      </c>
      <c r="E1316" s="27" t="s">
        <v>32</v>
      </c>
      <c r="F1316" s="6" t="s">
        <v>1095</v>
      </c>
      <c r="G1316" s="28" t="s">
        <v>55</v>
      </c>
      <c r="H1316" s="28" t="s">
        <v>129</v>
      </c>
      <c r="I1316" s="98">
        <v>0.15789473684210531</v>
      </c>
      <c r="J1316" s="27"/>
      <c r="K1316" s="29"/>
      <c r="L1316" s="29" t="s">
        <v>126</v>
      </c>
      <c r="M1316" s="29" t="s">
        <v>126</v>
      </c>
      <c r="N1316" s="29" t="s">
        <v>126</v>
      </c>
    </row>
    <row r="1317" spans="2:14" x14ac:dyDescent="0.25">
      <c r="B1317" s="27" t="s">
        <v>123</v>
      </c>
      <c r="C1317" s="28">
        <v>81836</v>
      </c>
      <c r="D1317" s="28" t="s">
        <v>2085</v>
      </c>
      <c r="E1317" s="27" t="s">
        <v>32</v>
      </c>
      <c r="F1317" s="6" t="s">
        <v>1095</v>
      </c>
      <c r="G1317" s="28" t="s">
        <v>55</v>
      </c>
      <c r="H1317" s="28" t="s">
        <v>129</v>
      </c>
      <c r="I1317" s="98">
        <v>0.14864864864864868</v>
      </c>
      <c r="J1317" s="27"/>
      <c r="K1317" s="29"/>
      <c r="L1317" s="29" t="s">
        <v>126</v>
      </c>
      <c r="M1317" s="29" t="s">
        <v>126</v>
      </c>
      <c r="N1317" s="29" t="s">
        <v>126</v>
      </c>
    </row>
    <row r="1318" spans="2:14" x14ac:dyDescent="0.25">
      <c r="B1318" s="27" t="s">
        <v>123</v>
      </c>
      <c r="C1318" s="28">
        <v>51104</v>
      </c>
      <c r="D1318" s="28" t="s">
        <v>2086</v>
      </c>
      <c r="E1318" s="27" t="s">
        <v>32</v>
      </c>
      <c r="F1318" s="6" t="s">
        <v>1095</v>
      </c>
      <c r="G1318" s="28" t="s">
        <v>55</v>
      </c>
      <c r="H1318" s="28" t="s">
        <v>129</v>
      </c>
      <c r="I1318" s="98">
        <v>0.14864864864864868</v>
      </c>
      <c r="J1318" s="27"/>
      <c r="K1318" s="29"/>
      <c r="L1318" s="29" t="s">
        <v>126</v>
      </c>
      <c r="M1318" s="29" t="s">
        <v>126</v>
      </c>
      <c r="N1318" s="29" t="s">
        <v>126</v>
      </c>
    </row>
    <row r="1319" spans="2:14" x14ac:dyDescent="0.25">
      <c r="B1319" s="27" t="s">
        <v>123</v>
      </c>
      <c r="C1319" s="28">
        <v>61796</v>
      </c>
      <c r="D1319" s="28" t="s">
        <v>2087</v>
      </c>
      <c r="E1319" s="27" t="s">
        <v>32</v>
      </c>
      <c r="F1319" s="6" t="s">
        <v>1095</v>
      </c>
      <c r="G1319" s="28" t="s">
        <v>55</v>
      </c>
      <c r="H1319" s="28" t="s">
        <v>129</v>
      </c>
      <c r="I1319" s="98">
        <v>0.13846153846153841</v>
      </c>
      <c r="J1319" s="27"/>
      <c r="K1319" s="29"/>
      <c r="L1319" s="29" t="s">
        <v>126</v>
      </c>
      <c r="M1319" s="29" t="s">
        <v>126</v>
      </c>
      <c r="N1319" s="29" t="s">
        <v>126</v>
      </c>
    </row>
    <row r="1320" spans="2:14" x14ac:dyDescent="0.25">
      <c r="B1320" s="27" t="s">
        <v>123</v>
      </c>
      <c r="C1320" s="28">
        <v>68106</v>
      </c>
      <c r="D1320" s="28" t="s">
        <v>2088</v>
      </c>
      <c r="E1320" s="27" t="s">
        <v>32</v>
      </c>
      <c r="F1320" s="6" t="s">
        <v>1095</v>
      </c>
      <c r="G1320" s="28" t="s">
        <v>55</v>
      </c>
      <c r="H1320" s="28" t="s">
        <v>129</v>
      </c>
      <c r="I1320" s="98">
        <v>0.1784810126582278</v>
      </c>
      <c r="J1320" s="27"/>
      <c r="K1320" s="29"/>
      <c r="L1320" s="29" t="s">
        <v>126</v>
      </c>
      <c r="M1320" s="29" t="s">
        <v>126</v>
      </c>
      <c r="N1320" s="29" t="s">
        <v>126</v>
      </c>
    </row>
    <row r="1321" spans="2:14" x14ac:dyDescent="0.25">
      <c r="B1321" s="27" t="s">
        <v>123</v>
      </c>
      <c r="C1321" s="28">
        <v>97855</v>
      </c>
      <c r="D1321" s="28" t="s">
        <v>2089</v>
      </c>
      <c r="E1321" s="27" t="s">
        <v>32</v>
      </c>
      <c r="F1321" s="6" t="s">
        <v>1095</v>
      </c>
      <c r="G1321" s="28" t="s">
        <v>55</v>
      </c>
      <c r="H1321" s="28" t="s">
        <v>129</v>
      </c>
      <c r="I1321" s="98">
        <v>0.14675767918088733</v>
      </c>
      <c r="J1321" s="27"/>
      <c r="K1321" s="29"/>
      <c r="L1321" s="29" t="s">
        <v>126</v>
      </c>
      <c r="M1321" s="29" t="s">
        <v>126</v>
      </c>
      <c r="N1321" s="29" t="s">
        <v>126</v>
      </c>
    </row>
    <row r="1322" spans="2:14" x14ac:dyDescent="0.25">
      <c r="B1322" s="27" t="s">
        <v>123</v>
      </c>
      <c r="C1322" s="28">
        <v>93114</v>
      </c>
      <c r="D1322" s="28" t="s">
        <v>2090</v>
      </c>
      <c r="E1322" s="27" t="s">
        <v>32</v>
      </c>
      <c r="F1322" s="6" t="s">
        <v>1095</v>
      </c>
      <c r="G1322" s="28" t="s">
        <v>55</v>
      </c>
      <c r="H1322" s="28" t="s">
        <v>129</v>
      </c>
      <c r="I1322" s="98">
        <v>0.13649025069637888</v>
      </c>
      <c r="J1322" s="27"/>
      <c r="K1322" s="29"/>
      <c r="L1322" s="29" t="s">
        <v>126</v>
      </c>
      <c r="M1322" s="29" t="s">
        <v>126</v>
      </c>
      <c r="N1322" s="29" t="s">
        <v>126</v>
      </c>
    </row>
    <row r="1323" spans="2:14" x14ac:dyDescent="0.25">
      <c r="B1323" s="27" t="s">
        <v>123</v>
      </c>
      <c r="C1323" s="28">
        <v>12947</v>
      </c>
      <c r="D1323" s="28" t="s">
        <v>2091</v>
      </c>
      <c r="E1323" s="27" t="s">
        <v>32</v>
      </c>
      <c r="F1323" s="6" t="s">
        <v>1095</v>
      </c>
      <c r="G1323" s="28" t="s">
        <v>55</v>
      </c>
      <c r="H1323" s="28" t="s">
        <v>129</v>
      </c>
      <c r="I1323" s="98">
        <v>0.35</v>
      </c>
      <c r="J1323" s="27"/>
      <c r="K1323" s="29"/>
      <c r="L1323" s="29" t="s">
        <v>126</v>
      </c>
      <c r="M1323" s="29" t="s">
        <v>126</v>
      </c>
      <c r="N1323" s="29" t="s">
        <v>126</v>
      </c>
    </row>
    <row r="1324" spans="2:14" x14ac:dyDescent="0.25">
      <c r="B1324" s="27" t="s">
        <v>123</v>
      </c>
      <c r="C1324" s="28">
        <v>30236</v>
      </c>
      <c r="D1324" s="28" t="s">
        <v>2092</v>
      </c>
      <c r="E1324" s="27" t="s">
        <v>32</v>
      </c>
      <c r="F1324" s="6" t="s">
        <v>1095</v>
      </c>
      <c r="G1324" s="28" t="s">
        <v>55</v>
      </c>
      <c r="H1324" s="28" t="s">
        <v>129</v>
      </c>
      <c r="I1324" s="98">
        <v>0.10550458715596334</v>
      </c>
      <c r="J1324" s="27"/>
      <c r="K1324" s="29"/>
      <c r="L1324" s="29" t="s">
        <v>126</v>
      </c>
      <c r="M1324" s="29" t="s">
        <v>126</v>
      </c>
      <c r="N1324" s="29" t="s">
        <v>126</v>
      </c>
    </row>
    <row r="1325" spans="2:14" x14ac:dyDescent="0.25">
      <c r="B1325" s="27" t="s">
        <v>123</v>
      </c>
      <c r="C1325" s="28">
        <v>47018</v>
      </c>
      <c r="D1325" s="28" t="s">
        <v>2093</v>
      </c>
      <c r="E1325" s="27" t="s">
        <v>32</v>
      </c>
      <c r="F1325" s="6" t="s">
        <v>1095</v>
      </c>
      <c r="G1325" s="28" t="s">
        <v>55</v>
      </c>
      <c r="H1325" s="28" t="s">
        <v>129</v>
      </c>
      <c r="I1325" s="98">
        <v>0.125</v>
      </c>
      <c r="J1325" s="27"/>
      <c r="K1325" s="29"/>
      <c r="L1325" s="29" t="s">
        <v>126</v>
      </c>
      <c r="M1325" s="29" t="s">
        <v>126</v>
      </c>
      <c r="N1325" s="29" t="s">
        <v>126</v>
      </c>
    </row>
    <row r="1326" spans="2:14" x14ac:dyDescent="0.25">
      <c r="B1326" s="27" t="s">
        <v>123</v>
      </c>
      <c r="C1326" s="28">
        <v>35234</v>
      </c>
      <c r="D1326" s="28" t="s">
        <v>2094</v>
      </c>
      <c r="E1326" s="27" t="s">
        <v>32</v>
      </c>
      <c r="F1326" s="6" t="s">
        <v>1095</v>
      </c>
      <c r="G1326" s="28" t="s">
        <v>55</v>
      </c>
      <c r="H1326" s="28" t="s">
        <v>129</v>
      </c>
      <c r="I1326" s="98">
        <v>0.11904761904761907</v>
      </c>
      <c r="J1326" s="27"/>
      <c r="K1326" s="29"/>
      <c r="L1326" s="29" t="s">
        <v>126</v>
      </c>
      <c r="M1326" s="29" t="s">
        <v>126</v>
      </c>
      <c r="N1326" s="29" t="s">
        <v>126</v>
      </c>
    </row>
    <row r="1327" spans="2:14" x14ac:dyDescent="0.25">
      <c r="B1327" s="27" t="s">
        <v>123</v>
      </c>
      <c r="C1327" s="28">
        <v>50672</v>
      </c>
      <c r="D1327" s="28" t="s">
        <v>2095</v>
      </c>
      <c r="E1327" s="27" t="s">
        <v>32</v>
      </c>
      <c r="F1327" s="6" t="s">
        <v>1095</v>
      </c>
      <c r="G1327" s="28" t="s">
        <v>55</v>
      </c>
      <c r="H1327" s="28" t="s">
        <v>129</v>
      </c>
      <c r="I1327" s="98">
        <v>0.15760869565217395</v>
      </c>
      <c r="J1327" s="27"/>
      <c r="K1327" s="29"/>
      <c r="L1327" s="29" t="s">
        <v>126</v>
      </c>
      <c r="M1327" s="29" t="s">
        <v>126</v>
      </c>
      <c r="N1327" s="29" t="s">
        <v>126</v>
      </c>
    </row>
    <row r="1328" spans="2:14" x14ac:dyDescent="0.25">
      <c r="B1328" s="27" t="s">
        <v>123</v>
      </c>
      <c r="C1328" s="28">
        <v>80335</v>
      </c>
      <c r="D1328" s="28" t="s">
        <v>2096</v>
      </c>
      <c r="E1328" s="27" t="s">
        <v>32</v>
      </c>
      <c r="F1328" s="6" t="s">
        <v>1095</v>
      </c>
      <c r="G1328" s="28" t="s">
        <v>55</v>
      </c>
      <c r="H1328" s="28" t="s">
        <v>129</v>
      </c>
      <c r="I1328" s="98">
        <v>0.11714770797962648</v>
      </c>
      <c r="J1328" s="27"/>
      <c r="K1328" s="29"/>
      <c r="L1328" s="29" t="s">
        <v>126</v>
      </c>
      <c r="M1328" s="29" t="s">
        <v>126</v>
      </c>
      <c r="N1328" s="29" t="s">
        <v>126</v>
      </c>
    </row>
    <row r="1329" spans="2:14" x14ac:dyDescent="0.25">
      <c r="B1329" s="27" t="s">
        <v>123</v>
      </c>
      <c r="C1329" s="28">
        <v>30817</v>
      </c>
      <c r="D1329" s="28" t="s">
        <v>2097</v>
      </c>
      <c r="E1329" s="27" t="s">
        <v>32</v>
      </c>
      <c r="F1329" s="6" t="s">
        <v>1095</v>
      </c>
      <c r="G1329" s="28" t="s">
        <v>55</v>
      </c>
      <c r="H1329" s="28" t="s">
        <v>129</v>
      </c>
      <c r="I1329" s="98">
        <v>0.15151515151515149</v>
      </c>
      <c r="J1329" s="27"/>
      <c r="K1329" s="29"/>
      <c r="L1329" s="29" t="s">
        <v>126</v>
      </c>
      <c r="M1329" s="29" t="s">
        <v>126</v>
      </c>
      <c r="N1329" s="29" t="s">
        <v>126</v>
      </c>
    </row>
    <row r="1330" spans="2:14" x14ac:dyDescent="0.25">
      <c r="B1330" s="27" t="s">
        <v>123</v>
      </c>
      <c r="C1330" s="28">
        <v>30781</v>
      </c>
      <c r="D1330" s="28" t="s">
        <v>2098</v>
      </c>
      <c r="E1330" s="27" t="s">
        <v>32</v>
      </c>
      <c r="F1330" s="6" t="s">
        <v>1095</v>
      </c>
      <c r="G1330" s="28" t="s">
        <v>55</v>
      </c>
      <c r="H1330" s="28" t="s">
        <v>129</v>
      </c>
      <c r="I1330" s="98">
        <v>0.12612612612612617</v>
      </c>
      <c r="J1330" s="27"/>
      <c r="K1330" s="29"/>
      <c r="L1330" s="29" t="s">
        <v>126</v>
      </c>
      <c r="M1330" s="29" t="s">
        <v>126</v>
      </c>
      <c r="N1330" s="29" t="s">
        <v>126</v>
      </c>
    </row>
    <row r="1331" spans="2:14" x14ac:dyDescent="0.25">
      <c r="B1331" s="27" t="s">
        <v>123</v>
      </c>
      <c r="C1331" s="28">
        <v>56180</v>
      </c>
      <c r="D1331" s="28" t="s">
        <v>2099</v>
      </c>
      <c r="E1331" s="27" t="s">
        <v>32</v>
      </c>
      <c r="F1331" s="6" t="s">
        <v>1095</v>
      </c>
      <c r="G1331" s="28" t="s">
        <v>55</v>
      </c>
      <c r="H1331" s="28" t="s">
        <v>129</v>
      </c>
      <c r="I1331" s="98">
        <v>0.12195121951219512</v>
      </c>
      <c r="J1331" s="27"/>
      <c r="K1331" s="29"/>
      <c r="L1331" s="29" t="s">
        <v>126</v>
      </c>
      <c r="M1331" s="29" t="s">
        <v>126</v>
      </c>
      <c r="N1331" s="29" t="s">
        <v>126</v>
      </c>
    </row>
    <row r="1332" spans="2:14" x14ac:dyDescent="0.25">
      <c r="B1332" s="27" t="s">
        <v>123</v>
      </c>
      <c r="C1332" s="28">
        <v>30658</v>
      </c>
      <c r="D1332" s="28" t="s">
        <v>2100</v>
      </c>
      <c r="E1332" s="27" t="s">
        <v>32</v>
      </c>
      <c r="F1332" s="6" t="s">
        <v>1095</v>
      </c>
      <c r="G1332" s="28" t="s">
        <v>55</v>
      </c>
      <c r="H1332" s="28" t="s">
        <v>129</v>
      </c>
      <c r="I1332" s="98">
        <v>0.16806722689075626</v>
      </c>
      <c r="J1332" s="27"/>
      <c r="K1332" s="29"/>
      <c r="L1332" s="29" t="s">
        <v>126</v>
      </c>
      <c r="M1332" s="29" t="s">
        <v>126</v>
      </c>
      <c r="N1332" s="29" t="s">
        <v>126</v>
      </c>
    </row>
    <row r="1333" spans="2:14" x14ac:dyDescent="0.25">
      <c r="B1333" s="27" t="s">
        <v>123</v>
      </c>
      <c r="C1333" s="28">
        <v>51844</v>
      </c>
      <c r="D1333" s="28" t="s">
        <v>2101</v>
      </c>
      <c r="E1333" s="27" t="s">
        <v>32</v>
      </c>
      <c r="F1333" s="6" t="s">
        <v>1095</v>
      </c>
      <c r="G1333" s="28" t="s">
        <v>55</v>
      </c>
      <c r="H1333" s="28" t="s">
        <v>129</v>
      </c>
      <c r="I1333" s="98">
        <v>0.18279569892473113</v>
      </c>
      <c r="J1333" s="27"/>
      <c r="K1333" s="29"/>
      <c r="L1333" s="29" t="s">
        <v>126</v>
      </c>
      <c r="M1333" s="29" t="s">
        <v>126</v>
      </c>
      <c r="N1333" s="29" t="s">
        <v>126</v>
      </c>
    </row>
    <row r="1334" spans="2:14" x14ac:dyDescent="0.25">
      <c r="B1334" s="27" t="s">
        <v>123</v>
      </c>
      <c r="C1334" s="28">
        <v>50663</v>
      </c>
      <c r="D1334" s="28" t="s">
        <v>2102</v>
      </c>
      <c r="E1334" s="27" t="s">
        <v>32</v>
      </c>
      <c r="F1334" s="6" t="s">
        <v>1095</v>
      </c>
      <c r="G1334" s="28" t="s">
        <v>55</v>
      </c>
      <c r="H1334" s="28" t="s">
        <v>129</v>
      </c>
      <c r="I1334" s="98">
        <v>0.12121212121212122</v>
      </c>
      <c r="J1334" s="27"/>
      <c r="K1334" s="29"/>
      <c r="L1334" s="29" t="s">
        <v>126</v>
      </c>
      <c r="M1334" s="29" t="s">
        <v>126</v>
      </c>
      <c r="N1334" s="29" t="s">
        <v>126</v>
      </c>
    </row>
    <row r="1335" spans="2:14" x14ac:dyDescent="0.25">
      <c r="B1335" s="27" t="s">
        <v>123</v>
      </c>
      <c r="C1335" s="28">
        <v>21354</v>
      </c>
      <c r="D1335" s="28" t="s">
        <v>2103</v>
      </c>
      <c r="E1335" s="27" t="s">
        <v>32</v>
      </c>
      <c r="F1335" s="6" t="s">
        <v>1095</v>
      </c>
      <c r="G1335" s="28" t="s">
        <v>55</v>
      </c>
      <c r="H1335" s="28" t="s">
        <v>129</v>
      </c>
      <c r="I1335" s="98">
        <v>0.14130434782608692</v>
      </c>
      <c r="J1335" s="27"/>
      <c r="K1335" s="29"/>
      <c r="L1335" s="29" t="s">
        <v>126</v>
      </c>
      <c r="M1335" s="29" t="s">
        <v>126</v>
      </c>
      <c r="N1335" s="29" t="s">
        <v>126</v>
      </c>
    </row>
    <row r="1336" spans="2:14" x14ac:dyDescent="0.25">
      <c r="B1336" s="27" t="s">
        <v>123</v>
      </c>
      <c r="C1336" s="28">
        <v>15406</v>
      </c>
      <c r="D1336" s="28" t="s">
        <v>2104</v>
      </c>
      <c r="E1336" s="27" t="s">
        <v>32</v>
      </c>
      <c r="F1336" s="6" t="s">
        <v>1095</v>
      </c>
      <c r="G1336" s="28" t="s">
        <v>55</v>
      </c>
      <c r="H1336" s="28" t="s">
        <v>129</v>
      </c>
      <c r="I1336" s="98">
        <v>0.37656903765690375</v>
      </c>
      <c r="J1336" s="27"/>
      <c r="K1336" s="29"/>
      <c r="L1336" s="29" t="s">
        <v>126</v>
      </c>
      <c r="M1336" s="29" t="s">
        <v>126</v>
      </c>
      <c r="N1336" s="29" t="s">
        <v>126</v>
      </c>
    </row>
    <row r="1337" spans="2:14" x14ac:dyDescent="0.25">
      <c r="B1337" s="27" t="s">
        <v>123</v>
      </c>
      <c r="C1337" s="28">
        <v>15407</v>
      </c>
      <c r="D1337" s="28" t="s">
        <v>2105</v>
      </c>
      <c r="E1337" s="27" t="s">
        <v>32</v>
      </c>
      <c r="F1337" s="6" t="s">
        <v>1095</v>
      </c>
      <c r="G1337" s="28" t="s">
        <v>55</v>
      </c>
      <c r="H1337" s="28" t="s">
        <v>129</v>
      </c>
      <c r="I1337" s="98">
        <v>0.37656903765690375</v>
      </c>
      <c r="J1337" s="27"/>
      <c r="K1337" s="29"/>
      <c r="L1337" s="29" t="s">
        <v>126</v>
      </c>
      <c r="M1337" s="29" t="s">
        <v>126</v>
      </c>
      <c r="N1337" s="29" t="s">
        <v>126</v>
      </c>
    </row>
    <row r="1338" spans="2:14" x14ac:dyDescent="0.25">
      <c r="B1338" s="27" t="s">
        <v>123</v>
      </c>
      <c r="C1338" s="28">
        <v>15408</v>
      </c>
      <c r="D1338" s="28" t="s">
        <v>2106</v>
      </c>
      <c r="E1338" s="27" t="s">
        <v>32</v>
      </c>
      <c r="F1338" s="6" t="s">
        <v>1095</v>
      </c>
      <c r="G1338" s="28" t="s">
        <v>55</v>
      </c>
      <c r="H1338" s="28" t="s">
        <v>129</v>
      </c>
      <c r="I1338" s="98">
        <v>0.37656903765690375</v>
      </c>
      <c r="J1338" s="27"/>
      <c r="K1338" s="29"/>
      <c r="L1338" s="29" t="s">
        <v>126</v>
      </c>
      <c r="M1338" s="29" t="s">
        <v>126</v>
      </c>
      <c r="N1338" s="29" t="s">
        <v>126</v>
      </c>
    </row>
    <row r="1339" spans="2:14" x14ac:dyDescent="0.25">
      <c r="B1339" s="27" t="s">
        <v>123</v>
      </c>
      <c r="C1339" s="28">
        <v>15410</v>
      </c>
      <c r="D1339" s="28" t="s">
        <v>2107</v>
      </c>
      <c r="E1339" s="27" t="s">
        <v>32</v>
      </c>
      <c r="F1339" s="6" t="s">
        <v>1095</v>
      </c>
      <c r="G1339" s="28" t="s">
        <v>55</v>
      </c>
      <c r="H1339" s="28" t="s">
        <v>129</v>
      </c>
      <c r="I1339" s="98">
        <v>0.37656903765690375</v>
      </c>
      <c r="J1339" s="27"/>
      <c r="K1339" s="29"/>
      <c r="L1339" s="29" t="s">
        <v>126</v>
      </c>
      <c r="M1339" s="29" t="s">
        <v>126</v>
      </c>
      <c r="N1339" s="29" t="s">
        <v>126</v>
      </c>
    </row>
    <row r="1340" spans="2:14" x14ac:dyDescent="0.25">
      <c r="B1340" s="27" t="s">
        <v>123</v>
      </c>
      <c r="C1340" s="28">
        <v>15926</v>
      </c>
      <c r="D1340" s="28" t="s">
        <v>2108</v>
      </c>
      <c r="E1340" s="27" t="s">
        <v>32</v>
      </c>
      <c r="F1340" s="6" t="s">
        <v>1095</v>
      </c>
      <c r="G1340" s="28" t="s">
        <v>55</v>
      </c>
      <c r="H1340" s="28" t="s">
        <v>129</v>
      </c>
      <c r="I1340" s="98">
        <v>0.16279069767441856</v>
      </c>
      <c r="J1340" s="27"/>
      <c r="K1340" s="29"/>
      <c r="L1340" s="29" t="s">
        <v>126</v>
      </c>
      <c r="M1340" s="29" t="s">
        <v>126</v>
      </c>
      <c r="N1340" s="29" t="s">
        <v>126</v>
      </c>
    </row>
    <row r="1341" spans="2:14" x14ac:dyDescent="0.25">
      <c r="B1341" s="27" t="s">
        <v>123</v>
      </c>
      <c r="C1341" s="28">
        <v>15927</v>
      </c>
      <c r="D1341" s="28" t="s">
        <v>2109</v>
      </c>
      <c r="E1341" s="27" t="s">
        <v>32</v>
      </c>
      <c r="F1341" s="6" t="s">
        <v>1095</v>
      </c>
      <c r="G1341" s="28" t="s">
        <v>55</v>
      </c>
      <c r="H1341" s="28" t="s">
        <v>129</v>
      </c>
      <c r="I1341" s="98">
        <v>0.11111111111111116</v>
      </c>
      <c r="J1341" s="27"/>
      <c r="K1341" s="29"/>
      <c r="L1341" s="29" t="s">
        <v>126</v>
      </c>
      <c r="M1341" s="29" t="s">
        <v>126</v>
      </c>
      <c r="N1341" s="29" t="s">
        <v>126</v>
      </c>
    </row>
    <row r="1342" spans="2:14" x14ac:dyDescent="0.25">
      <c r="B1342" s="27" t="s">
        <v>123</v>
      </c>
      <c r="C1342" s="28">
        <v>15048</v>
      </c>
      <c r="D1342" s="28" t="s">
        <v>2110</v>
      </c>
      <c r="E1342" s="27" t="s">
        <v>32</v>
      </c>
      <c r="F1342" s="6" t="s">
        <v>1095</v>
      </c>
      <c r="G1342" s="28" t="s">
        <v>55</v>
      </c>
      <c r="H1342" s="28" t="s">
        <v>129</v>
      </c>
      <c r="I1342" s="98">
        <v>0.30303030303030298</v>
      </c>
      <c r="J1342" s="27"/>
      <c r="K1342" s="29"/>
      <c r="L1342" s="29" t="s">
        <v>126</v>
      </c>
      <c r="M1342" s="29" t="s">
        <v>126</v>
      </c>
      <c r="N1342" s="29" t="s">
        <v>126</v>
      </c>
    </row>
    <row r="1343" spans="2:14" x14ac:dyDescent="0.25">
      <c r="B1343" s="27" t="s">
        <v>123</v>
      </c>
      <c r="C1343" s="28">
        <v>18474</v>
      </c>
      <c r="D1343" s="28" t="s">
        <v>2111</v>
      </c>
      <c r="E1343" s="27" t="s">
        <v>32</v>
      </c>
      <c r="F1343" s="6" t="s">
        <v>1095</v>
      </c>
      <c r="G1343" s="28" t="s">
        <v>55</v>
      </c>
      <c r="H1343" s="28" t="s">
        <v>129</v>
      </c>
      <c r="I1343" s="98">
        <v>0.20202020202020199</v>
      </c>
      <c r="J1343" s="27"/>
      <c r="K1343" s="29"/>
      <c r="L1343" s="29" t="s">
        <v>126</v>
      </c>
      <c r="M1343" s="29" t="s">
        <v>126</v>
      </c>
      <c r="N1343" s="29" t="s">
        <v>126</v>
      </c>
    </row>
    <row r="1344" spans="2:14" x14ac:dyDescent="0.25">
      <c r="B1344" s="27" t="s">
        <v>123</v>
      </c>
      <c r="C1344" s="28">
        <v>32248</v>
      </c>
      <c r="D1344" s="28" t="s">
        <v>2112</v>
      </c>
      <c r="E1344" s="27" t="s">
        <v>32</v>
      </c>
      <c r="F1344" s="6" t="s">
        <v>1095</v>
      </c>
      <c r="G1344" s="28" t="s">
        <v>55</v>
      </c>
      <c r="H1344" s="28" t="s">
        <v>129</v>
      </c>
      <c r="I1344" s="98">
        <v>0.24615384615384617</v>
      </c>
      <c r="J1344" s="27"/>
      <c r="K1344" s="29"/>
      <c r="L1344" s="29" t="s">
        <v>126</v>
      </c>
      <c r="M1344" s="29" t="s">
        <v>126</v>
      </c>
      <c r="N1344" s="29" t="s">
        <v>126</v>
      </c>
    </row>
    <row r="1345" spans="2:14" x14ac:dyDescent="0.25">
      <c r="B1345" s="27" t="s">
        <v>123</v>
      </c>
      <c r="C1345" s="28">
        <v>64874</v>
      </c>
      <c r="D1345" s="28" t="s">
        <v>2113</v>
      </c>
      <c r="E1345" s="27" t="s">
        <v>32</v>
      </c>
      <c r="F1345" s="6" t="s">
        <v>1095</v>
      </c>
      <c r="G1345" s="28" t="s">
        <v>55</v>
      </c>
      <c r="H1345" s="28" t="s">
        <v>129</v>
      </c>
      <c r="I1345" s="98">
        <v>0.10505252626313155</v>
      </c>
      <c r="J1345" s="27"/>
      <c r="K1345" s="29"/>
      <c r="L1345" s="29" t="s">
        <v>126</v>
      </c>
      <c r="M1345" s="29" t="s">
        <v>126</v>
      </c>
      <c r="N1345" s="29" t="s">
        <v>126</v>
      </c>
    </row>
    <row r="1346" spans="2:14" x14ac:dyDescent="0.25">
      <c r="B1346" s="27" t="s">
        <v>123</v>
      </c>
      <c r="C1346" s="28">
        <v>21474</v>
      </c>
      <c r="D1346" s="28" t="s">
        <v>2114</v>
      </c>
      <c r="E1346" s="27" t="s">
        <v>32</v>
      </c>
      <c r="F1346" s="6" t="s">
        <v>1095</v>
      </c>
      <c r="G1346" s="28" t="s">
        <v>55</v>
      </c>
      <c r="H1346" s="28" t="s">
        <v>129</v>
      </c>
      <c r="I1346" s="98">
        <v>0.20134228187919467</v>
      </c>
      <c r="J1346" s="27"/>
      <c r="K1346" s="29"/>
      <c r="L1346" s="29" t="s">
        <v>126</v>
      </c>
      <c r="M1346" s="29" t="s">
        <v>126</v>
      </c>
      <c r="N1346" s="29" t="s">
        <v>126</v>
      </c>
    </row>
    <row r="1347" spans="2:14" x14ac:dyDescent="0.25">
      <c r="B1347" s="27" t="s">
        <v>123</v>
      </c>
      <c r="C1347" s="28">
        <v>30716</v>
      </c>
      <c r="D1347" s="28" t="s">
        <v>2115</v>
      </c>
      <c r="E1347" s="27" t="s">
        <v>32</v>
      </c>
      <c r="F1347" s="6" t="s">
        <v>1095</v>
      </c>
      <c r="G1347" s="28" t="s">
        <v>55</v>
      </c>
      <c r="H1347" s="28" t="s">
        <v>129</v>
      </c>
      <c r="I1347" s="98">
        <v>0.25210084033613445</v>
      </c>
      <c r="J1347" s="27"/>
      <c r="K1347" s="29"/>
      <c r="L1347" s="29" t="s">
        <v>126</v>
      </c>
      <c r="M1347" s="29" t="s">
        <v>126</v>
      </c>
      <c r="N1347" s="29" t="s">
        <v>126</v>
      </c>
    </row>
    <row r="1348" spans="2:14" x14ac:dyDescent="0.25">
      <c r="B1348" s="27" t="s">
        <v>123</v>
      </c>
      <c r="C1348" s="28">
        <v>30782</v>
      </c>
      <c r="D1348" s="28" t="s">
        <v>2116</v>
      </c>
      <c r="E1348" s="27" t="s">
        <v>32</v>
      </c>
      <c r="F1348" s="6" t="s">
        <v>1095</v>
      </c>
      <c r="G1348" s="28" t="s">
        <v>55</v>
      </c>
      <c r="H1348" s="28" t="s">
        <v>129</v>
      </c>
      <c r="I1348" s="98">
        <v>0.20408163265306123</v>
      </c>
      <c r="J1348" s="27"/>
      <c r="K1348" s="29"/>
      <c r="L1348" s="29" t="s">
        <v>126</v>
      </c>
      <c r="M1348" s="29" t="s">
        <v>126</v>
      </c>
      <c r="N1348" s="29" t="s">
        <v>126</v>
      </c>
    </row>
    <row r="1349" spans="2:14" x14ac:dyDescent="0.25">
      <c r="B1349" s="27" t="s">
        <v>123</v>
      </c>
      <c r="C1349" s="28">
        <v>18054</v>
      </c>
      <c r="D1349" s="28" t="s">
        <v>2117</v>
      </c>
      <c r="E1349" s="27" t="s">
        <v>32</v>
      </c>
      <c r="F1349" s="6" t="s">
        <v>1095</v>
      </c>
      <c r="G1349" s="28" t="s">
        <v>55</v>
      </c>
      <c r="H1349" s="28" t="s">
        <v>129</v>
      </c>
      <c r="I1349" s="98">
        <v>0.25210084033613445</v>
      </c>
      <c r="J1349" s="27"/>
      <c r="K1349" s="29"/>
      <c r="L1349" s="29" t="s">
        <v>126</v>
      </c>
      <c r="M1349" s="29" t="s">
        <v>126</v>
      </c>
      <c r="N1349" s="29" t="s">
        <v>126</v>
      </c>
    </row>
    <row r="1350" spans="2:14" x14ac:dyDescent="0.25">
      <c r="B1350" s="27" t="s">
        <v>123</v>
      </c>
      <c r="C1350" s="28">
        <v>17967</v>
      </c>
      <c r="D1350" s="28" t="s">
        <v>2118</v>
      </c>
      <c r="E1350" s="27" t="s">
        <v>32</v>
      </c>
      <c r="F1350" s="6" t="s">
        <v>1095</v>
      </c>
      <c r="G1350" s="28" t="s">
        <v>55</v>
      </c>
      <c r="H1350" s="28" t="s">
        <v>129</v>
      </c>
      <c r="I1350" s="98">
        <v>0.20100502512562812</v>
      </c>
      <c r="J1350" s="27"/>
      <c r="K1350" s="29"/>
      <c r="L1350" s="29" t="s">
        <v>126</v>
      </c>
      <c r="M1350" s="29" t="s">
        <v>126</v>
      </c>
      <c r="N1350" s="29" t="s">
        <v>126</v>
      </c>
    </row>
    <row r="1351" spans="2:14" x14ac:dyDescent="0.25">
      <c r="B1351" s="27" t="s">
        <v>123</v>
      </c>
      <c r="C1351" s="28">
        <v>65316</v>
      </c>
      <c r="D1351" s="28" t="s">
        <v>2119</v>
      </c>
      <c r="E1351" s="27" t="s">
        <v>32</v>
      </c>
      <c r="F1351" s="6" t="s">
        <v>1095</v>
      </c>
      <c r="G1351" s="28" t="s">
        <v>55</v>
      </c>
      <c r="H1351" s="28" t="s">
        <v>129</v>
      </c>
      <c r="I1351" s="98">
        <v>0.2247191011235955</v>
      </c>
      <c r="J1351" s="27"/>
      <c r="K1351" s="29"/>
      <c r="L1351" s="29" t="s">
        <v>126</v>
      </c>
      <c r="M1351" s="29" t="s">
        <v>126</v>
      </c>
      <c r="N1351" s="29" t="s">
        <v>126</v>
      </c>
    </row>
    <row r="1352" spans="2:14" x14ac:dyDescent="0.25">
      <c r="B1352" s="27" t="s">
        <v>123</v>
      </c>
      <c r="C1352" s="28">
        <v>16754</v>
      </c>
      <c r="D1352" s="28" t="s">
        <v>2120</v>
      </c>
      <c r="E1352" s="27" t="s">
        <v>32</v>
      </c>
      <c r="F1352" s="6" t="s">
        <v>1095</v>
      </c>
      <c r="G1352" s="28" t="s">
        <v>55</v>
      </c>
      <c r="H1352" s="28" t="s">
        <v>129</v>
      </c>
      <c r="I1352" s="98">
        <v>9.5238095238095233E-2</v>
      </c>
      <c r="J1352" s="27"/>
      <c r="K1352" s="29"/>
      <c r="L1352" s="29" t="s">
        <v>126</v>
      </c>
      <c r="M1352" s="29" t="s">
        <v>126</v>
      </c>
      <c r="N1352" s="29" t="s">
        <v>126</v>
      </c>
    </row>
    <row r="1353" spans="2:14" x14ac:dyDescent="0.25">
      <c r="B1353" s="27" t="s">
        <v>123</v>
      </c>
      <c r="C1353" s="28">
        <v>78447</v>
      </c>
      <c r="D1353" s="28" t="s">
        <v>2121</v>
      </c>
      <c r="E1353" s="27" t="s">
        <v>32</v>
      </c>
      <c r="F1353" s="6" t="s">
        <v>1095</v>
      </c>
      <c r="G1353" s="28" t="s">
        <v>55</v>
      </c>
      <c r="H1353" s="28" t="s">
        <v>129</v>
      </c>
      <c r="I1353" s="98">
        <v>9.4545454545454599E-2</v>
      </c>
      <c r="J1353" s="27"/>
      <c r="K1353" s="29"/>
      <c r="L1353" s="29" t="s">
        <v>126</v>
      </c>
      <c r="M1353" s="29" t="s">
        <v>126</v>
      </c>
      <c r="N1353" s="29" t="s">
        <v>126</v>
      </c>
    </row>
    <row r="1354" spans="2:14" x14ac:dyDescent="0.25">
      <c r="B1354" s="27" t="s">
        <v>123</v>
      </c>
      <c r="C1354" s="28">
        <v>89952</v>
      </c>
      <c r="D1354" s="28" t="s">
        <v>2122</v>
      </c>
      <c r="E1354" s="27" t="s">
        <v>32</v>
      </c>
      <c r="F1354" s="6" t="s">
        <v>1095</v>
      </c>
      <c r="G1354" s="28" t="s">
        <v>55</v>
      </c>
      <c r="H1354" s="28" t="s">
        <v>129</v>
      </c>
      <c r="I1354" s="98">
        <v>0.11428571428571432</v>
      </c>
      <c r="J1354" s="27"/>
      <c r="K1354" s="29"/>
      <c r="L1354" s="29" t="s">
        <v>126</v>
      </c>
      <c r="M1354" s="29" t="s">
        <v>126</v>
      </c>
      <c r="N1354" s="29" t="s">
        <v>126</v>
      </c>
    </row>
    <row r="1355" spans="2:14" x14ac:dyDescent="0.25">
      <c r="B1355" s="27" t="s">
        <v>123</v>
      </c>
      <c r="C1355" s="28">
        <v>16152</v>
      </c>
      <c r="D1355" s="28" t="s">
        <v>2123</v>
      </c>
      <c r="E1355" s="27" t="s">
        <v>32</v>
      </c>
      <c r="F1355" s="6" t="s">
        <v>1095</v>
      </c>
      <c r="G1355" s="28" t="s">
        <v>55</v>
      </c>
      <c r="H1355" s="28" t="s">
        <v>129</v>
      </c>
      <c r="I1355" s="98">
        <v>0.11428571428571432</v>
      </c>
      <c r="J1355" s="27"/>
      <c r="K1355" s="29"/>
      <c r="L1355" s="29" t="s">
        <v>126</v>
      </c>
      <c r="M1355" s="29" t="s">
        <v>126</v>
      </c>
      <c r="N1355" s="29" t="s">
        <v>126</v>
      </c>
    </row>
    <row r="1356" spans="2:14" x14ac:dyDescent="0.25">
      <c r="B1356" s="27" t="s">
        <v>123</v>
      </c>
      <c r="C1356" s="28">
        <v>65481</v>
      </c>
      <c r="D1356" s="28" t="s">
        <v>2124</v>
      </c>
      <c r="E1356" s="27" t="s">
        <v>32</v>
      </c>
      <c r="F1356" s="6" t="s">
        <v>1095</v>
      </c>
      <c r="G1356" s="28" t="s">
        <v>55</v>
      </c>
      <c r="H1356" s="28" t="s">
        <v>129</v>
      </c>
      <c r="I1356" s="98">
        <v>9.9999999999999978E-2</v>
      </c>
      <c r="J1356" s="27"/>
      <c r="K1356" s="29"/>
      <c r="L1356" s="29" t="s">
        <v>126</v>
      </c>
      <c r="M1356" s="29" t="s">
        <v>126</v>
      </c>
      <c r="N1356" s="29" t="s">
        <v>126</v>
      </c>
    </row>
    <row r="1357" spans="2:14" x14ac:dyDescent="0.25">
      <c r="B1357" s="27" t="s">
        <v>123</v>
      </c>
      <c r="C1357" s="28">
        <v>38610</v>
      </c>
      <c r="D1357" s="28" t="s">
        <v>2125</v>
      </c>
      <c r="E1357" s="27" t="s">
        <v>32</v>
      </c>
      <c r="F1357" s="6" t="s">
        <v>1095</v>
      </c>
      <c r="G1357" s="28" t="s">
        <v>55</v>
      </c>
      <c r="H1357" s="28" t="s">
        <v>129</v>
      </c>
      <c r="I1357" s="98">
        <v>0.10076335877862597</v>
      </c>
      <c r="J1357" s="27"/>
      <c r="K1357" s="29"/>
      <c r="L1357" s="29" t="s">
        <v>126</v>
      </c>
      <c r="M1357" s="29" t="s">
        <v>126</v>
      </c>
      <c r="N1357" s="29" t="s">
        <v>126</v>
      </c>
    </row>
    <row r="1358" spans="2:14" x14ac:dyDescent="0.25">
      <c r="B1358" s="27" t="s">
        <v>123</v>
      </c>
      <c r="C1358" s="28">
        <v>1224</v>
      </c>
      <c r="D1358" s="28" t="s">
        <v>2126</v>
      </c>
      <c r="E1358" s="27" t="s">
        <v>32</v>
      </c>
      <c r="F1358" s="6" t="s">
        <v>1095</v>
      </c>
      <c r="G1358" s="28" t="s">
        <v>55</v>
      </c>
      <c r="H1358" s="28" t="s">
        <v>129</v>
      </c>
      <c r="I1358" s="98">
        <v>0.10022779043280183</v>
      </c>
      <c r="J1358" s="27"/>
      <c r="K1358" s="29"/>
      <c r="L1358" s="29" t="s">
        <v>126</v>
      </c>
      <c r="M1358" s="29" t="s">
        <v>126</v>
      </c>
      <c r="N1358" s="29" t="s">
        <v>126</v>
      </c>
    </row>
    <row r="1359" spans="2:14" x14ac:dyDescent="0.25">
      <c r="B1359" s="27" t="s">
        <v>123</v>
      </c>
      <c r="C1359" s="28">
        <v>45449</v>
      </c>
      <c r="D1359" s="28" t="s">
        <v>2127</v>
      </c>
      <c r="E1359" s="27" t="s">
        <v>32</v>
      </c>
      <c r="F1359" s="6" t="s">
        <v>1095</v>
      </c>
      <c r="G1359" s="28" t="s">
        <v>55</v>
      </c>
      <c r="H1359" s="28" t="s">
        <v>129</v>
      </c>
      <c r="I1359" s="98">
        <v>0.10123734533183348</v>
      </c>
      <c r="J1359" s="27"/>
      <c r="K1359" s="29"/>
      <c r="L1359" s="29" t="s">
        <v>126</v>
      </c>
      <c r="M1359" s="29" t="s">
        <v>126</v>
      </c>
      <c r="N1359" s="29" t="s">
        <v>126</v>
      </c>
    </row>
    <row r="1360" spans="2:14" x14ac:dyDescent="0.25">
      <c r="B1360" s="27" t="s">
        <v>123</v>
      </c>
      <c r="C1360" s="28">
        <v>63622</v>
      </c>
      <c r="D1360" s="28" t="s">
        <v>2128</v>
      </c>
      <c r="E1360" s="27" t="s">
        <v>32</v>
      </c>
      <c r="F1360" s="6" t="s">
        <v>1095</v>
      </c>
      <c r="G1360" s="28" t="s">
        <v>55</v>
      </c>
      <c r="H1360" s="28" t="s">
        <v>129</v>
      </c>
      <c r="I1360" s="98">
        <v>0.10438413361169108</v>
      </c>
      <c r="J1360" s="27"/>
      <c r="K1360" s="29"/>
      <c r="L1360" s="29" t="s">
        <v>126</v>
      </c>
      <c r="M1360" s="29" t="s">
        <v>126</v>
      </c>
      <c r="N1360" s="29" t="s">
        <v>126</v>
      </c>
    </row>
    <row r="1361" spans="2:14" x14ac:dyDescent="0.25">
      <c r="B1361" s="27" t="s">
        <v>123</v>
      </c>
      <c r="C1361" s="28">
        <v>19803</v>
      </c>
      <c r="D1361" s="28" t="s">
        <v>2129</v>
      </c>
      <c r="E1361" s="27" t="s">
        <v>32</v>
      </c>
      <c r="F1361" s="6" t="s">
        <v>1095</v>
      </c>
      <c r="G1361" s="28" t="s">
        <v>55</v>
      </c>
      <c r="H1361" s="28" t="s">
        <v>129</v>
      </c>
      <c r="I1361" s="98">
        <v>0.10135135135135132</v>
      </c>
      <c r="J1361" s="27"/>
      <c r="K1361" s="29"/>
      <c r="L1361" s="29" t="s">
        <v>126</v>
      </c>
      <c r="M1361" s="29" t="s">
        <v>126</v>
      </c>
      <c r="N1361" s="29" t="s">
        <v>126</v>
      </c>
    </row>
    <row r="1362" spans="2:14" x14ac:dyDescent="0.25">
      <c r="B1362" s="27" t="s">
        <v>123</v>
      </c>
      <c r="C1362" s="28">
        <v>9171</v>
      </c>
      <c r="D1362" s="28" t="s">
        <v>2130</v>
      </c>
      <c r="E1362" s="27" t="s">
        <v>32</v>
      </c>
      <c r="F1362" s="6" t="s">
        <v>1095</v>
      </c>
      <c r="G1362" s="28" t="s">
        <v>55</v>
      </c>
      <c r="H1362" s="28" t="s">
        <v>129</v>
      </c>
      <c r="I1362" s="98">
        <v>9.806451612903222E-2</v>
      </c>
      <c r="J1362" s="27"/>
      <c r="K1362" s="29"/>
      <c r="L1362" s="29" t="s">
        <v>126</v>
      </c>
      <c r="M1362" s="29" t="s">
        <v>126</v>
      </c>
      <c r="N1362" s="29" t="s">
        <v>126</v>
      </c>
    </row>
    <row r="1363" spans="2:14" x14ac:dyDescent="0.25">
      <c r="B1363" s="27" t="s">
        <v>123</v>
      </c>
      <c r="C1363" s="28">
        <v>39422</v>
      </c>
      <c r="D1363" s="28" t="s">
        <v>2131</v>
      </c>
      <c r="E1363" s="27" t="s">
        <v>32</v>
      </c>
      <c r="F1363" s="6" t="s">
        <v>1095</v>
      </c>
      <c r="G1363" s="28" t="s">
        <v>55</v>
      </c>
      <c r="H1363" s="28" t="s">
        <v>129</v>
      </c>
      <c r="I1363" s="98">
        <v>0.11470361816782138</v>
      </c>
      <c r="J1363" s="27"/>
      <c r="K1363" s="29"/>
      <c r="L1363" s="29" t="s">
        <v>126</v>
      </c>
      <c r="M1363" s="29" t="s">
        <v>126</v>
      </c>
      <c r="N1363" s="29" t="s">
        <v>126</v>
      </c>
    </row>
    <row r="1364" spans="2:14" x14ac:dyDescent="0.25">
      <c r="B1364" s="27" t="s">
        <v>123</v>
      </c>
      <c r="C1364" s="28">
        <v>44056</v>
      </c>
      <c r="D1364" s="28" t="s">
        <v>2132</v>
      </c>
      <c r="E1364" s="27" t="s">
        <v>32</v>
      </c>
      <c r="F1364" s="6" t="s">
        <v>1095</v>
      </c>
      <c r="G1364" s="28" t="s">
        <v>55</v>
      </c>
      <c r="H1364" s="28" t="s">
        <v>129</v>
      </c>
      <c r="I1364" s="98">
        <v>0.10256410256410253</v>
      </c>
      <c r="J1364" s="27"/>
      <c r="K1364" s="29"/>
      <c r="L1364" s="29" t="s">
        <v>126</v>
      </c>
      <c r="M1364" s="29" t="s">
        <v>126</v>
      </c>
      <c r="N1364" s="29" t="s">
        <v>126</v>
      </c>
    </row>
    <row r="1365" spans="2:14" x14ac:dyDescent="0.25">
      <c r="B1365" s="27" t="s">
        <v>123</v>
      </c>
      <c r="C1365" s="28">
        <v>17797</v>
      </c>
      <c r="D1365" s="28" t="s">
        <v>2133</v>
      </c>
      <c r="E1365" s="27" t="s">
        <v>32</v>
      </c>
      <c r="F1365" s="6" t="s">
        <v>1095</v>
      </c>
      <c r="G1365" s="28" t="s">
        <v>55</v>
      </c>
      <c r="H1365" s="28" t="s">
        <v>129</v>
      </c>
      <c r="I1365" s="98">
        <v>0</v>
      </c>
      <c r="J1365" s="27"/>
      <c r="K1365" s="29"/>
      <c r="L1365" s="29" t="s">
        <v>126</v>
      </c>
      <c r="M1365" s="29" t="s">
        <v>126</v>
      </c>
      <c r="N1365" s="29" t="s">
        <v>126</v>
      </c>
    </row>
    <row r="1366" spans="2:14" x14ac:dyDescent="0.25">
      <c r="B1366" s="27" t="s">
        <v>123</v>
      </c>
      <c r="C1366" s="28">
        <v>7046</v>
      </c>
      <c r="D1366" s="28" t="s">
        <v>2134</v>
      </c>
      <c r="E1366" s="27" t="s">
        <v>32</v>
      </c>
      <c r="F1366" s="6" t="s">
        <v>1095</v>
      </c>
      <c r="G1366" s="28" t="s">
        <v>55</v>
      </c>
      <c r="H1366" s="28" t="s">
        <v>129</v>
      </c>
      <c r="I1366" s="98">
        <v>0</v>
      </c>
      <c r="J1366" s="27"/>
      <c r="K1366" s="29"/>
      <c r="L1366" s="29" t="s">
        <v>126</v>
      </c>
      <c r="M1366" s="29" t="s">
        <v>126</v>
      </c>
      <c r="N1366" s="29" t="s">
        <v>126</v>
      </c>
    </row>
    <row r="1367" spans="2:14" x14ac:dyDescent="0.25">
      <c r="B1367" s="27" t="s">
        <v>123</v>
      </c>
      <c r="C1367" s="28">
        <v>57106</v>
      </c>
      <c r="D1367" s="28" t="s">
        <v>2135</v>
      </c>
      <c r="E1367" s="27" t="s">
        <v>32</v>
      </c>
      <c r="F1367" s="6" t="s">
        <v>1095</v>
      </c>
      <c r="G1367" s="28" t="s">
        <v>55</v>
      </c>
      <c r="H1367" s="28" t="s">
        <v>129</v>
      </c>
      <c r="I1367" s="98">
        <v>0.11834319526627224</v>
      </c>
      <c r="J1367" s="27"/>
      <c r="K1367" s="29"/>
      <c r="L1367" s="29" t="s">
        <v>126</v>
      </c>
      <c r="M1367" s="29" t="s">
        <v>126</v>
      </c>
      <c r="N1367" s="29" t="s">
        <v>126</v>
      </c>
    </row>
    <row r="1368" spans="2:14" x14ac:dyDescent="0.25">
      <c r="B1368" s="27" t="s">
        <v>123</v>
      </c>
      <c r="C1368" s="28">
        <v>7045</v>
      </c>
      <c r="D1368" s="28" t="s">
        <v>2136</v>
      </c>
      <c r="E1368" s="27" t="s">
        <v>32</v>
      </c>
      <c r="F1368" s="6" t="s">
        <v>1095</v>
      </c>
      <c r="G1368" s="28" t="s">
        <v>55</v>
      </c>
      <c r="H1368" s="28" t="s">
        <v>129</v>
      </c>
      <c r="I1368" s="98">
        <v>0</v>
      </c>
      <c r="J1368" s="27"/>
      <c r="K1368" s="29"/>
      <c r="L1368" s="29" t="s">
        <v>126</v>
      </c>
      <c r="M1368" s="29" t="s">
        <v>126</v>
      </c>
      <c r="N1368" s="29" t="s">
        <v>126</v>
      </c>
    </row>
    <row r="1369" spans="2:14" x14ac:dyDescent="0.25">
      <c r="B1369" s="27" t="s">
        <v>123</v>
      </c>
      <c r="C1369" s="28">
        <v>47851</v>
      </c>
      <c r="D1369" s="28" t="s">
        <v>2137</v>
      </c>
      <c r="E1369" s="27" t="s">
        <v>32</v>
      </c>
      <c r="F1369" s="6" t="s">
        <v>1095</v>
      </c>
      <c r="G1369" s="28" t="s">
        <v>55</v>
      </c>
      <c r="H1369" s="28" t="s">
        <v>129</v>
      </c>
      <c r="I1369" s="98">
        <v>0.100090991810737</v>
      </c>
      <c r="J1369" s="27"/>
      <c r="K1369" s="29"/>
      <c r="L1369" s="29" t="s">
        <v>126</v>
      </c>
      <c r="M1369" s="29" t="s">
        <v>126</v>
      </c>
      <c r="N1369" s="29" t="s">
        <v>126</v>
      </c>
    </row>
    <row r="1370" spans="2:14" x14ac:dyDescent="0.25">
      <c r="B1370" s="27" t="s">
        <v>123</v>
      </c>
      <c r="C1370" s="28">
        <v>6011</v>
      </c>
      <c r="D1370" s="28" t="s">
        <v>2138</v>
      </c>
      <c r="E1370" s="27" t="s">
        <v>32</v>
      </c>
      <c r="F1370" s="6" t="s">
        <v>1095</v>
      </c>
      <c r="G1370" s="28" t="s">
        <v>55</v>
      </c>
      <c r="H1370" s="28" t="s">
        <v>129</v>
      </c>
      <c r="I1370" s="98">
        <v>0.100090991810737</v>
      </c>
      <c r="J1370" s="27"/>
      <c r="K1370" s="29"/>
      <c r="L1370" s="29" t="s">
        <v>126</v>
      </c>
      <c r="M1370" s="29" t="s">
        <v>126</v>
      </c>
      <c r="N1370" s="29" t="s">
        <v>126</v>
      </c>
    </row>
    <row r="1371" spans="2:14" x14ac:dyDescent="0.25">
      <c r="B1371" s="27" t="s">
        <v>123</v>
      </c>
      <c r="C1371" s="28">
        <v>38525</v>
      </c>
      <c r="D1371" s="28" t="s">
        <v>2139</v>
      </c>
      <c r="E1371" s="27" t="s">
        <v>32</v>
      </c>
      <c r="F1371" s="6" t="s">
        <v>1095</v>
      </c>
      <c r="G1371" s="28" t="s">
        <v>55</v>
      </c>
      <c r="H1371" s="28" t="s">
        <v>129</v>
      </c>
      <c r="I1371" s="98">
        <v>0.10138248847926268</v>
      </c>
      <c r="J1371" s="27"/>
      <c r="K1371" s="29"/>
      <c r="L1371" s="29" t="s">
        <v>126</v>
      </c>
      <c r="M1371" s="29" t="s">
        <v>126</v>
      </c>
      <c r="N1371" s="29" t="s">
        <v>126</v>
      </c>
    </row>
    <row r="1372" spans="2:14" x14ac:dyDescent="0.25">
      <c r="B1372" s="27" t="s">
        <v>123</v>
      </c>
      <c r="C1372" s="28">
        <v>14330</v>
      </c>
      <c r="D1372" s="28" t="s">
        <v>2140</v>
      </c>
      <c r="E1372" s="27" t="s">
        <v>32</v>
      </c>
      <c r="F1372" s="6" t="s">
        <v>1095</v>
      </c>
      <c r="G1372" s="28" t="s">
        <v>55</v>
      </c>
      <c r="H1372" s="28" t="s">
        <v>129</v>
      </c>
      <c r="I1372" s="98">
        <v>0.10209662716499546</v>
      </c>
      <c r="J1372" s="27"/>
      <c r="K1372" s="29"/>
      <c r="L1372" s="29" t="s">
        <v>126</v>
      </c>
      <c r="M1372" s="29" t="s">
        <v>126</v>
      </c>
      <c r="N1372" s="29" t="s">
        <v>126</v>
      </c>
    </row>
    <row r="1373" spans="2:14" x14ac:dyDescent="0.25">
      <c r="B1373" s="27" t="s">
        <v>123</v>
      </c>
      <c r="C1373" s="28">
        <v>20107</v>
      </c>
      <c r="D1373" s="28" t="s">
        <v>2141</v>
      </c>
      <c r="E1373" s="27" t="s">
        <v>32</v>
      </c>
      <c r="F1373" s="6" t="s">
        <v>1095</v>
      </c>
      <c r="G1373" s="28" t="s">
        <v>55</v>
      </c>
      <c r="H1373" s="28" t="s">
        <v>129</v>
      </c>
      <c r="I1373" s="98">
        <v>9.9999999999999978E-2</v>
      </c>
      <c r="J1373" s="27"/>
      <c r="K1373" s="29"/>
      <c r="L1373" s="29" t="s">
        <v>126</v>
      </c>
      <c r="M1373" s="29" t="s">
        <v>126</v>
      </c>
      <c r="N1373" s="29" t="s">
        <v>126</v>
      </c>
    </row>
    <row r="1374" spans="2:14" x14ac:dyDescent="0.25">
      <c r="B1374" s="27" t="s">
        <v>123</v>
      </c>
      <c r="C1374" s="28">
        <v>17719</v>
      </c>
      <c r="D1374" s="28" t="s">
        <v>2142</v>
      </c>
      <c r="E1374" s="27" t="s">
        <v>32</v>
      </c>
      <c r="F1374" s="6" t="s">
        <v>1095</v>
      </c>
      <c r="G1374" s="28" t="s">
        <v>55</v>
      </c>
      <c r="H1374" s="28" t="s">
        <v>129</v>
      </c>
      <c r="I1374" s="98">
        <v>0.10909090909090913</v>
      </c>
      <c r="J1374" s="27"/>
      <c r="K1374" s="29"/>
      <c r="L1374" s="29" t="s">
        <v>126</v>
      </c>
      <c r="M1374" s="29" t="s">
        <v>126</v>
      </c>
      <c r="N1374" s="29" t="s">
        <v>126</v>
      </c>
    </row>
    <row r="1375" spans="2:14" x14ac:dyDescent="0.25">
      <c r="B1375" s="27" t="s">
        <v>123</v>
      </c>
      <c r="C1375" s="28">
        <v>17723</v>
      </c>
      <c r="D1375" s="28" t="s">
        <v>2143</v>
      </c>
      <c r="E1375" s="27" t="s">
        <v>32</v>
      </c>
      <c r="F1375" s="6" t="s">
        <v>1095</v>
      </c>
      <c r="G1375" s="28" t="s">
        <v>55</v>
      </c>
      <c r="H1375" s="28" t="s">
        <v>129</v>
      </c>
      <c r="I1375" s="98">
        <v>9.9999999999999978E-2</v>
      </c>
      <c r="J1375" s="27"/>
      <c r="K1375" s="29"/>
      <c r="L1375" s="29" t="s">
        <v>126</v>
      </c>
      <c r="M1375" s="29" t="s">
        <v>126</v>
      </c>
      <c r="N1375" s="29" t="s">
        <v>126</v>
      </c>
    </row>
    <row r="1376" spans="2:14" x14ac:dyDescent="0.25">
      <c r="B1376" s="27"/>
      <c r="C1376" s="28"/>
      <c r="D1376" s="28"/>
      <c r="E1376" s="27"/>
      <c r="F1376" s="6"/>
      <c r="G1376" s="28"/>
      <c r="H1376" s="28"/>
      <c r="I1376" s="98"/>
      <c r="J1376" s="27"/>
      <c r="K1376" s="29"/>
      <c r="L1376" s="29"/>
      <c r="M1376" s="29"/>
      <c r="N1376" s="29"/>
    </row>
    <row r="1377" spans="2:14" x14ac:dyDescent="0.25">
      <c r="B1377" s="27"/>
      <c r="C1377" s="28"/>
      <c r="D1377" s="28"/>
      <c r="E1377" s="27"/>
      <c r="F1377" s="6"/>
      <c r="G1377" s="28"/>
      <c r="H1377" s="28"/>
      <c r="I1377" s="98"/>
      <c r="J1377" s="27"/>
      <c r="K1377" s="29"/>
      <c r="L1377" s="29"/>
      <c r="M1377" s="29"/>
      <c r="N1377" s="29"/>
    </row>
    <row r="1378" spans="2:14" x14ac:dyDescent="0.25">
      <c r="B1378" s="27"/>
      <c r="C1378" s="28"/>
      <c r="D1378" s="28"/>
      <c r="E1378" s="27"/>
      <c r="F1378" s="6"/>
      <c r="G1378" s="28"/>
      <c r="H1378" s="28"/>
      <c r="I1378" s="98"/>
      <c r="J1378" s="27"/>
      <c r="K1378" s="29"/>
      <c r="L1378" s="29"/>
      <c r="M1378" s="29"/>
      <c r="N1378" s="29"/>
    </row>
    <row r="1379" spans="2:14" x14ac:dyDescent="0.25">
      <c r="B1379" s="27"/>
      <c r="C1379" s="28"/>
      <c r="D1379" s="28"/>
      <c r="E1379" s="27"/>
      <c r="F1379" s="6"/>
      <c r="G1379" s="28"/>
      <c r="H1379" s="28"/>
      <c r="I1379" s="98"/>
      <c r="J1379" s="27"/>
      <c r="K1379" s="29"/>
      <c r="L1379" s="29"/>
      <c r="M1379" s="29"/>
      <c r="N1379" s="29"/>
    </row>
    <row r="1380" spans="2:14" x14ac:dyDescent="0.25">
      <c r="B1380" s="27"/>
      <c r="C1380" s="28"/>
      <c r="D1380" s="28"/>
      <c r="E1380" s="27"/>
      <c r="F1380" s="6"/>
      <c r="G1380" s="28"/>
      <c r="H1380" s="28"/>
      <c r="I1380" s="98"/>
      <c r="J1380" s="27"/>
      <c r="K1380" s="29"/>
      <c r="L1380" s="29"/>
      <c r="M1380" s="29"/>
      <c r="N1380" s="29"/>
    </row>
    <row r="1381" spans="2:14" x14ac:dyDescent="0.25">
      <c r="B1381" s="27"/>
      <c r="C1381" s="28"/>
      <c r="D1381" s="28"/>
      <c r="E1381" s="27"/>
      <c r="F1381" s="6"/>
      <c r="G1381" s="28"/>
      <c r="H1381" s="28"/>
      <c r="I1381" s="98"/>
      <c r="J1381" s="27"/>
      <c r="K1381" s="29"/>
      <c r="L1381" s="29"/>
      <c r="M1381" s="29"/>
      <c r="N1381" s="29"/>
    </row>
    <row r="1382" spans="2:14" x14ac:dyDescent="0.25">
      <c r="B1382" s="27"/>
      <c r="C1382" s="28"/>
      <c r="D1382" s="28"/>
      <c r="E1382" s="27"/>
      <c r="F1382" s="6"/>
      <c r="G1382" s="28"/>
      <c r="H1382" s="28"/>
      <c r="I1382" s="98"/>
      <c r="J1382" s="27"/>
      <c r="K1382" s="29"/>
      <c r="L1382" s="29"/>
      <c r="M1382" s="29"/>
      <c r="N1382" s="29"/>
    </row>
    <row r="1383" spans="2:14" x14ac:dyDescent="0.25">
      <c r="B1383" s="27"/>
      <c r="C1383" s="28"/>
      <c r="D1383" s="28"/>
      <c r="E1383" s="27"/>
      <c r="F1383" s="6"/>
      <c r="G1383" s="28"/>
      <c r="H1383" s="28"/>
      <c r="I1383" s="98"/>
      <c r="J1383" s="27"/>
      <c r="K1383" s="29"/>
      <c r="L1383" s="29"/>
      <c r="M1383" s="29"/>
      <c r="N1383" s="29"/>
    </row>
    <row r="1384" spans="2:14" x14ac:dyDescent="0.25">
      <c r="B1384" s="27"/>
      <c r="C1384" s="28"/>
      <c r="D1384" s="28"/>
      <c r="E1384" s="27"/>
      <c r="F1384" s="6"/>
      <c r="G1384" s="28"/>
      <c r="H1384" s="28"/>
      <c r="I1384" s="98"/>
      <c r="J1384" s="27"/>
      <c r="K1384" s="29"/>
      <c r="L1384" s="29"/>
      <c r="M1384" s="29"/>
      <c r="N1384" s="29"/>
    </row>
    <row r="1385" spans="2:14" x14ac:dyDescent="0.25">
      <c r="B1385" s="27"/>
      <c r="C1385" s="28"/>
      <c r="D1385" s="28"/>
      <c r="E1385" s="27"/>
      <c r="F1385" s="6"/>
      <c r="G1385" s="28"/>
      <c r="H1385" s="28"/>
      <c r="I1385" s="98"/>
      <c r="J1385" s="27"/>
      <c r="K1385" s="29"/>
      <c r="L1385" s="29"/>
      <c r="M1385" s="29"/>
      <c r="N1385" s="29"/>
    </row>
    <row r="1386" spans="2:14" x14ac:dyDescent="0.25">
      <c r="B1386" s="27"/>
      <c r="C1386" s="28"/>
      <c r="D1386" s="28"/>
      <c r="E1386" s="27"/>
      <c r="F1386" s="6"/>
      <c r="G1386" s="28"/>
      <c r="H1386" s="28"/>
      <c r="I1386" s="98"/>
      <c r="J1386" s="27"/>
      <c r="K1386" s="29"/>
      <c r="L1386" s="29"/>
      <c r="M1386" s="29"/>
      <c r="N1386" s="29"/>
    </row>
    <row r="1387" spans="2:14" x14ac:dyDescent="0.25">
      <c r="B1387" s="27"/>
      <c r="C1387" s="28"/>
      <c r="D1387" s="28"/>
      <c r="E1387" s="27"/>
      <c r="F1387" s="6"/>
      <c r="G1387" s="28"/>
      <c r="H1387" s="28"/>
      <c r="I1387" s="98"/>
      <c r="J1387" s="27"/>
      <c r="K1387" s="29"/>
      <c r="L1387" s="29"/>
      <c r="M1387" s="29"/>
      <c r="N1387" s="29"/>
    </row>
    <row r="1388" spans="2:14" x14ac:dyDescent="0.25">
      <c r="B1388" s="27"/>
      <c r="C1388" s="28"/>
      <c r="D1388" s="28"/>
      <c r="E1388" s="27"/>
      <c r="F1388" s="6"/>
      <c r="G1388" s="28"/>
      <c r="H1388" s="28"/>
      <c r="I1388" s="98"/>
      <c r="J1388" s="27"/>
      <c r="K1388" s="29"/>
      <c r="L1388" s="29"/>
      <c r="M1388" s="29"/>
      <c r="N1388" s="29"/>
    </row>
    <row r="1389" spans="2:14" x14ac:dyDescent="0.25">
      <c r="B1389" s="27"/>
      <c r="C1389" s="28"/>
      <c r="D1389" s="28"/>
      <c r="E1389" s="27"/>
      <c r="F1389" s="6"/>
      <c r="G1389" s="28"/>
      <c r="H1389" s="28"/>
      <c r="I1389" s="98"/>
      <c r="J1389" s="27"/>
      <c r="K1389" s="29"/>
      <c r="L1389" s="29"/>
      <c r="M1389" s="29"/>
      <c r="N1389" s="29"/>
    </row>
    <row r="1390" spans="2:14" x14ac:dyDescent="0.25">
      <c r="B1390" s="27"/>
      <c r="C1390" s="28"/>
      <c r="D1390" s="28"/>
      <c r="E1390" s="27"/>
      <c r="F1390" s="6"/>
      <c r="G1390" s="28"/>
      <c r="H1390" s="28"/>
      <c r="I1390" s="98"/>
      <c r="J1390" s="27"/>
      <c r="K1390" s="29"/>
      <c r="L1390" s="29"/>
      <c r="M1390" s="29"/>
      <c r="N1390" s="29"/>
    </row>
    <row r="1391" spans="2:14" x14ac:dyDescent="0.25">
      <c r="B1391" s="27"/>
      <c r="C1391" s="28"/>
      <c r="D1391" s="28"/>
      <c r="E1391" s="27"/>
      <c r="F1391" s="6"/>
      <c r="G1391" s="28"/>
      <c r="H1391" s="28"/>
      <c r="I1391" s="98"/>
      <c r="J1391" s="27"/>
      <c r="K1391" s="29"/>
      <c r="L1391" s="29"/>
      <c r="M1391" s="29"/>
      <c r="N1391" s="29"/>
    </row>
    <row r="1392" spans="2:14" x14ac:dyDescent="0.25">
      <c r="B1392" s="27"/>
      <c r="C1392" s="28"/>
      <c r="D1392" s="28"/>
      <c r="E1392" s="27"/>
      <c r="F1392" s="6"/>
      <c r="G1392" s="28"/>
      <c r="H1392" s="28"/>
      <c r="I1392" s="98"/>
      <c r="J1392" s="27"/>
      <c r="K1392" s="29"/>
      <c r="L1392" s="29"/>
      <c r="M1392" s="29"/>
      <c r="N1392" s="29"/>
    </row>
    <row r="1393" spans="2:14" x14ac:dyDescent="0.25">
      <c r="B1393" s="27"/>
      <c r="C1393" s="28"/>
      <c r="D1393" s="28"/>
      <c r="E1393" s="27"/>
      <c r="F1393" s="6"/>
      <c r="G1393" s="28"/>
      <c r="H1393" s="28"/>
      <c r="I1393" s="98"/>
      <c r="J1393" s="27"/>
      <c r="K1393" s="29"/>
      <c r="L1393" s="29"/>
      <c r="M1393" s="29"/>
      <c r="N1393" s="29"/>
    </row>
    <row r="1394" spans="2:14" x14ac:dyDescent="0.25">
      <c r="B1394" s="27"/>
      <c r="C1394" s="28"/>
      <c r="D1394" s="28"/>
      <c r="E1394" s="27"/>
      <c r="F1394" s="6"/>
      <c r="G1394" s="28"/>
      <c r="H1394" s="28"/>
      <c r="I1394" s="98"/>
      <c r="J1394" s="27"/>
      <c r="K1394" s="29"/>
      <c r="L1394" s="29"/>
      <c r="M1394" s="29"/>
      <c r="N1394" s="29"/>
    </row>
    <row r="1395" spans="2:14" x14ac:dyDescent="0.25">
      <c r="B1395" s="27"/>
      <c r="C1395" s="28"/>
      <c r="D1395" s="28"/>
      <c r="E1395" s="27"/>
      <c r="F1395" s="6"/>
      <c r="G1395" s="28"/>
      <c r="H1395" s="28"/>
      <c r="I1395" s="98"/>
      <c r="J1395" s="27"/>
      <c r="K1395" s="29"/>
      <c r="L1395" s="29"/>
      <c r="M1395" s="29"/>
      <c r="N1395" s="29"/>
    </row>
    <row r="1396" spans="2:14" x14ac:dyDescent="0.25">
      <c r="B1396" s="27"/>
      <c r="C1396" s="28"/>
      <c r="D1396" s="28"/>
      <c r="E1396" s="27"/>
      <c r="F1396" s="6"/>
      <c r="G1396" s="28"/>
      <c r="H1396" s="28"/>
      <c r="I1396" s="98"/>
      <c r="J1396" s="27"/>
      <c r="K1396" s="29"/>
      <c r="L1396" s="29"/>
      <c r="M1396" s="29"/>
      <c r="N1396" s="29"/>
    </row>
    <row r="1397" spans="2:14" x14ac:dyDescent="0.25">
      <c r="B1397" s="27"/>
      <c r="C1397" s="28"/>
      <c r="D1397" s="28"/>
      <c r="E1397" s="27"/>
      <c r="F1397" s="6"/>
      <c r="G1397" s="28"/>
      <c r="H1397" s="28"/>
      <c r="I1397" s="107"/>
      <c r="J1397" s="27"/>
      <c r="K1397" s="29"/>
      <c r="L1397" s="29"/>
      <c r="M1397" s="29"/>
      <c r="N1397" s="29"/>
    </row>
    <row r="1398" spans="2:14" x14ac:dyDescent="0.25">
      <c r="B1398" s="27"/>
      <c r="C1398" s="28"/>
      <c r="D1398" s="28"/>
      <c r="E1398" s="27"/>
      <c r="F1398" s="6"/>
      <c r="G1398" s="28"/>
      <c r="H1398" s="28"/>
      <c r="I1398" s="108"/>
      <c r="J1398" s="27"/>
      <c r="K1398" s="29"/>
      <c r="L1398" s="29"/>
      <c r="M1398" s="29"/>
      <c r="N1398" s="29"/>
    </row>
    <row r="1399" spans="2:14" x14ac:dyDescent="0.25">
      <c r="B1399" s="27"/>
      <c r="C1399" s="28"/>
      <c r="D1399" s="28"/>
      <c r="E1399" s="27"/>
      <c r="F1399" s="6"/>
      <c r="G1399" s="28"/>
      <c r="H1399" s="28"/>
      <c r="I1399" s="109"/>
      <c r="J1399" s="27"/>
      <c r="K1399" s="29"/>
      <c r="L1399" s="29"/>
      <c r="M1399" s="29"/>
      <c r="N1399" s="29"/>
    </row>
    <row r="1400" spans="2:14" x14ac:dyDescent="0.25">
      <c r="B1400" s="27"/>
      <c r="C1400" s="28"/>
      <c r="D1400" s="28"/>
      <c r="E1400" s="27"/>
      <c r="F1400" s="6"/>
      <c r="G1400" s="28"/>
      <c r="H1400" s="28"/>
      <c r="I1400" s="98"/>
      <c r="J1400" s="27"/>
      <c r="K1400" s="29"/>
      <c r="L1400" s="29"/>
      <c r="M1400" s="29"/>
      <c r="N1400" s="29"/>
    </row>
    <row r="1401" spans="2:14" x14ac:dyDescent="0.25">
      <c r="B1401" s="27"/>
      <c r="C1401" s="28"/>
      <c r="D1401" s="28"/>
      <c r="E1401" s="27"/>
      <c r="F1401" s="6"/>
      <c r="G1401" s="28"/>
      <c r="H1401" s="28"/>
      <c r="I1401" s="109"/>
      <c r="J1401" s="27"/>
      <c r="K1401" s="29"/>
      <c r="L1401" s="29"/>
      <c r="M1401" s="29"/>
      <c r="N1401" s="29"/>
    </row>
    <row r="1402" spans="2:14" x14ac:dyDescent="0.25">
      <c r="B1402" s="27"/>
      <c r="C1402" s="28"/>
      <c r="D1402" s="28"/>
      <c r="E1402" s="27"/>
      <c r="F1402" s="6"/>
      <c r="G1402" s="28"/>
      <c r="H1402" s="28"/>
      <c r="I1402" s="98"/>
      <c r="J1402" s="27"/>
      <c r="K1402" s="29"/>
      <c r="L1402" s="29"/>
      <c r="M1402" s="29"/>
      <c r="N1402" s="29"/>
    </row>
    <row r="1403" spans="2:14" x14ac:dyDescent="0.25">
      <c r="B1403" s="27"/>
      <c r="C1403" s="28"/>
      <c r="D1403" s="28"/>
      <c r="E1403" s="27"/>
      <c r="F1403" s="6"/>
      <c r="G1403" s="28"/>
      <c r="H1403" s="28"/>
      <c r="I1403" s="98"/>
      <c r="J1403" s="27"/>
      <c r="K1403" s="29"/>
      <c r="L1403" s="29"/>
      <c r="M1403" s="29"/>
      <c r="N1403" s="29"/>
    </row>
    <row r="1404" spans="2:14" x14ac:dyDescent="0.25">
      <c r="B1404" s="27"/>
      <c r="C1404" s="28"/>
      <c r="D1404" s="28"/>
      <c r="E1404" s="27"/>
      <c r="F1404" s="6"/>
      <c r="G1404" s="28"/>
      <c r="H1404" s="28"/>
      <c r="I1404" s="98"/>
      <c r="J1404" s="27"/>
      <c r="K1404" s="29"/>
      <c r="L1404" s="29"/>
      <c r="M1404" s="29"/>
      <c r="N1404" s="29"/>
    </row>
    <row r="1405" spans="2:14" x14ac:dyDescent="0.25">
      <c r="B1405" s="27"/>
      <c r="C1405" s="28"/>
      <c r="D1405" s="28"/>
      <c r="E1405" s="27"/>
      <c r="F1405" s="6"/>
      <c r="G1405" s="28"/>
      <c r="H1405" s="28"/>
      <c r="I1405" s="98"/>
      <c r="J1405" s="27"/>
      <c r="K1405" s="29"/>
      <c r="L1405" s="29"/>
      <c r="M1405" s="29"/>
      <c r="N1405" s="29"/>
    </row>
    <row r="1406" spans="2:14" x14ac:dyDescent="0.25">
      <c r="B1406" s="27"/>
      <c r="C1406" s="28"/>
      <c r="D1406" s="28"/>
      <c r="E1406" s="27"/>
      <c r="F1406" s="6"/>
      <c r="G1406" s="28"/>
      <c r="H1406" s="28"/>
      <c r="I1406" s="98"/>
      <c r="J1406" s="27"/>
      <c r="K1406" s="29"/>
      <c r="L1406" s="29"/>
      <c r="M1406" s="29"/>
      <c r="N1406" s="29"/>
    </row>
    <row r="1407" spans="2:14" x14ac:dyDescent="0.25">
      <c r="B1407" s="27"/>
      <c r="C1407" s="28"/>
      <c r="D1407" s="28"/>
      <c r="E1407" s="27"/>
      <c r="F1407" s="6"/>
      <c r="G1407" s="28"/>
      <c r="H1407" s="28"/>
      <c r="I1407" s="98"/>
      <c r="J1407" s="27"/>
      <c r="K1407" s="29"/>
      <c r="L1407" s="29"/>
      <c r="M1407" s="29"/>
      <c r="N1407" s="29"/>
    </row>
    <row r="1408" spans="2:14" x14ac:dyDescent="0.25">
      <c r="B1408" s="27"/>
      <c r="C1408" s="28"/>
      <c r="D1408" s="28"/>
      <c r="E1408" s="27"/>
      <c r="F1408" s="6"/>
      <c r="G1408" s="28"/>
      <c r="H1408" s="28"/>
      <c r="I1408" s="98"/>
      <c r="J1408" s="27"/>
      <c r="K1408" s="29"/>
      <c r="L1408" s="29"/>
      <c r="M1408" s="29"/>
      <c r="N1408" s="29"/>
    </row>
    <row r="1409" spans="2:14" x14ac:dyDescent="0.25">
      <c r="B1409" s="27"/>
      <c r="C1409" s="28"/>
      <c r="D1409" s="28"/>
      <c r="E1409" s="27"/>
      <c r="F1409" s="6"/>
      <c r="G1409" s="28"/>
      <c r="H1409" s="28"/>
      <c r="I1409" s="98"/>
      <c r="J1409" s="27"/>
      <c r="K1409" s="29"/>
      <c r="L1409" s="29"/>
      <c r="M1409" s="29"/>
      <c r="N1409" s="29"/>
    </row>
    <row r="1410" spans="2:14" x14ac:dyDescent="0.25">
      <c r="B1410" s="27"/>
      <c r="C1410" s="28"/>
      <c r="D1410" s="28"/>
      <c r="E1410" s="27"/>
      <c r="F1410" s="6"/>
      <c r="G1410" s="28"/>
      <c r="H1410" s="28"/>
      <c r="I1410" s="98"/>
      <c r="J1410" s="27"/>
      <c r="K1410" s="29"/>
      <c r="L1410" s="29"/>
      <c r="M1410" s="29"/>
      <c r="N1410" s="29"/>
    </row>
    <row r="1411" spans="2:14" x14ac:dyDescent="0.25">
      <c r="B1411" s="27"/>
      <c r="C1411" s="28"/>
      <c r="D1411" s="28"/>
      <c r="E1411" s="27"/>
      <c r="F1411" s="6"/>
      <c r="G1411" s="28"/>
      <c r="H1411" s="28"/>
      <c r="I1411" s="98"/>
      <c r="J1411" s="27"/>
      <c r="K1411" s="29"/>
      <c r="L1411" s="29"/>
      <c r="M1411" s="29"/>
      <c r="N1411" s="29"/>
    </row>
    <row r="1412" spans="2:14" x14ac:dyDescent="0.25">
      <c r="B1412" s="27"/>
      <c r="C1412" s="28"/>
      <c r="D1412" s="28"/>
      <c r="E1412" s="27"/>
      <c r="F1412" s="6"/>
      <c r="G1412" s="28"/>
      <c r="H1412" s="28"/>
      <c r="I1412" s="98"/>
      <c r="J1412" s="27"/>
      <c r="K1412" s="29"/>
      <c r="L1412" s="29"/>
      <c r="M1412" s="29"/>
      <c r="N1412" s="29"/>
    </row>
    <row r="1413" spans="2:14" x14ac:dyDescent="0.25">
      <c r="B1413" s="27"/>
      <c r="C1413" s="28"/>
      <c r="D1413" s="28"/>
      <c r="E1413" s="27"/>
      <c r="F1413" s="6"/>
      <c r="G1413" s="28"/>
      <c r="H1413" s="28"/>
      <c r="I1413" s="98"/>
      <c r="J1413" s="27"/>
      <c r="K1413" s="29"/>
      <c r="L1413" s="29"/>
      <c r="M1413" s="29"/>
      <c r="N1413" s="29"/>
    </row>
    <row r="1414" spans="2:14" x14ac:dyDescent="0.25">
      <c r="B1414" s="27"/>
      <c r="C1414" s="28"/>
      <c r="D1414" s="28"/>
      <c r="E1414" s="27"/>
      <c r="F1414" s="6"/>
      <c r="G1414" s="28"/>
      <c r="H1414" s="28"/>
      <c r="I1414" s="98"/>
      <c r="J1414" s="27"/>
      <c r="K1414" s="29"/>
      <c r="L1414" s="29"/>
      <c r="M1414" s="29"/>
      <c r="N1414" s="29"/>
    </row>
    <row r="1415" spans="2:14" x14ac:dyDescent="0.25">
      <c r="B1415" s="27"/>
      <c r="C1415" s="28"/>
      <c r="D1415" s="28"/>
      <c r="E1415" s="27"/>
      <c r="F1415" s="6"/>
      <c r="G1415" s="28"/>
      <c r="H1415" s="28"/>
      <c r="I1415" s="98"/>
      <c r="J1415" s="27"/>
      <c r="K1415" s="29"/>
      <c r="L1415" s="29"/>
      <c r="M1415" s="29"/>
      <c r="N1415" s="29"/>
    </row>
    <row r="1416" spans="2:14" x14ac:dyDescent="0.25">
      <c r="B1416" s="27"/>
      <c r="C1416" s="28"/>
      <c r="D1416" s="28"/>
      <c r="E1416" s="27"/>
      <c r="F1416" s="6"/>
      <c r="G1416" s="28"/>
      <c r="H1416" s="28"/>
      <c r="I1416" s="98"/>
      <c r="J1416" s="27"/>
      <c r="K1416" s="29"/>
      <c r="L1416" s="29"/>
      <c r="M1416" s="29"/>
      <c r="N1416" s="29"/>
    </row>
    <row r="1417" spans="2:14" x14ac:dyDescent="0.25">
      <c r="B1417" s="27"/>
      <c r="C1417" s="28"/>
      <c r="D1417" s="28"/>
      <c r="E1417" s="27"/>
      <c r="F1417" s="6"/>
      <c r="G1417" s="28"/>
      <c r="H1417" s="28"/>
      <c r="I1417" s="98"/>
      <c r="J1417" s="27"/>
      <c r="K1417" s="29"/>
      <c r="L1417" s="29"/>
      <c r="M1417" s="29"/>
      <c r="N1417" s="29"/>
    </row>
    <row r="1418" spans="2:14" x14ac:dyDescent="0.25">
      <c r="B1418" s="27"/>
      <c r="C1418" s="28"/>
      <c r="D1418" s="28"/>
      <c r="E1418" s="27"/>
      <c r="F1418" s="6"/>
      <c r="G1418" s="28"/>
      <c r="H1418" s="28"/>
      <c r="I1418" s="98"/>
      <c r="J1418" s="27"/>
      <c r="K1418" s="29"/>
      <c r="L1418" s="29"/>
      <c r="M1418" s="29"/>
      <c r="N1418" s="29"/>
    </row>
    <row r="1419" spans="2:14" x14ac:dyDescent="0.25">
      <c r="B1419" s="27"/>
      <c r="C1419" s="28"/>
      <c r="D1419" s="28"/>
      <c r="E1419" s="27"/>
      <c r="F1419" s="6"/>
      <c r="G1419" s="28"/>
      <c r="H1419" s="28"/>
      <c r="I1419" s="98"/>
      <c r="J1419" s="27"/>
      <c r="K1419" s="29"/>
      <c r="L1419" s="29"/>
      <c r="M1419" s="29"/>
      <c r="N1419" s="29"/>
    </row>
    <row r="1420" spans="2:14" x14ac:dyDescent="0.25">
      <c r="B1420" s="27"/>
      <c r="C1420" s="28"/>
      <c r="D1420" s="28"/>
      <c r="E1420" s="27"/>
      <c r="F1420" s="6"/>
      <c r="G1420" s="28"/>
      <c r="H1420" s="28"/>
      <c r="I1420" s="98"/>
      <c r="J1420" s="27"/>
      <c r="K1420" s="29"/>
      <c r="L1420" s="29"/>
      <c r="M1420" s="29"/>
      <c r="N1420" s="29"/>
    </row>
    <row r="1421" spans="2:14" x14ac:dyDescent="0.25">
      <c r="B1421" s="27"/>
      <c r="C1421" s="28"/>
      <c r="D1421" s="28"/>
      <c r="E1421" s="27"/>
      <c r="F1421" s="6"/>
      <c r="G1421" s="28"/>
      <c r="H1421" s="28"/>
      <c r="I1421" s="98"/>
      <c r="J1421" s="27"/>
      <c r="K1421" s="29"/>
      <c r="L1421" s="29"/>
      <c r="M1421" s="29"/>
      <c r="N1421" s="29"/>
    </row>
    <row r="1422" spans="2:14" x14ac:dyDescent="0.25">
      <c r="B1422" s="27"/>
      <c r="C1422" s="28"/>
      <c r="D1422" s="28"/>
      <c r="E1422" s="27"/>
      <c r="F1422" s="6"/>
      <c r="G1422" s="28"/>
      <c r="H1422" s="28"/>
      <c r="I1422" s="98"/>
      <c r="J1422" s="27"/>
      <c r="K1422" s="29"/>
      <c r="L1422" s="29"/>
      <c r="M1422" s="29"/>
      <c r="N1422" s="29"/>
    </row>
    <row r="1423" spans="2:14" x14ac:dyDescent="0.25">
      <c r="B1423" s="27"/>
      <c r="C1423" s="28"/>
      <c r="D1423" s="28"/>
      <c r="E1423" s="27"/>
      <c r="F1423" s="6"/>
      <c r="G1423" s="28"/>
      <c r="H1423" s="28"/>
      <c r="I1423" s="98"/>
      <c r="J1423" s="27"/>
      <c r="K1423" s="29"/>
      <c r="L1423" s="29"/>
      <c r="M1423" s="29"/>
      <c r="N1423" s="29"/>
    </row>
    <row r="1424" spans="2:14" x14ac:dyDescent="0.25">
      <c r="B1424" s="27"/>
      <c r="C1424" s="28"/>
      <c r="D1424" s="28"/>
      <c r="E1424" s="27"/>
      <c r="F1424" s="6"/>
      <c r="G1424" s="28"/>
      <c r="H1424" s="28"/>
      <c r="I1424" s="98"/>
      <c r="J1424" s="27"/>
      <c r="K1424" s="29"/>
      <c r="L1424" s="29"/>
      <c r="M1424" s="29"/>
      <c r="N1424" s="29"/>
    </row>
    <row r="1425" spans="2:14" x14ac:dyDescent="0.25">
      <c r="B1425" s="27"/>
      <c r="C1425" s="28"/>
      <c r="D1425" s="28"/>
      <c r="E1425" s="27"/>
      <c r="F1425" s="6"/>
      <c r="G1425" s="28"/>
      <c r="H1425" s="28"/>
      <c r="I1425" s="98"/>
      <c r="J1425" s="27"/>
      <c r="K1425" s="29"/>
      <c r="L1425" s="29"/>
      <c r="M1425" s="29"/>
      <c r="N1425" s="29"/>
    </row>
    <row r="1426" spans="2:14" x14ac:dyDescent="0.25">
      <c r="B1426" s="27"/>
      <c r="C1426" s="28"/>
      <c r="D1426" s="28"/>
      <c r="E1426" s="27"/>
      <c r="F1426" s="6"/>
      <c r="G1426" s="28"/>
      <c r="H1426" s="28"/>
      <c r="I1426" s="98"/>
      <c r="J1426" s="27"/>
      <c r="K1426" s="29"/>
      <c r="L1426" s="29"/>
      <c r="M1426" s="29"/>
      <c r="N1426" s="29"/>
    </row>
    <row r="1427" spans="2:14" x14ac:dyDescent="0.25">
      <c r="B1427" s="27"/>
      <c r="C1427" s="28"/>
      <c r="D1427" s="28"/>
      <c r="E1427" s="27"/>
      <c r="F1427" s="6"/>
      <c r="G1427" s="28"/>
      <c r="H1427" s="28"/>
      <c r="I1427" s="98"/>
      <c r="J1427" s="27"/>
      <c r="K1427" s="29"/>
      <c r="L1427" s="29"/>
      <c r="M1427" s="29"/>
      <c r="N1427" s="29"/>
    </row>
    <row r="1428" spans="2:14" x14ac:dyDescent="0.25">
      <c r="B1428" s="27"/>
      <c r="C1428" s="28"/>
      <c r="D1428" s="28"/>
      <c r="E1428" s="27"/>
      <c r="F1428" s="6"/>
      <c r="G1428" s="28"/>
      <c r="H1428" s="28"/>
      <c r="I1428" s="98"/>
      <c r="J1428" s="27"/>
      <c r="K1428" s="29"/>
      <c r="L1428" s="29"/>
      <c r="M1428" s="29"/>
      <c r="N1428" s="29"/>
    </row>
    <row r="1429" spans="2:14" x14ac:dyDescent="0.25">
      <c r="B1429" s="27"/>
      <c r="C1429" s="28"/>
      <c r="D1429" s="28"/>
      <c r="E1429" s="27"/>
      <c r="F1429" s="6"/>
      <c r="G1429" s="28"/>
      <c r="H1429" s="28"/>
      <c r="I1429" s="98"/>
      <c r="J1429" s="27"/>
      <c r="K1429" s="29"/>
      <c r="L1429" s="29"/>
      <c r="M1429" s="29"/>
      <c r="N1429" s="29"/>
    </row>
    <row r="1430" spans="2:14" x14ac:dyDescent="0.25">
      <c r="B1430" s="27"/>
      <c r="C1430" s="28"/>
      <c r="D1430" s="28"/>
      <c r="E1430" s="27"/>
      <c r="F1430" s="6"/>
      <c r="G1430" s="28"/>
      <c r="H1430" s="28"/>
      <c r="I1430" s="98"/>
      <c r="J1430" s="27"/>
      <c r="K1430" s="29"/>
      <c r="L1430" s="29"/>
      <c r="M1430" s="29"/>
      <c r="N1430" s="29"/>
    </row>
    <row r="1431" spans="2:14" x14ac:dyDescent="0.25">
      <c r="B1431" s="27"/>
      <c r="C1431" s="28"/>
      <c r="D1431" s="28"/>
      <c r="E1431" s="27"/>
      <c r="F1431" s="6"/>
      <c r="G1431" s="28"/>
      <c r="H1431" s="28"/>
      <c r="I1431" s="98"/>
      <c r="J1431" s="27"/>
      <c r="K1431" s="29"/>
      <c r="L1431" s="29"/>
      <c r="M1431" s="29"/>
      <c r="N1431" s="29"/>
    </row>
    <row r="1432" spans="2:14" x14ac:dyDescent="0.25">
      <c r="B1432" s="27"/>
      <c r="C1432" s="28"/>
      <c r="D1432" s="28"/>
      <c r="E1432" s="27"/>
      <c r="F1432" s="6"/>
      <c r="G1432" s="28"/>
      <c r="H1432" s="28"/>
      <c r="I1432" s="98"/>
      <c r="J1432" s="27"/>
      <c r="K1432" s="29"/>
      <c r="L1432" s="29"/>
      <c r="M1432" s="29"/>
      <c r="N1432" s="29"/>
    </row>
    <row r="1433" spans="2:14" x14ac:dyDescent="0.25">
      <c r="B1433" s="27"/>
      <c r="C1433" s="28"/>
      <c r="D1433" s="28"/>
      <c r="E1433" s="27"/>
      <c r="F1433" s="6"/>
      <c r="G1433" s="28"/>
      <c r="H1433" s="28"/>
      <c r="I1433" s="98"/>
      <c r="J1433" s="27"/>
      <c r="K1433" s="29"/>
      <c r="L1433" s="29"/>
      <c r="M1433" s="29"/>
      <c r="N1433" s="29"/>
    </row>
    <row r="1434" spans="2:14" x14ac:dyDescent="0.25">
      <c r="B1434" s="27"/>
      <c r="C1434" s="28"/>
      <c r="D1434" s="28"/>
      <c r="E1434" s="27"/>
      <c r="F1434" s="6"/>
      <c r="G1434" s="28"/>
      <c r="H1434" s="28"/>
      <c r="I1434" s="98"/>
      <c r="J1434" s="27"/>
      <c r="K1434" s="29"/>
      <c r="L1434" s="29"/>
      <c r="M1434" s="29"/>
      <c r="N1434" s="29"/>
    </row>
    <row r="1435" spans="2:14" x14ac:dyDescent="0.25">
      <c r="B1435" s="27"/>
      <c r="C1435" s="28"/>
      <c r="D1435" s="28"/>
      <c r="E1435" s="27"/>
      <c r="F1435" s="6"/>
      <c r="G1435" s="28"/>
      <c r="H1435" s="28"/>
      <c r="I1435" s="98"/>
      <c r="J1435" s="27"/>
      <c r="K1435" s="29"/>
      <c r="L1435" s="29"/>
      <c r="M1435" s="29"/>
      <c r="N1435" s="29"/>
    </row>
    <row r="1436" spans="2:14" x14ac:dyDescent="0.25">
      <c r="B1436" s="27"/>
      <c r="C1436" s="28"/>
      <c r="D1436" s="28"/>
      <c r="E1436" s="27"/>
      <c r="F1436" s="6"/>
      <c r="G1436" s="28"/>
      <c r="H1436" s="28"/>
      <c r="I1436" s="98"/>
      <c r="J1436" s="27"/>
      <c r="K1436" s="29"/>
      <c r="L1436" s="29"/>
      <c r="M1436" s="29"/>
      <c r="N1436" s="29"/>
    </row>
    <row r="1437" spans="2:14" x14ac:dyDescent="0.25">
      <c r="B1437" s="27"/>
      <c r="C1437" s="28"/>
      <c r="D1437" s="28"/>
      <c r="E1437" s="27"/>
      <c r="F1437" s="6"/>
      <c r="G1437" s="28"/>
      <c r="H1437" s="28"/>
      <c r="I1437" s="98"/>
      <c r="J1437" s="27"/>
      <c r="K1437" s="29"/>
      <c r="L1437" s="29"/>
      <c r="M1437" s="29"/>
      <c r="N1437" s="29"/>
    </row>
    <row r="1438" spans="2:14" x14ac:dyDescent="0.25">
      <c r="B1438" s="27"/>
      <c r="C1438" s="28"/>
      <c r="D1438" s="28"/>
      <c r="E1438" s="27"/>
      <c r="F1438" s="6"/>
      <c r="G1438" s="28"/>
      <c r="H1438" s="28"/>
      <c r="I1438" s="98"/>
      <c r="J1438" s="27"/>
      <c r="K1438" s="29"/>
      <c r="L1438" s="29"/>
      <c r="M1438" s="29"/>
      <c r="N1438" s="29"/>
    </row>
    <row r="1439" spans="2:14" x14ac:dyDescent="0.25">
      <c r="B1439" s="27"/>
      <c r="C1439" s="28"/>
      <c r="D1439" s="28"/>
      <c r="E1439" s="27"/>
      <c r="F1439" s="6"/>
      <c r="G1439" s="28"/>
      <c r="H1439" s="28"/>
      <c r="I1439" s="98"/>
      <c r="J1439" s="27"/>
      <c r="K1439" s="29"/>
      <c r="L1439" s="29"/>
      <c r="M1439" s="29"/>
      <c r="N1439" s="29"/>
    </row>
    <row r="1440" spans="2:14" x14ac:dyDescent="0.25">
      <c r="B1440" s="27"/>
      <c r="C1440" s="28"/>
      <c r="D1440" s="28"/>
      <c r="E1440" s="27"/>
      <c r="F1440" s="6"/>
      <c r="G1440" s="28"/>
      <c r="H1440" s="28"/>
      <c r="I1440" s="98"/>
      <c r="J1440" s="27"/>
      <c r="K1440" s="29"/>
      <c r="L1440" s="29"/>
      <c r="M1440" s="29"/>
      <c r="N1440" s="29"/>
    </row>
    <row r="1441" spans="2:14" x14ac:dyDescent="0.25">
      <c r="B1441" s="27"/>
      <c r="C1441" s="28"/>
      <c r="D1441" s="28"/>
      <c r="E1441" s="27"/>
      <c r="F1441" s="6"/>
      <c r="G1441" s="28"/>
      <c r="H1441" s="28"/>
      <c r="I1441" s="98"/>
      <c r="J1441" s="27"/>
      <c r="K1441" s="29"/>
      <c r="L1441" s="29"/>
      <c r="M1441" s="29"/>
      <c r="N1441" s="29"/>
    </row>
    <row r="1442" spans="2:14" x14ac:dyDescent="0.25">
      <c r="B1442" s="27"/>
      <c r="C1442" s="28"/>
      <c r="D1442" s="28"/>
      <c r="E1442" s="27"/>
      <c r="F1442" s="6"/>
      <c r="G1442" s="28"/>
      <c r="H1442" s="28"/>
      <c r="I1442" s="98"/>
      <c r="J1442" s="27"/>
      <c r="K1442" s="29"/>
      <c r="L1442" s="29"/>
      <c r="M1442" s="29"/>
      <c r="N1442" s="29"/>
    </row>
    <row r="1443" spans="2:14" x14ac:dyDescent="0.25">
      <c r="B1443" s="27"/>
      <c r="C1443" s="28"/>
      <c r="D1443" s="28"/>
      <c r="E1443" s="27"/>
      <c r="F1443" s="6"/>
      <c r="G1443" s="28"/>
      <c r="H1443" s="28"/>
      <c r="I1443" s="98"/>
      <c r="J1443" s="27"/>
      <c r="K1443" s="29"/>
      <c r="L1443" s="29"/>
      <c r="M1443" s="29"/>
      <c r="N1443" s="29"/>
    </row>
    <row r="1444" spans="2:14" x14ac:dyDescent="0.25">
      <c r="B1444" s="27"/>
      <c r="C1444" s="28"/>
      <c r="D1444" s="28"/>
      <c r="E1444" s="27"/>
      <c r="F1444" s="6"/>
      <c r="G1444" s="28"/>
      <c r="H1444" s="28"/>
      <c r="I1444" s="98"/>
      <c r="J1444" s="27"/>
      <c r="K1444" s="29"/>
      <c r="L1444" s="29"/>
      <c r="M1444" s="29"/>
      <c r="N1444" s="29"/>
    </row>
    <row r="1445" spans="2:14" x14ac:dyDescent="0.25">
      <c r="B1445" s="27"/>
      <c r="C1445" s="28"/>
      <c r="D1445" s="28"/>
      <c r="E1445" s="27"/>
      <c r="F1445" s="6"/>
      <c r="G1445" s="28"/>
      <c r="H1445" s="28"/>
      <c r="I1445" s="98"/>
      <c r="J1445" s="27"/>
      <c r="K1445" s="29"/>
      <c r="L1445" s="29"/>
      <c r="M1445" s="29"/>
      <c r="N1445" s="29"/>
    </row>
    <row r="1446" spans="2:14" x14ac:dyDescent="0.25">
      <c r="B1446" s="27"/>
      <c r="C1446" s="28"/>
      <c r="D1446" s="28"/>
      <c r="E1446" s="27"/>
      <c r="F1446" s="6"/>
      <c r="G1446" s="28"/>
      <c r="H1446" s="28"/>
      <c r="I1446" s="98"/>
      <c r="J1446" s="27"/>
      <c r="K1446" s="29"/>
      <c r="L1446" s="29"/>
      <c r="M1446" s="29"/>
      <c r="N1446" s="29"/>
    </row>
    <row r="1447" spans="2:14" x14ac:dyDescent="0.25">
      <c r="B1447" s="27"/>
      <c r="C1447" s="28"/>
      <c r="D1447" s="28"/>
      <c r="E1447" s="27"/>
      <c r="F1447" s="6"/>
      <c r="G1447" s="28"/>
      <c r="H1447" s="28"/>
      <c r="I1447" s="98"/>
      <c r="J1447" s="27"/>
      <c r="K1447" s="29"/>
      <c r="L1447" s="29"/>
      <c r="M1447" s="29"/>
      <c r="N1447" s="29"/>
    </row>
    <row r="1448" spans="2:14" x14ac:dyDescent="0.25">
      <c r="B1448" s="27"/>
      <c r="C1448" s="28"/>
      <c r="D1448" s="28"/>
      <c r="E1448" s="27"/>
      <c r="F1448" s="6"/>
      <c r="G1448" s="28"/>
      <c r="H1448" s="28"/>
      <c r="I1448" s="98"/>
      <c r="J1448" s="27"/>
      <c r="K1448" s="29"/>
      <c r="L1448" s="29"/>
      <c r="M1448" s="29"/>
      <c r="N1448" s="29"/>
    </row>
    <row r="1449" spans="2:14" x14ac:dyDescent="0.25">
      <c r="B1449" s="27"/>
      <c r="C1449" s="28"/>
      <c r="D1449" s="28"/>
      <c r="E1449" s="27"/>
      <c r="F1449" s="6"/>
      <c r="G1449" s="28"/>
      <c r="H1449" s="28"/>
      <c r="I1449" s="98"/>
      <c r="J1449" s="27"/>
      <c r="K1449" s="29"/>
      <c r="L1449" s="29"/>
      <c r="M1449" s="29"/>
      <c r="N1449" s="29"/>
    </row>
    <row r="1450" spans="2:14" x14ac:dyDescent="0.25">
      <c r="B1450" s="27"/>
      <c r="C1450" s="28"/>
      <c r="D1450" s="28"/>
      <c r="E1450" s="27"/>
      <c r="F1450" s="6"/>
      <c r="G1450" s="28"/>
      <c r="H1450" s="28"/>
      <c r="I1450" s="98"/>
      <c r="J1450" s="27"/>
      <c r="K1450" s="29"/>
      <c r="L1450" s="29"/>
      <c r="M1450" s="29"/>
      <c r="N1450" s="29"/>
    </row>
    <row r="1451" spans="2:14" x14ac:dyDescent="0.25">
      <c r="B1451" s="27"/>
      <c r="C1451" s="28"/>
      <c r="D1451" s="28"/>
      <c r="E1451" s="27"/>
      <c r="F1451" s="6"/>
      <c r="G1451" s="28"/>
      <c r="H1451" s="28"/>
      <c r="I1451" s="98"/>
      <c r="J1451" s="27"/>
      <c r="K1451" s="29"/>
      <c r="L1451" s="29"/>
      <c r="M1451" s="29"/>
      <c r="N1451" s="29"/>
    </row>
    <row r="1452" spans="2:14" x14ac:dyDescent="0.25">
      <c r="B1452" s="27"/>
      <c r="C1452" s="28"/>
      <c r="D1452" s="28"/>
      <c r="E1452" s="27"/>
      <c r="F1452" s="6"/>
      <c r="G1452" s="28"/>
      <c r="H1452" s="28"/>
      <c r="I1452" s="98"/>
      <c r="J1452" s="27"/>
      <c r="K1452" s="29"/>
      <c r="L1452" s="29"/>
      <c r="M1452" s="29"/>
      <c r="N1452" s="29"/>
    </row>
    <row r="1453" spans="2:14" x14ac:dyDescent="0.25">
      <c r="B1453" s="27"/>
      <c r="C1453" s="28"/>
      <c r="D1453" s="28"/>
      <c r="E1453" s="27"/>
      <c r="F1453" s="6"/>
      <c r="G1453" s="28"/>
      <c r="H1453" s="28"/>
      <c r="I1453" s="98"/>
      <c r="J1453" s="27"/>
      <c r="K1453" s="29"/>
      <c r="L1453" s="29"/>
      <c r="M1453" s="29"/>
      <c r="N1453" s="29"/>
    </row>
    <row r="1454" spans="2:14" x14ac:dyDescent="0.25">
      <c r="B1454" s="27"/>
      <c r="C1454" s="28"/>
      <c r="D1454" s="28"/>
      <c r="E1454" s="27"/>
      <c r="F1454" s="6"/>
      <c r="G1454" s="28"/>
      <c r="H1454" s="28"/>
      <c r="I1454" s="98"/>
      <c r="J1454" s="27"/>
      <c r="K1454" s="29"/>
      <c r="L1454" s="29"/>
      <c r="M1454" s="29"/>
      <c r="N1454" s="29"/>
    </row>
    <row r="1455" spans="2:14" x14ac:dyDescent="0.25">
      <c r="B1455" s="27"/>
      <c r="C1455" s="28"/>
      <c r="D1455" s="28"/>
      <c r="E1455" s="27"/>
      <c r="F1455" s="6"/>
      <c r="G1455" s="28"/>
      <c r="H1455" s="28"/>
      <c r="I1455" s="98"/>
      <c r="J1455" s="27"/>
      <c r="K1455" s="29"/>
      <c r="L1455" s="29"/>
      <c r="M1455" s="29"/>
      <c r="N1455" s="29"/>
    </row>
    <row r="1456" spans="2:14" x14ac:dyDescent="0.25">
      <c r="B1456" s="27"/>
      <c r="C1456" s="28"/>
      <c r="D1456" s="28"/>
      <c r="E1456" s="27"/>
      <c r="F1456" s="6"/>
      <c r="G1456" s="28"/>
      <c r="H1456" s="28"/>
      <c r="I1456" s="98"/>
      <c r="J1456" s="27"/>
      <c r="K1456" s="29"/>
      <c r="L1456" s="29"/>
      <c r="M1456" s="29"/>
      <c r="N1456" s="29"/>
    </row>
    <row r="1457" spans="2:14" x14ac:dyDescent="0.25">
      <c r="B1457" s="27"/>
      <c r="C1457" s="28"/>
      <c r="D1457" s="28"/>
      <c r="E1457" s="27"/>
      <c r="F1457" s="6"/>
      <c r="G1457" s="28"/>
      <c r="H1457" s="28"/>
      <c r="I1457" s="98"/>
      <c r="J1457" s="27"/>
      <c r="K1457" s="29"/>
      <c r="L1457" s="29"/>
      <c r="M1457" s="29"/>
      <c r="N1457" s="29"/>
    </row>
    <row r="1458" spans="2:14" x14ac:dyDescent="0.25">
      <c r="B1458" s="27"/>
      <c r="C1458" s="28"/>
      <c r="D1458" s="28"/>
      <c r="E1458" s="27"/>
      <c r="F1458" s="6"/>
      <c r="G1458" s="28"/>
      <c r="H1458" s="28"/>
      <c r="I1458" s="98"/>
      <c r="J1458" s="27"/>
      <c r="K1458" s="29"/>
      <c r="L1458" s="29"/>
      <c r="M1458" s="29"/>
      <c r="N1458" s="29"/>
    </row>
    <row r="1459" spans="2:14" x14ac:dyDescent="0.25">
      <c r="B1459" s="27"/>
      <c r="C1459" s="28"/>
      <c r="D1459" s="28"/>
      <c r="E1459" s="27"/>
      <c r="F1459" s="6"/>
      <c r="G1459" s="28"/>
      <c r="H1459" s="28"/>
      <c r="I1459" s="98"/>
      <c r="J1459" s="27"/>
      <c r="K1459" s="29"/>
      <c r="L1459" s="29"/>
      <c r="M1459" s="29"/>
      <c r="N1459" s="29"/>
    </row>
    <row r="1460" spans="2:14" x14ac:dyDescent="0.25">
      <c r="B1460" s="27"/>
      <c r="C1460" s="28"/>
      <c r="D1460" s="28"/>
      <c r="E1460" s="27"/>
      <c r="F1460" s="6"/>
      <c r="G1460" s="28"/>
      <c r="H1460" s="28"/>
      <c r="I1460" s="98"/>
      <c r="J1460" s="27"/>
      <c r="K1460" s="29"/>
      <c r="L1460" s="29"/>
      <c r="M1460" s="29"/>
      <c r="N1460" s="29"/>
    </row>
    <row r="1461" spans="2:14" x14ac:dyDescent="0.25">
      <c r="B1461" s="27"/>
      <c r="C1461" s="28"/>
      <c r="D1461" s="28"/>
      <c r="E1461" s="27"/>
      <c r="F1461" s="6"/>
      <c r="G1461" s="28"/>
      <c r="H1461" s="28"/>
      <c r="I1461" s="98"/>
      <c r="J1461" s="27"/>
      <c r="K1461" s="29"/>
      <c r="L1461" s="29"/>
      <c r="M1461" s="29"/>
      <c r="N1461" s="29"/>
    </row>
    <row r="1462" spans="2:14" x14ac:dyDescent="0.25">
      <c r="B1462" s="27"/>
      <c r="C1462" s="28"/>
      <c r="D1462" s="28"/>
      <c r="E1462" s="27"/>
      <c r="F1462" s="6"/>
      <c r="G1462" s="28"/>
      <c r="H1462" s="28"/>
      <c r="I1462" s="98"/>
      <c r="J1462" s="27"/>
      <c r="K1462" s="29"/>
      <c r="L1462" s="29"/>
      <c r="M1462" s="29"/>
      <c r="N1462" s="29"/>
    </row>
    <row r="1463" spans="2:14" x14ac:dyDescent="0.25">
      <c r="B1463" s="27"/>
      <c r="C1463" s="28"/>
      <c r="D1463" s="28"/>
      <c r="E1463" s="27"/>
      <c r="F1463" s="6"/>
      <c r="G1463" s="28"/>
      <c r="H1463" s="28"/>
      <c r="I1463" s="98"/>
      <c r="J1463" s="27"/>
      <c r="K1463" s="29"/>
      <c r="L1463" s="29"/>
      <c r="M1463" s="29"/>
      <c r="N1463" s="29"/>
    </row>
    <row r="1464" spans="2:14" x14ac:dyDescent="0.25">
      <c r="B1464" s="27"/>
      <c r="C1464" s="28"/>
      <c r="D1464" s="28"/>
      <c r="E1464" s="27"/>
      <c r="F1464" s="6"/>
      <c r="G1464" s="28"/>
      <c r="H1464" s="28"/>
      <c r="I1464" s="98"/>
      <c r="J1464" s="27"/>
      <c r="K1464" s="29"/>
      <c r="L1464" s="29"/>
      <c r="M1464" s="29"/>
      <c r="N1464" s="29"/>
    </row>
    <row r="1465" spans="2:14" x14ac:dyDescent="0.25">
      <c r="B1465" s="27"/>
      <c r="C1465" s="28"/>
      <c r="D1465" s="28"/>
      <c r="E1465" s="27"/>
      <c r="F1465" s="6"/>
      <c r="G1465" s="28"/>
      <c r="H1465" s="28"/>
      <c r="I1465" s="98"/>
      <c r="J1465" s="27"/>
      <c r="K1465" s="29"/>
      <c r="L1465" s="29"/>
      <c r="M1465" s="29"/>
      <c r="N1465" s="29"/>
    </row>
    <row r="1466" spans="2:14" x14ac:dyDescent="0.25">
      <c r="B1466" s="27"/>
      <c r="C1466" s="28"/>
      <c r="D1466" s="28"/>
      <c r="E1466" s="27"/>
      <c r="F1466" s="6"/>
      <c r="G1466" s="28"/>
      <c r="H1466" s="28"/>
      <c r="I1466" s="98"/>
      <c r="J1466" s="27"/>
      <c r="K1466" s="29"/>
      <c r="L1466" s="29"/>
      <c r="M1466" s="29"/>
      <c r="N1466" s="29"/>
    </row>
    <row r="1467" spans="2:14" x14ac:dyDescent="0.25">
      <c r="B1467" s="27"/>
      <c r="C1467" s="28"/>
      <c r="D1467" s="28"/>
      <c r="E1467" s="27"/>
      <c r="F1467" s="6"/>
      <c r="G1467" s="28"/>
      <c r="H1467" s="28"/>
      <c r="I1467" s="98"/>
      <c r="J1467" s="27"/>
      <c r="K1467" s="29"/>
      <c r="L1467" s="29"/>
      <c r="M1467" s="29"/>
      <c r="N1467" s="29"/>
    </row>
    <row r="1468" spans="2:14" x14ac:dyDescent="0.25">
      <c r="B1468" s="27"/>
      <c r="C1468" s="28"/>
      <c r="D1468" s="28"/>
      <c r="E1468" s="27"/>
      <c r="F1468" s="6"/>
      <c r="G1468" s="28"/>
      <c r="H1468" s="28"/>
      <c r="I1468" s="98"/>
      <c r="J1468" s="27"/>
      <c r="K1468" s="29"/>
      <c r="L1468" s="29"/>
      <c r="M1468" s="29"/>
      <c r="N1468" s="29"/>
    </row>
    <row r="1469" spans="2:14" x14ac:dyDescent="0.25">
      <c r="B1469" s="27"/>
      <c r="C1469" s="28"/>
      <c r="D1469" s="28"/>
      <c r="E1469" s="27"/>
      <c r="F1469" s="6"/>
      <c r="G1469" s="28"/>
      <c r="H1469" s="28"/>
      <c r="I1469" s="98"/>
      <c r="J1469" s="27"/>
      <c r="K1469" s="29"/>
      <c r="L1469" s="29"/>
      <c r="M1469" s="29"/>
      <c r="N1469" s="29"/>
    </row>
    <row r="1470" spans="2:14" x14ac:dyDescent="0.25">
      <c r="B1470" s="27"/>
      <c r="C1470" s="28"/>
      <c r="D1470" s="28"/>
      <c r="E1470" s="27"/>
      <c r="F1470" s="6"/>
      <c r="G1470" s="28"/>
      <c r="H1470" s="28"/>
      <c r="I1470" s="98"/>
      <c r="J1470" s="27"/>
      <c r="K1470" s="29"/>
      <c r="L1470" s="29"/>
      <c r="M1470" s="29"/>
      <c r="N1470" s="29"/>
    </row>
    <row r="1471" spans="2:14" x14ac:dyDescent="0.25">
      <c r="B1471" s="27"/>
      <c r="C1471" s="28"/>
      <c r="D1471" s="28"/>
      <c r="E1471" s="27"/>
      <c r="F1471" s="6"/>
      <c r="G1471" s="28"/>
      <c r="H1471" s="28"/>
      <c r="I1471" s="98"/>
      <c r="J1471" s="27"/>
      <c r="K1471" s="29"/>
      <c r="L1471" s="29"/>
      <c r="M1471" s="29"/>
      <c r="N1471" s="29"/>
    </row>
    <row r="1472" spans="2:14" x14ac:dyDescent="0.25">
      <c r="B1472" s="27"/>
      <c r="C1472" s="28"/>
      <c r="D1472" s="28"/>
      <c r="E1472" s="27"/>
      <c r="F1472" s="6"/>
      <c r="G1472" s="28"/>
      <c r="H1472" s="28"/>
      <c r="I1472" s="98"/>
      <c r="J1472" s="27"/>
      <c r="K1472" s="29"/>
      <c r="L1472" s="29"/>
      <c r="M1472" s="29"/>
      <c r="N1472" s="29"/>
    </row>
    <row r="1473" spans="2:14" x14ac:dyDescent="0.25">
      <c r="B1473" s="27"/>
      <c r="C1473" s="28"/>
      <c r="D1473" s="28"/>
      <c r="E1473" s="27"/>
      <c r="F1473" s="6"/>
      <c r="G1473" s="28"/>
      <c r="H1473" s="28"/>
      <c r="I1473" s="98"/>
      <c r="J1473" s="27"/>
      <c r="K1473" s="29"/>
      <c r="L1473" s="29"/>
      <c r="M1473" s="29"/>
      <c r="N1473" s="29"/>
    </row>
    <row r="1474" spans="2:14" x14ac:dyDescent="0.25">
      <c r="B1474" s="27"/>
      <c r="C1474" s="28"/>
      <c r="D1474" s="28"/>
      <c r="E1474" s="27"/>
      <c r="F1474" s="6"/>
      <c r="G1474" s="28"/>
      <c r="H1474" s="28"/>
      <c r="I1474" s="98"/>
      <c r="J1474" s="27"/>
      <c r="K1474" s="29"/>
      <c r="L1474" s="29"/>
      <c r="M1474" s="29"/>
      <c r="N1474" s="29"/>
    </row>
    <row r="1475" spans="2:14" x14ac:dyDescent="0.25">
      <c r="B1475" s="27"/>
      <c r="C1475" s="28"/>
      <c r="D1475" s="28"/>
      <c r="E1475" s="27"/>
      <c r="F1475" s="6"/>
      <c r="G1475" s="28"/>
      <c r="H1475" s="28"/>
      <c r="I1475" s="98"/>
      <c r="J1475" s="27"/>
      <c r="K1475" s="29"/>
      <c r="L1475" s="29"/>
      <c r="M1475" s="29"/>
      <c r="N1475" s="29"/>
    </row>
    <row r="1476" spans="2:14" x14ac:dyDescent="0.25">
      <c r="B1476" s="27"/>
      <c r="C1476" s="28"/>
      <c r="D1476" s="28"/>
      <c r="E1476" s="27"/>
      <c r="F1476" s="6"/>
      <c r="G1476" s="28"/>
      <c r="H1476" s="28"/>
      <c r="I1476" s="98"/>
      <c r="J1476" s="27"/>
      <c r="K1476" s="29"/>
      <c r="L1476" s="29"/>
      <c r="M1476" s="29"/>
      <c r="N1476" s="29"/>
    </row>
    <row r="1477" spans="2:14" x14ac:dyDescent="0.25">
      <c r="B1477" s="27"/>
      <c r="C1477" s="28"/>
      <c r="D1477" s="28"/>
      <c r="E1477" s="27"/>
      <c r="F1477" s="6"/>
      <c r="G1477" s="28"/>
      <c r="H1477" s="28"/>
      <c r="I1477" s="98"/>
      <c r="J1477" s="27"/>
      <c r="K1477" s="29"/>
      <c r="L1477" s="29"/>
      <c r="M1477" s="29"/>
      <c r="N1477" s="29"/>
    </row>
    <row r="1478" spans="2:14" x14ac:dyDescent="0.25">
      <c r="B1478" s="27"/>
      <c r="C1478" s="28"/>
      <c r="D1478" s="28"/>
      <c r="E1478" s="27"/>
      <c r="F1478" s="6"/>
      <c r="G1478" s="28"/>
      <c r="H1478" s="28"/>
      <c r="I1478" s="98"/>
      <c r="J1478" s="27"/>
      <c r="K1478" s="29"/>
      <c r="L1478" s="29"/>
      <c r="M1478" s="29"/>
      <c r="N1478" s="29"/>
    </row>
    <row r="1479" spans="2:14" x14ac:dyDescent="0.25">
      <c r="B1479" s="27"/>
      <c r="C1479" s="28"/>
      <c r="D1479" s="28"/>
      <c r="E1479" s="27"/>
      <c r="F1479" s="6"/>
      <c r="G1479" s="28"/>
      <c r="H1479" s="28"/>
      <c r="I1479" s="98"/>
      <c r="J1479" s="27"/>
      <c r="K1479" s="29"/>
      <c r="L1479" s="29"/>
      <c r="M1479" s="29"/>
      <c r="N1479" s="29"/>
    </row>
    <row r="1480" spans="2:14" x14ac:dyDescent="0.25">
      <c r="B1480" s="27"/>
      <c r="C1480" s="28"/>
      <c r="D1480" s="28"/>
      <c r="E1480" s="27"/>
      <c r="F1480" s="6"/>
      <c r="G1480" s="28"/>
      <c r="H1480" s="28"/>
      <c r="I1480" s="98"/>
      <c r="J1480" s="27"/>
      <c r="K1480" s="29"/>
      <c r="L1480" s="29"/>
      <c r="M1480" s="29"/>
      <c r="N1480" s="29"/>
    </row>
    <row r="1481" spans="2:14" x14ac:dyDescent="0.25">
      <c r="B1481" s="27"/>
      <c r="C1481" s="28"/>
      <c r="D1481" s="28"/>
      <c r="E1481" s="27"/>
      <c r="F1481" s="6"/>
      <c r="G1481" s="28"/>
      <c r="H1481" s="28"/>
      <c r="I1481" s="98"/>
      <c r="J1481" s="27"/>
      <c r="K1481" s="29"/>
      <c r="L1481" s="29"/>
      <c r="M1481" s="29"/>
      <c r="N1481" s="29"/>
    </row>
    <row r="1482" spans="2:14" x14ac:dyDescent="0.25">
      <c r="B1482" s="27"/>
      <c r="C1482" s="28"/>
      <c r="D1482" s="28"/>
      <c r="E1482" s="27"/>
      <c r="F1482" s="6"/>
      <c r="G1482" s="28"/>
      <c r="H1482" s="28"/>
      <c r="I1482" s="98"/>
      <c r="J1482" s="27"/>
      <c r="K1482" s="29"/>
      <c r="L1482" s="29"/>
      <c r="M1482" s="29"/>
      <c r="N1482" s="29"/>
    </row>
    <row r="1483" spans="2:14" x14ac:dyDescent="0.25">
      <c r="B1483" s="27"/>
      <c r="C1483" s="28"/>
      <c r="D1483" s="28"/>
      <c r="E1483" s="27"/>
      <c r="F1483" s="6"/>
      <c r="G1483" s="28"/>
      <c r="H1483" s="28"/>
      <c r="I1483" s="98"/>
      <c r="J1483" s="27"/>
      <c r="K1483" s="29"/>
      <c r="L1483" s="29"/>
      <c r="M1483" s="29"/>
      <c r="N1483" s="29"/>
    </row>
    <row r="1484" spans="2:14" x14ac:dyDescent="0.25">
      <c r="B1484" s="27"/>
      <c r="C1484" s="28"/>
      <c r="D1484" s="28"/>
      <c r="E1484" s="27"/>
      <c r="F1484" s="6"/>
      <c r="G1484" s="28"/>
      <c r="H1484" s="28"/>
      <c r="I1484" s="98"/>
      <c r="J1484" s="27"/>
      <c r="K1484" s="29"/>
      <c r="L1484" s="29"/>
      <c r="M1484" s="29"/>
      <c r="N1484" s="29"/>
    </row>
    <row r="1485" spans="2:14" x14ac:dyDescent="0.25">
      <c r="B1485" s="27"/>
      <c r="C1485" s="28"/>
      <c r="D1485" s="28"/>
      <c r="E1485" s="27"/>
      <c r="F1485" s="6"/>
      <c r="G1485" s="28"/>
      <c r="H1485" s="28"/>
      <c r="I1485" s="98"/>
      <c r="J1485" s="27"/>
      <c r="K1485" s="29"/>
      <c r="L1485" s="29"/>
      <c r="M1485" s="29"/>
      <c r="N1485" s="29"/>
    </row>
    <row r="1486" spans="2:14" x14ac:dyDescent="0.25">
      <c r="B1486" s="27"/>
      <c r="C1486" s="28"/>
      <c r="D1486" s="28"/>
      <c r="E1486" s="27"/>
      <c r="F1486" s="6"/>
      <c r="G1486" s="28"/>
      <c r="H1486" s="28"/>
      <c r="I1486" s="98"/>
      <c r="J1486" s="27"/>
      <c r="K1486" s="29"/>
      <c r="L1486" s="29"/>
      <c r="M1486" s="29"/>
      <c r="N1486" s="29"/>
    </row>
    <row r="1487" spans="2:14" x14ac:dyDescent="0.25">
      <c r="B1487" s="27"/>
      <c r="C1487" s="28"/>
      <c r="D1487" s="28"/>
      <c r="E1487" s="27"/>
      <c r="F1487" s="6"/>
      <c r="G1487" s="28"/>
      <c r="H1487" s="28"/>
      <c r="I1487" s="98"/>
      <c r="J1487" s="27"/>
      <c r="K1487" s="29"/>
      <c r="L1487" s="29"/>
      <c r="M1487" s="29"/>
      <c r="N1487" s="29"/>
    </row>
    <row r="1488" spans="2:14" x14ac:dyDescent="0.25">
      <c r="B1488" s="27"/>
      <c r="C1488" s="28"/>
      <c r="D1488" s="28"/>
      <c r="E1488" s="27"/>
      <c r="F1488" s="6"/>
      <c r="G1488" s="28"/>
      <c r="H1488" s="28"/>
      <c r="I1488" s="98"/>
      <c r="J1488" s="27"/>
      <c r="K1488" s="29"/>
      <c r="L1488" s="29"/>
      <c r="M1488" s="29"/>
      <c r="N1488" s="29"/>
    </row>
    <row r="1489" spans="2:14" x14ac:dyDescent="0.25">
      <c r="B1489" s="27"/>
      <c r="C1489" s="28"/>
      <c r="D1489" s="28"/>
      <c r="E1489" s="27"/>
      <c r="F1489" s="6"/>
      <c r="G1489" s="28"/>
      <c r="H1489" s="28"/>
      <c r="I1489" s="98"/>
      <c r="J1489" s="27"/>
      <c r="K1489" s="29"/>
      <c r="L1489" s="29"/>
      <c r="M1489" s="29"/>
      <c r="N1489" s="29"/>
    </row>
    <row r="1490" spans="2:14" x14ac:dyDescent="0.25">
      <c r="B1490" s="27"/>
      <c r="C1490" s="28"/>
      <c r="D1490" s="28"/>
      <c r="E1490" s="27"/>
      <c r="F1490" s="6"/>
      <c r="G1490" s="28"/>
      <c r="H1490" s="28"/>
      <c r="I1490" s="98"/>
      <c r="J1490" s="27"/>
      <c r="K1490" s="29"/>
      <c r="L1490" s="29"/>
      <c r="M1490" s="29"/>
      <c r="N1490" s="29"/>
    </row>
    <row r="1491" spans="2:14" x14ac:dyDescent="0.25">
      <c r="B1491" s="27"/>
      <c r="C1491" s="28"/>
      <c r="D1491" s="28"/>
      <c r="E1491" s="27"/>
      <c r="F1491" s="6"/>
      <c r="G1491" s="28"/>
      <c r="H1491" s="28"/>
      <c r="I1491" s="98"/>
      <c r="J1491" s="27"/>
      <c r="K1491" s="29"/>
      <c r="L1491" s="29"/>
      <c r="M1491" s="29"/>
      <c r="N1491" s="29"/>
    </row>
    <row r="1492" spans="2:14" x14ac:dyDescent="0.25">
      <c r="B1492" s="27"/>
      <c r="C1492" s="28"/>
      <c r="D1492" s="28"/>
      <c r="E1492" s="27"/>
      <c r="F1492" s="6"/>
      <c r="G1492" s="28"/>
      <c r="H1492" s="28"/>
      <c r="I1492" s="98"/>
      <c r="J1492" s="27"/>
      <c r="K1492" s="29"/>
      <c r="L1492" s="29"/>
      <c r="M1492" s="29"/>
      <c r="N1492" s="29"/>
    </row>
    <row r="1493" spans="2:14" x14ac:dyDescent="0.25">
      <c r="B1493" s="27"/>
      <c r="C1493" s="28"/>
      <c r="D1493" s="28"/>
      <c r="E1493" s="27"/>
      <c r="F1493" s="6"/>
      <c r="G1493" s="28"/>
      <c r="H1493" s="28"/>
      <c r="I1493" s="98"/>
      <c r="J1493" s="27"/>
      <c r="K1493" s="29"/>
      <c r="L1493" s="29"/>
      <c r="M1493" s="29"/>
      <c r="N1493" s="29"/>
    </row>
    <row r="1494" spans="2:14" x14ac:dyDescent="0.25">
      <c r="B1494" s="27"/>
      <c r="C1494" s="28"/>
      <c r="D1494" s="28"/>
      <c r="E1494" s="27"/>
      <c r="F1494" s="6"/>
      <c r="G1494" s="28"/>
      <c r="H1494" s="28"/>
      <c r="I1494" s="98"/>
      <c r="J1494" s="27"/>
      <c r="K1494" s="29"/>
      <c r="L1494" s="29"/>
      <c r="M1494" s="29"/>
      <c r="N1494" s="29"/>
    </row>
    <row r="1495" spans="2:14" x14ac:dyDescent="0.25">
      <c r="B1495" s="27"/>
      <c r="C1495" s="28"/>
      <c r="D1495" s="28"/>
      <c r="E1495" s="27"/>
      <c r="F1495" s="6"/>
      <c r="G1495" s="28"/>
      <c r="H1495" s="28"/>
      <c r="I1495" s="98"/>
      <c r="J1495" s="27"/>
      <c r="K1495" s="29"/>
      <c r="L1495" s="29"/>
      <c r="M1495" s="29"/>
      <c r="N1495" s="29"/>
    </row>
    <row r="1496" spans="2:14" x14ac:dyDescent="0.25">
      <c r="B1496" s="27"/>
      <c r="C1496" s="28"/>
      <c r="D1496" s="28"/>
      <c r="E1496" s="27"/>
      <c r="F1496" s="6"/>
      <c r="G1496" s="28"/>
      <c r="H1496" s="28"/>
      <c r="I1496" s="98"/>
      <c r="J1496" s="27"/>
      <c r="K1496" s="29"/>
      <c r="L1496" s="29"/>
      <c r="M1496" s="29"/>
      <c r="N1496" s="29"/>
    </row>
    <row r="1497" spans="2:14" x14ac:dyDescent="0.25">
      <c r="B1497" s="27"/>
      <c r="C1497" s="28"/>
      <c r="D1497" s="28"/>
      <c r="E1497" s="27"/>
      <c r="F1497" s="6"/>
      <c r="G1497" s="28"/>
      <c r="H1497" s="28"/>
      <c r="I1497" s="98"/>
      <c r="J1497" s="27"/>
      <c r="K1497" s="29"/>
      <c r="L1497" s="29"/>
      <c r="M1497" s="29"/>
      <c r="N1497" s="29"/>
    </row>
    <row r="1498" spans="2:14" x14ac:dyDescent="0.25">
      <c r="B1498" s="27"/>
      <c r="C1498" s="28"/>
      <c r="D1498" s="28"/>
      <c r="E1498" s="27"/>
      <c r="F1498" s="6"/>
      <c r="G1498" s="28"/>
      <c r="H1498" s="28"/>
      <c r="I1498" s="98"/>
      <c r="J1498" s="27"/>
      <c r="K1498" s="29"/>
      <c r="L1498" s="29"/>
      <c r="M1498" s="29"/>
      <c r="N1498" s="29"/>
    </row>
    <row r="1499" spans="2:14" x14ac:dyDescent="0.25">
      <c r="B1499" s="27"/>
      <c r="C1499" s="28"/>
      <c r="D1499" s="28"/>
      <c r="E1499" s="27"/>
      <c r="F1499" s="6"/>
      <c r="G1499" s="28"/>
      <c r="H1499" s="28"/>
      <c r="I1499" s="98"/>
      <c r="J1499" s="27"/>
      <c r="K1499" s="29"/>
      <c r="L1499" s="29"/>
      <c r="M1499" s="29"/>
      <c r="N1499" s="29"/>
    </row>
    <row r="1500" spans="2:14" x14ac:dyDescent="0.25">
      <c r="B1500" s="27"/>
      <c r="C1500" s="28"/>
      <c r="D1500" s="28"/>
      <c r="E1500" s="27"/>
      <c r="F1500" s="6"/>
      <c r="G1500" s="28"/>
      <c r="H1500" s="28"/>
      <c r="I1500" s="98"/>
      <c r="J1500" s="27"/>
      <c r="K1500" s="29"/>
      <c r="L1500" s="29"/>
      <c r="M1500" s="29"/>
      <c r="N1500" s="29"/>
    </row>
    <row r="1501" spans="2:14" x14ac:dyDescent="0.25">
      <c r="B1501" s="27"/>
      <c r="C1501" s="28"/>
      <c r="D1501" s="28"/>
      <c r="E1501" s="27"/>
      <c r="F1501" s="6"/>
      <c r="G1501" s="28"/>
      <c r="H1501" s="28"/>
      <c r="I1501" s="98"/>
      <c r="J1501" s="27"/>
      <c r="K1501" s="29"/>
      <c r="L1501" s="29"/>
      <c r="M1501" s="29"/>
      <c r="N1501" s="29"/>
    </row>
    <row r="1502" spans="2:14" x14ac:dyDescent="0.25">
      <c r="B1502" s="27"/>
      <c r="C1502" s="28"/>
      <c r="D1502" s="28"/>
      <c r="E1502" s="27"/>
      <c r="F1502" s="6"/>
      <c r="G1502" s="28"/>
      <c r="H1502" s="28"/>
      <c r="I1502" s="98"/>
      <c r="J1502" s="27"/>
      <c r="K1502" s="29"/>
      <c r="L1502" s="29"/>
      <c r="M1502" s="29"/>
      <c r="N1502" s="29"/>
    </row>
    <row r="1503" spans="2:14" x14ac:dyDescent="0.25">
      <c r="B1503" s="27"/>
      <c r="C1503" s="28"/>
      <c r="D1503" s="28"/>
      <c r="E1503" s="27"/>
      <c r="F1503" s="6"/>
      <c r="G1503" s="28"/>
      <c r="H1503" s="28"/>
      <c r="I1503" s="98"/>
      <c r="J1503" s="27"/>
      <c r="K1503" s="29"/>
      <c r="L1503" s="29"/>
      <c r="M1503" s="29"/>
      <c r="N1503" s="29"/>
    </row>
    <row r="1504" spans="2:14" x14ac:dyDescent="0.25">
      <c r="B1504" s="27"/>
      <c r="C1504" s="28"/>
      <c r="D1504" s="28"/>
      <c r="E1504" s="27"/>
      <c r="F1504" s="6"/>
      <c r="G1504" s="28"/>
      <c r="H1504" s="28"/>
      <c r="I1504" s="98"/>
      <c r="J1504" s="27"/>
      <c r="K1504" s="29"/>
      <c r="L1504" s="29"/>
      <c r="M1504" s="29"/>
      <c r="N1504" s="29"/>
    </row>
    <row r="1505" spans="2:14" x14ac:dyDescent="0.25">
      <c r="B1505" s="27"/>
      <c r="C1505" s="28"/>
      <c r="D1505" s="28"/>
      <c r="E1505" s="27"/>
      <c r="F1505" s="6"/>
      <c r="G1505" s="28"/>
      <c r="H1505" s="28"/>
      <c r="I1505" s="98"/>
      <c r="J1505" s="27"/>
      <c r="K1505" s="29"/>
      <c r="L1505" s="29"/>
      <c r="M1505" s="29"/>
      <c r="N1505" s="29"/>
    </row>
    <row r="1506" spans="2:14" x14ac:dyDescent="0.25">
      <c r="B1506" s="27"/>
      <c r="C1506" s="28"/>
      <c r="D1506" s="28"/>
      <c r="E1506" s="27"/>
      <c r="F1506" s="6"/>
      <c r="G1506" s="28"/>
      <c r="H1506" s="28"/>
      <c r="I1506" s="98"/>
      <c r="J1506" s="27"/>
      <c r="K1506" s="29"/>
      <c r="L1506" s="29"/>
      <c r="M1506" s="29"/>
      <c r="N1506" s="29"/>
    </row>
    <row r="1507" spans="2:14" x14ac:dyDescent="0.25">
      <c r="B1507" s="27"/>
      <c r="C1507" s="28"/>
      <c r="D1507" s="28"/>
      <c r="E1507" s="27"/>
      <c r="F1507" s="6"/>
      <c r="G1507" s="28"/>
      <c r="H1507" s="28"/>
      <c r="I1507" s="98"/>
      <c r="J1507" s="27"/>
      <c r="K1507" s="29"/>
      <c r="L1507" s="29"/>
      <c r="M1507" s="29"/>
      <c r="N1507" s="29"/>
    </row>
    <row r="1508" spans="2:14" x14ac:dyDescent="0.25">
      <c r="B1508" s="27"/>
      <c r="C1508" s="28"/>
      <c r="D1508" s="28"/>
      <c r="E1508" s="27"/>
      <c r="F1508" s="6"/>
      <c r="G1508" s="28"/>
      <c r="H1508" s="28"/>
      <c r="I1508" s="98"/>
      <c r="J1508" s="27"/>
      <c r="K1508" s="29"/>
      <c r="L1508" s="29"/>
      <c r="M1508" s="29"/>
      <c r="N1508" s="29"/>
    </row>
    <row r="1509" spans="2:14" x14ac:dyDescent="0.25">
      <c r="B1509" s="27"/>
      <c r="C1509" s="28"/>
      <c r="D1509" s="28"/>
      <c r="E1509" s="27"/>
      <c r="F1509" s="6"/>
      <c r="G1509" s="28"/>
      <c r="H1509" s="28"/>
      <c r="I1509" s="98"/>
      <c r="J1509" s="27"/>
      <c r="K1509" s="29"/>
      <c r="L1509" s="29"/>
      <c r="M1509" s="29"/>
      <c r="N1509" s="29"/>
    </row>
    <row r="1510" spans="2:14" x14ac:dyDescent="0.25">
      <c r="B1510" s="27"/>
      <c r="C1510" s="28"/>
      <c r="D1510" s="28"/>
      <c r="E1510" s="27"/>
      <c r="F1510" s="6"/>
      <c r="G1510" s="28"/>
      <c r="H1510" s="28"/>
      <c r="I1510" s="98"/>
      <c r="J1510" s="27"/>
      <c r="K1510" s="29"/>
      <c r="L1510" s="29"/>
      <c r="M1510" s="29"/>
      <c r="N1510" s="29"/>
    </row>
    <row r="1511" spans="2:14" x14ac:dyDescent="0.25">
      <c r="B1511" s="27"/>
      <c r="C1511" s="28"/>
      <c r="D1511" s="28"/>
      <c r="E1511" s="27"/>
      <c r="F1511" s="6"/>
      <c r="G1511" s="28"/>
      <c r="H1511" s="28"/>
      <c r="I1511" s="98"/>
      <c r="J1511" s="27"/>
      <c r="K1511" s="29"/>
      <c r="L1511" s="29"/>
      <c r="M1511" s="29"/>
      <c r="N1511" s="29"/>
    </row>
    <row r="1512" spans="2:14" x14ac:dyDescent="0.25">
      <c r="B1512" s="27"/>
      <c r="C1512" s="28"/>
      <c r="D1512" s="28"/>
      <c r="E1512" s="27"/>
      <c r="F1512" s="6"/>
      <c r="G1512" s="28"/>
      <c r="H1512" s="28"/>
      <c r="I1512" s="98"/>
      <c r="J1512" s="27"/>
      <c r="K1512" s="29"/>
      <c r="L1512" s="29"/>
      <c r="M1512" s="29"/>
      <c r="N1512" s="29"/>
    </row>
    <row r="1513" spans="2:14" x14ac:dyDescent="0.25">
      <c r="B1513" s="27"/>
      <c r="C1513" s="28"/>
      <c r="D1513" s="28"/>
      <c r="E1513" s="27"/>
      <c r="F1513" s="6"/>
      <c r="G1513" s="28"/>
      <c r="H1513" s="28"/>
      <c r="I1513" s="98"/>
      <c r="J1513" s="27"/>
      <c r="K1513" s="29"/>
      <c r="L1513" s="29"/>
      <c r="M1513" s="29"/>
      <c r="N1513" s="29"/>
    </row>
    <row r="1514" spans="2:14" x14ac:dyDescent="0.25">
      <c r="B1514" s="27"/>
      <c r="C1514" s="28"/>
      <c r="D1514" s="28"/>
      <c r="E1514" s="27"/>
      <c r="F1514" s="6"/>
      <c r="G1514" s="28"/>
      <c r="H1514" s="28"/>
      <c r="I1514" s="98"/>
      <c r="J1514" s="27"/>
      <c r="K1514" s="29"/>
      <c r="L1514" s="29"/>
      <c r="M1514" s="29"/>
      <c r="N1514" s="29"/>
    </row>
    <row r="1515" spans="2:14" x14ac:dyDescent="0.25">
      <c r="B1515" s="27"/>
      <c r="C1515" s="28"/>
      <c r="D1515" s="28"/>
      <c r="E1515" s="27"/>
      <c r="F1515" s="6"/>
      <c r="G1515" s="28"/>
      <c r="H1515" s="28"/>
      <c r="I1515" s="98"/>
      <c r="J1515" s="27"/>
      <c r="K1515" s="29"/>
      <c r="L1515" s="29"/>
      <c r="M1515" s="29"/>
      <c r="N1515" s="29"/>
    </row>
    <row r="1516" spans="2:14" x14ac:dyDescent="0.25">
      <c r="B1516" s="27"/>
      <c r="C1516" s="28"/>
      <c r="D1516" s="28"/>
      <c r="E1516" s="27"/>
      <c r="F1516" s="6"/>
      <c r="G1516" s="28"/>
      <c r="H1516" s="28"/>
      <c r="I1516" s="98"/>
      <c r="J1516" s="27"/>
      <c r="K1516" s="29"/>
      <c r="L1516" s="29"/>
      <c r="M1516" s="29"/>
      <c r="N1516" s="29"/>
    </row>
    <row r="1517" spans="2:14" x14ac:dyDescent="0.25">
      <c r="B1517" s="27"/>
      <c r="C1517" s="28"/>
      <c r="D1517" s="28"/>
      <c r="E1517" s="27"/>
      <c r="F1517" s="6"/>
      <c r="G1517" s="28"/>
      <c r="H1517" s="28"/>
      <c r="I1517" s="98"/>
      <c r="J1517" s="27"/>
      <c r="K1517" s="29"/>
      <c r="L1517" s="29"/>
      <c r="M1517" s="29"/>
      <c r="N1517" s="29"/>
    </row>
    <row r="1518" spans="2:14" x14ac:dyDescent="0.25">
      <c r="B1518" s="27"/>
      <c r="C1518" s="28"/>
      <c r="D1518" s="28"/>
      <c r="E1518" s="27"/>
      <c r="F1518" s="6"/>
      <c r="G1518" s="28"/>
      <c r="H1518" s="28"/>
      <c r="I1518" s="98"/>
      <c r="J1518" s="27"/>
      <c r="K1518" s="29"/>
      <c r="L1518" s="29"/>
      <c r="M1518" s="29"/>
      <c r="N1518" s="29"/>
    </row>
    <row r="1519" spans="2:14" x14ac:dyDescent="0.25">
      <c r="B1519" s="27"/>
      <c r="C1519" s="28"/>
      <c r="D1519" s="28"/>
      <c r="E1519" s="27"/>
      <c r="F1519" s="6"/>
      <c r="G1519" s="28"/>
      <c r="H1519" s="28"/>
      <c r="I1519" s="98"/>
      <c r="J1519" s="27"/>
      <c r="K1519" s="29"/>
      <c r="L1519" s="29"/>
      <c r="M1519" s="29"/>
      <c r="N1519" s="29"/>
    </row>
    <row r="1520" spans="2:14" x14ac:dyDescent="0.25">
      <c r="B1520" s="27"/>
      <c r="C1520" s="28"/>
      <c r="D1520" s="28"/>
      <c r="E1520" s="27"/>
      <c r="F1520" s="6"/>
      <c r="G1520" s="28"/>
      <c r="H1520" s="28"/>
      <c r="I1520" s="98"/>
      <c r="J1520" s="27"/>
      <c r="K1520" s="29"/>
      <c r="L1520" s="29"/>
      <c r="M1520" s="29"/>
      <c r="N1520" s="29"/>
    </row>
    <row r="1521" spans="2:14" x14ac:dyDescent="0.25">
      <c r="B1521" s="27"/>
      <c r="C1521" s="28"/>
      <c r="D1521" s="28"/>
      <c r="E1521" s="27"/>
      <c r="F1521" s="6"/>
      <c r="G1521" s="28"/>
      <c r="H1521" s="28"/>
      <c r="I1521" s="98"/>
      <c r="J1521" s="27"/>
      <c r="K1521" s="29"/>
      <c r="L1521" s="29"/>
      <c r="M1521" s="29"/>
      <c r="N1521" s="29"/>
    </row>
    <row r="1522" spans="2:14" x14ac:dyDescent="0.25">
      <c r="B1522" s="27"/>
      <c r="C1522" s="28"/>
      <c r="D1522" s="28"/>
      <c r="E1522" s="27"/>
      <c r="F1522" s="6"/>
      <c r="G1522" s="28"/>
      <c r="H1522" s="28"/>
      <c r="I1522" s="98"/>
      <c r="J1522" s="27"/>
      <c r="K1522" s="29"/>
      <c r="L1522" s="29"/>
      <c r="M1522" s="29"/>
      <c r="N1522" s="29"/>
    </row>
    <row r="1523" spans="2:14" x14ac:dyDescent="0.25">
      <c r="B1523" s="27"/>
      <c r="C1523" s="28"/>
      <c r="D1523" s="28"/>
      <c r="E1523" s="27"/>
      <c r="F1523" s="6"/>
      <c r="G1523" s="28"/>
      <c r="H1523" s="28"/>
      <c r="I1523" s="98"/>
      <c r="J1523" s="27"/>
      <c r="K1523" s="29"/>
      <c r="L1523" s="29"/>
      <c r="M1523" s="29"/>
      <c r="N1523" s="29"/>
    </row>
    <row r="1524" spans="2:14" x14ac:dyDescent="0.25">
      <c r="B1524" s="27"/>
      <c r="C1524" s="28"/>
      <c r="D1524" s="28"/>
      <c r="E1524" s="27"/>
      <c r="F1524" s="6"/>
      <c r="G1524" s="28"/>
      <c r="H1524" s="28"/>
      <c r="I1524" s="98"/>
      <c r="J1524" s="27"/>
      <c r="K1524" s="29"/>
      <c r="L1524" s="29"/>
      <c r="M1524" s="29"/>
      <c r="N1524" s="29"/>
    </row>
    <row r="1525" spans="2:14" x14ac:dyDescent="0.25">
      <c r="B1525" s="27"/>
      <c r="C1525" s="28"/>
      <c r="D1525" s="28"/>
      <c r="E1525" s="27"/>
      <c r="F1525" s="6"/>
      <c r="G1525" s="28"/>
      <c r="H1525" s="28"/>
      <c r="I1525" s="98"/>
      <c r="J1525" s="27"/>
      <c r="K1525" s="29"/>
      <c r="L1525" s="29"/>
      <c r="M1525" s="29"/>
      <c r="N1525" s="29"/>
    </row>
    <row r="1526" spans="2:14" x14ac:dyDescent="0.25">
      <c r="B1526" s="27"/>
      <c r="C1526" s="28"/>
      <c r="D1526" s="28"/>
      <c r="E1526" s="27"/>
      <c r="F1526" s="6"/>
      <c r="G1526" s="28"/>
      <c r="H1526" s="28"/>
      <c r="I1526" s="98"/>
      <c r="J1526" s="27"/>
      <c r="K1526" s="29"/>
      <c r="L1526" s="29"/>
      <c r="M1526" s="29"/>
      <c r="N1526" s="29"/>
    </row>
    <row r="1527" spans="2:14" x14ac:dyDescent="0.25">
      <c r="B1527" s="27"/>
      <c r="C1527" s="28"/>
      <c r="D1527" s="28"/>
      <c r="E1527" s="27"/>
      <c r="F1527" s="6"/>
      <c r="G1527" s="28"/>
      <c r="H1527" s="28"/>
      <c r="I1527" s="98"/>
      <c r="J1527" s="27"/>
      <c r="K1527" s="29"/>
      <c r="L1527" s="29"/>
      <c r="M1527" s="29"/>
      <c r="N1527" s="29"/>
    </row>
    <row r="1528" spans="2:14" x14ac:dyDescent="0.25">
      <c r="B1528" s="27"/>
      <c r="C1528" s="28"/>
      <c r="D1528" s="28"/>
      <c r="E1528" s="27"/>
      <c r="F1528" s="6"/>
      <c r="G1528" s="28"/>
      <c r="H1528" s="28"/>
      <c r="I1528" s="98"/>
      <c r="J1528" s="27"/>
      <c r="K1528" s="29"/>
      <c r="L1528" s="29"/>
      <c r="M1528" s="29"/>
      <c r="N1528" s="29"/>
    </row>
    <row r="1529" spans="2:14" x14ac:dyDescent="0.25">
      <c r="B1529" s="27"/>
      <c r="C1529" s="28"/>
      <c r="D1529" s="28"/>
      <c r="E1529" s="27"/>
      <c r="F1529" s="6"/>
      <c r="G1529" s="28"/>
      <c r="H1529" s="28"/>
      <c r="I1529" s="98"/>
      <c r="J1529" s="27"/>
      <c r="K1529" s="29"/>
      <c r="L1529" s="29"/>
      <c r="M1529" s="29"/>
      <c r="N1529" s="29"/>
    </row>
    <row r="1530" spans="2:14" x14ac:dyDescent="0.25">
      <c r="B1530" s="27"/>
      <c r="C1530" s="28"/>
      <c r="D1530" s="28"/>
      <c r="E1530" s="27"/>
      <c r="F1530" s="6"/>
      <c r="G1530" s="28"/>
      <c r="H1530" s="28"/>
      <c r="I1530" s="98"/>
      <c r="J1530" s="27"/>
      <c r="K1530" s="29"/>
      <c r="L1530" s="29"/>
      <c r="M1530" s="29"/>
      <c r="N1530" s="29"/>
    </row>
    <row r="1531" spans="2:14" x14ac:dyDescent="0.25">
      <c r="B1531" s="27"/>
      <c r="C1531" s="28"/>
      <c r="D1531" s="28"/>
      <c r="E1531" s="27"/>
      <c r="F1531" s="6"/>
      <c r="G1531" s="28"/>
      <c r="H1531" s="28"/>
      <c r="I1531" s="98"/>
      <c r="J1531" s="27"/>
      <c r="K1531" s="29"/>
      <c r="L1531" s="29"/>
      <c r="M1531" s="29"/>
      <c r="N1531" s="29"/>
    </row>
    <row r="1532" spans="2:14" x14ac:dyDescent="0.25">
      <c r="B1532" s="27"/>
      <c r="C1532" s="28"/>
      <c r="D1532" s="28"/>
      <c r="E1532" s="27"/>
      <c r="F1532" s="6"/>
      <c r="G1532" s="28"/>
      <c r="H1532" s="28"/>
      <c r="I1532" s="98"/>
      <c r="J1532" s="27"/>
      <c r="K1532" s="29"/>
      <c r="L1532" s="29"/>
      <c r="M1532" s="29"/>
      <c r="N1532" s="29"/>
    </row>
    <row r="1533" spans="2:14" x14ac:dyDescent="0.25">
      <c r="B1533" s="27"/>
      <c r="C1533" s="28"/>
      <c r="D1533" s="28"/>
      <c r="E1533" s="27"/>
      <c r="F1533" s="6"/>
      <c r="G1533" s="28"/>
      <c r="H1533" s="28"/>
      <c r="I1533" s="98"/>
      <c r="J1533" s="27"/>
      <c r="K1533" s="29"/>
      <c r="L1533" s="29"/>
      <c r="M1533" s="29"/>
      <c r="N1533" s="29"/>
    </row>
    <row r="1534" spans="2:14" x14ac:dyDescent="0.25">
      <c r="B1534" s="27"/>
      <c r="C1534" s="28"/>
      <c r="D1534" s="28"/>
      <c r="E1534" s="27"/>
      <c r="F1534" s="6"/>
      <c r="G1534" s="28"/>
      <c r="H1534" s="28"/>
      <c r="I1534" s="98"/>
      <c r="J1534" s="27"/>
      <c r="K1534" s="29"/>
      <c r="L1534" s="29"/>
      <c r="M1534" s="29"/>
      <c r="N1534" s="29"/>
    </row>
    <row r="1535" spans="2:14" x14ac:dyDescent="0.25">
      <c r="B1535" s="27"/>
      <c r="C1535" s="28"/>
      <c r="D1535" s="28"/>
      <c r="E1535" s="27"/>
      <c r="F1535" s="6"/>
      <c r="G1535" s="28"/>
      <c r="H1535" s="28"/>
      <c r="I1535" s="98"/>
      <c r="J1535" s="27"/>
      <c r="K1535" s="29"/>
      <c r="L1535" s="29"/>
      <c r="M1535" s="29"/>
      <c r="N1535" s="29"/>
    </row>
    <row r="1536" spans="2:14" x14ac:dyDescent="0.25">
      <c r="B1536" s="27"/>
      <c r="C1536" s="28"/>
      <c r="D1536" s="28"/>
      <c r="E1536" s="27"/>
      <c r="F1536" s="6"/>
      <c r="G1536" s="28"/>
      <c r="H1536" s="28"/>
      <c r="I1536" s="98"/>
      <c r="J1536" s="27"/>
      <c r="K1536" s="29"/>
      <c r="L1536" s="29"/>
      <c r="M1536" s="29"/>
      <c r="N1536" s="29"/>
    </row>
    <row r="1537" spans="2:14" x14ac:dyDescent="0.25">
      <c r="B1537" s="27"/>
      <c r="C1537" s="28"/>
      <c r="D1537" s="28"/>
      <c r="E1537" s="27"/>
      <c r="F1537" s="6"/>
      <c r="G1537" s="28"/>
      <c r="H1537" s="28"/>
      <c r="I1537" s="98"/>
      <c r="J1537" s="27"/>
      <c r="K1537" s="29"/>
      <c r="L1537" s="29"/>
      <c r="M1537" s="29"/>
      <c r="N1537" s="29"/>
    </row>
    <row r="1538" spans="2:14" x14ac:dyDescent="0.25">
      <c r="B1538" s="27"/>
      <c r="C1538" s="28"/>
      <c r="D1538" s="28"/>
      <c r="E1538" s="27"/>
      <c r="F1538" s="6"/>
      <c r="G1538" s="28"/>
      <c r="H1538" s="28"/>
      <c r="I1538" s="98"/>
      <c r="J1538" s="27"/>
      <c r="K1538" s="29"/>
      <c r="L1538" s="29"/>
      <c r="M1538" s="29"/>
      <c r="N1538" s="29"/>
    </row>
    <row r="1539" spans="2:14" x14ac:dyDescent="0.25">
      <c r="B1539" s="27"/>
      <c r="C1539" s="28"/>
      <c r="D1539" s="28"/>
      <c r="E1539" s="27"/>
      <c r="F1539" s="6"/>
      <c r="G1539" s="28"/>
      <c r="H1539" s="28"/>
      <c r="I1539" s="98"/>
      <c r="J1539" s="27"/>
      <c r="K1539" s="29"/>
      <c r="L1539" s="29"/>
      <c r="M1539" s="29"/>
      <c r="N1539" s="29"/>
    </row>
    <row r="1540" spans="2:14" x14ac:dyDescent="0.25">
      <c r="B1540" s="27"/>
      <c r="C1540" s="28"/>
      <c r="D1540" s="28"/>
      <c r="E1540" s="27"/>
      <c r="F1540" s="6"/>
      <c r="G1540" s="28"/>
      <c r="H1540" s="28"/>
      <c r="I1540" s="98"/>
      <c r="J1540" s="27"/>
      <c r="K1540" s="29"/>
      <c r="L1540" s="29"/>
      <c r="M1540" s="29"/>
      <c r="N1540" s="29"/>
    </row>
    <row r="1541" spans="2:14" x14ac:dyDescent="0.25">
      <c r="B1541" s="27"/>
      <c r="C1541" s="28"/>
      <c r="D1541" s="28"/>
      <c r="E1541" s="27"/>
      <c r="F1541" s="6"/>
      <c r="G1541" s="28"/>
      <c r="H1541" s="28"/>
      <c r="I1541" s="98"/>
      <c r="J1541" s="27"/>
      <c r="K1541" s="29"/>
      <c r="L1541" s="29"/>
      <c r="M1541" s="29"/>
      <c r="N1541" s="29"/>
    </row>
    <row r="1542" spans="2:14" x14ac:dyDescent="0.25">
      <c r="B1542" s="27"/>
      <c r="C1542" s="28"/>
      <c r="D1542" s="28"/>
      <c r="E1542" s="27"/>
      <c r="F1542" s="6"/>
      <c r="G1542" s="28"/>
      <c r="H1542" s="28"/>
      <c r="I1542" s="98"/>
      <c r="J1542" s="27"/>
      <c r="K1542" s="29"/>
      <c r="L1542" s="29"/>
      <c r="M1542" s="29"/>
      <c r="N1542" s="29"/>
    </row>
    <row r="1543" spans="2:14" x14ac:dyDescent="0.25">
      <c r="B1543" s="27"/>
      <c r="C1543" s="28"/>
      <c r="D1543" s="28"/>
      <c r="E1543" s="27"/>
      <c r="F1543" s="6"/>
      <c r="G1543" s="28"/>
      <c r="H1543" s="28"/>
      <c r="I1543" s="98"/>
      <c r="J1543" s="27"/>
      <c r="K1543" s="29"/>
      <c r="L1543" s="29"/>
      <c r="M1543" s="29"/>
      <c r="N1543" s="29"/>
    </row>
    <row r="1544" spans="2:14" x14ac:dyDescent="0.25">
      <c r="B1544" s="27"/>
      <c r="C1544" s="28"/>
      <c r="D1544" s="28"/>
      <c r="E1544" s="27"/>
      <c r="F1544" s="6"/>
      <c r="G1544" s="28"/>
      <c r="H1544" s="28"/>
      <c r="I1544" s="98"/>
      <c r="J1544" s="27"/>
      <c r="K1544" s="29"/>
      <c r="L1544" s="29"/>
      <c r="M1544" s="29"/>
      <c r="N1544" s="29"/>
    </row>
    <row r="1545" spans="2:14" x14ac:dyDescent="0.25">
      <c r="B1545" s="27"/>
      <c r="C1545" s="28"/>
      <c r="D1545" s="28"/>
      <c r="E1545" s="27"/>
      <c r="F1545" s="6"/>
      <c r="G1545" s="28"/>
      <c r="H1545" s="28"/>
      <c r="I1545" s="98"/>
      <c r="J1545" s="27"/>
      <c r="K1545" s="29"/>
      <c r="L1545" s="29"/>
      <c r="M1545" s="29"/>
      <c r="N1545" s="29"/>
    </row>
    <row r="1546" spans="2:14" x14ac:dyDescent="0.25">
      <c r="B1546" s="27"/>
      <c r="C1546" s="28"/>
      <c r="D1546" s="28"/>
      <c r="E1546" s="27"/>
      <c r="F1546" s="6"/>
      <c r="G1546" s="28"/>
      <c r="H1546" s="28"/>
      <c r="I1546" s="98"/>
      <c r="J1546" s="27"/>
      <c r="K1546" s="29"/>
      <c r="L1546" s="29"/>
      <c r="M1546" s="29"/>
      <c r="N1546" s="29"/>
    </row>
    <row r="1547" spans="2:14" x14ac:dyDescent="0.25">
      <c r="B1547" s="27"/>
      <c r="C1547" s="28"/>
      <c r="D1547" s="28"/>
      <c r="E1547" s="27"/>
      <c r="F1547" s="6"/>
      <c r="G1547" s="28"/>
      <c r="H1547" s="28"/>
      <c r="I1547" s="98"/>
      <c r="J1547" s="27"/>
      <c r="K1547" s="29"/>
      <c r="L1547" s="29"/>
      <c r="M1547" s="29"/>
      <c r="N1547" s="29"/>
    </row>
    <row r="1548" spans="2:14" x14ac:dyDescent="0.25">
      <c r="B1548" s="27"/>
      <c r="C1548" s="28"/>
      <c r="D1548" s="28"/>
      <c r="E1548" s="27"/>
      <c r="F1548" s="6"/>
      <c r="G1548" s="28"/>
      <c r="H1548" s="28"/>
      <c r="I1548" s="98"/>
      <c r="J1548" s="27"/>
      <c r="K1548" s="29"/>
      <c r="L1548" s="29"/>
      <c r="M1548" s="29"/>
      <c r="N1548" s="29"/>
    </row>
    <row r="1549" spans="2:14" x14ac:dyDescent="0.25">
      <c r="B1549" s="27"/>
      <c r="C1549" s="28"/>
      <c r="D1549" s="28"/>
      <c r="E1549" s="27"/>
      <c r="F1549" s="6"/>
      <c r="G1549" s="28"/>
      <c r="H1549" s="28"/>
      <c r="I1549" s="98"/>
      <c r="J1549" s="27"/>
      <c r="K1549" s="29"/>
      <c r="L1549" s="29"/>
      <c r="M1549" s="29"/>
      <c r="N1549" s="29"/>
    </row>
    <row r="1550" spans="2:14" x14ac:dyDescent="0.25">
      <c r="B1550" s="27"/>
      <c r="C1550" s="28"/>
      <c r="D1550" s="28"/>
      <c r="E1550" s="27"/>
      <c r="F1550" s="6"/>
      <c r="G1550" s="28"/>
      <c r="H1550" s="28"/>
      <c r="I1550" s="98"/>
      <c r="J1550" s="27"/>
      <c r="K1550" s="29"/>
      <c r="L1550" s="29"/>
      <c r="M1550" s="29"/>
      <c r="N1550" s="29"/>
    </row>
    <row r="1551" spans="2:14" x14ac:dyDescent="0.25">
      <c r="B1551" s="27"/>
      <c r="C1551" s="28"/>
      <c r="D1551" s="28"/>
      <c r="E1551" s="27"/>
      <c r="F1551" s="6"/>
      <c r="G1551" s="28"/>
      <c r="H1551" s="28"/>
      <c r="I1551" s="98"/>
      <c r="J1551" s="27"/>
      <c r="K1551" s="29"/>
      <c r="L1551" s="29"/>
      <c r="M1551" s="29"/>
      <c r="N1551" s="29"/>
    </row>
    <row r="1552" spans="2:14" x14ac:dyDescent="0.25">
      <c r="B1552" s="27"/>
      <c r="C1552" s="28"/>
      <c r="D1552" s="28"/>
      <c r="E1552" s="27"/>
      <c r="F1552" s="6"/>
      <c r="G1552" s="28"/>
      <c r="H1552" s="28"/>
      <c r="I1552" s="98"/>
      <c r="J1552" s="27"/>
      <c r="K1552" s="29"/>
      <c r="L1552" s="29"/>
      <c r="M1552" s="29"/>
      <c r="N1552" s="29"/>
    </row>
    <row r="1553" spans="2:14" x14ac:dyDescent="0.25">
      <c r="B1553" s="27"/>
      <c r="C1553" s="28"/>
      <c r="D1553" s="28"/>
      <c r="E1553" s="27"/>
      <c r="F1553" s="6"/>
      <c r="G1553" s="28"/>
      <c r="H1553" s="28"/>
      <c r="I1553" s="98"/>
      <c r="J1553" s="27"/>
      <c r="K1553" s="29"/>
      <c r="L1553" s="29"/>
      <c r="M1553" s="29"/>
      <c r="N1553" s="29"/>
    </row>
    <row r="1554" spans="2:14" x14ac:dyDescent="0.25">
      <c r="B1554" s="27"/>
      <c r="C1554" s="28"/>
      <c r="D1554" s="28"/>
      <c r="E1554" s="27"/>
      <c r="F1554" s="6"/>
      <c r="G1554" s="28"/>
      <c r="H1554" s="28"/>
      <c r="I1554" s="98"/>
      <c r="J1554" s="27"/>
      <c r="K1554" s="29"/>
      <c r="L1554" s="29"/>
      <c r="M1554" s="29"/>
      <c r="N1554" s="29"/>
    </row>
    <row r="1555" spans="2:14" x14ac:dyDescent="0.25">
      <c r="B1555" s="27"/>
      <c r="C1555" s="28"/>
      <c r="D1555" s="28"/>
      <c r="E1555" s="27"/>
      <c r="F1555" s="6"/>
      <c r="G1555" s="28"/>
      <c r="H1555" s="28"/>
      <c r="I1555" s="98"/>
      <c r="J1555" s="27"/>
      <c r="K1555" s="29"/>
      <c r="L1555" s="29"/>
      <c r="M1555" s="29"/>
      <c r="N1555" s="29"/>
    </row>
    <row r="1556" spans="2:14" x14ac:dyDescent="0.25">
      <c r="B1556" s="27"/>
      <c r="C1556" s="28"/>
      <c r="D1556" s="28"/>
      <c r="E1556" s="27"/>
      <c r="F1556" s="6"/>
      <c r="G1556" s="28"/>
      <c r="H1556" s="28"/>
      <c r="I1556" s="98"/>
      <c r="J1556" s="27"/>
      <c r="K1556" s="29"/>
      <c r="L1556" s="29"/>
      <c r="M1556" s="29"/>
      <c r="N1556" s="29"/>
    </row>
    <row r="1557" spans="2:14" x14ac:dyDescent="0.25">
      <c r="B1557" s="27"/>
      <c r="C1557" s="28"/>
      <c r="D1557" s="28"/>
      <c r="E1557" s="27"/>
      <c r="F1557" s="6"/>
      <c r="G1557" s="28"/>
      <c r="H1557" s="28"/>
      <c r="I1557" s="98"/>
      <c r="J1557" s="27"/>
      <c r="K1557" s="29"/>
      <c r="L1557" s="29"/>
      <c r="M1557" s="29"/>
      <c r="N1557" s="29"/>
    </row>
    <row r="1558" spans="2:14" x14ac:dyDescent="0.25">
      <c r="B1558" s="27"/>
      <c r="C1558" s="28"/>
      <c r="D1558" s="28"/>
      <c r="E1558" s="27"/>
      <c r="F1558" s="6"/>
      <c r="G1558" s="28"/>
      <c r="H1558" s="28"/>
      <c r="I1558" s="98"/>
      <c r="J1558" s="27"/>
      <c r="K1558" s="29"/>
      <c r="L1558" s="29"/>
      <c r="M1558" s="29"/>
      <c r="N1558" s="29"/>
    </row>
    <row r="1559" spans="2:14" x14ac:dyDescent="0.25">
      <c r="B1559" s="27"/>
      <c r="C1559" s="28"/>
      <c r="D1559" s="28"/>
      <c r="E1559" s="27"/>
      <c r="F1559" s="6"/>
      <c r="G1559" s="28"/>
      <c r="H1559" s="28"/>
      <c r="I1559" s="98"/>
      <c r="J1559" s="27"/>
      <c r="K1559" s="29"/>
      <c r="L1559" s="29"/>
      <c r="M1559" s="29"/>
      <c r="N1559" s="29"/>
    </row>
    <row r="1560" spans="2:14" x14ac:dyDescent="0.25">
      <c r="B1560" s="27"/>
      <c r="C1560" s="28"/>
      <c r="D1560" s="28"/>
      <c r="E1560" s="27"/>
      <c r="F1560" s="6"/>
      <c r="G1560" s="28"/>
      <c r="H1560" s="28"/>
      <c r="I1560" s="98"/>
      <c r="J1560" s="27"/>
      <c r="K1560" s="29"/>
      <c r="L1560" s="29"/>
      <c r="M1560" s="29"/>
      <c r="N1560" s="29"/>
    </row>
    <row r="1561" spans="2:14" x14ac:dyDescent="0.25">
      <c r="B1561" s="27"/>
      <c r="C1561" s="28"/>
      <c r="D1561" s="28"/>
      <c r="E1561" s="27"/>
      <c r="F1561" s="6"/>
      <c r="G1561" s="28"/>
      <c r="H1561" s="28"/>
      <c r="I1561" s="98"/>
      <c r="J1561" s="27"/>
      <c r="K1561" s="29"/>
      <c r="L1561" s="29"/>
      <c r="M1561" s="29"/>
      <c r="N1561" s="29"/>
    </row>
    <row r="1562" spans="2:14" x14ac:dyDescent="0.25">
      <c r="B1562" s="27"/>
      <c r="C1562" s="28"/>
      <c r="D1562" s="28"/>
      <c r="E1562" s="27"/>
      <c r="F1562" s="6"/>
      <c r="G1562" s="28"/>
      <c r="H1562" s="28"/>
      <c r="I1562" s="98"/>
      <c r="J1562" s="27"/>
      <c r="K1562" s="29"/>
      <c r="L1562" s="29"/>
      <c r="M1562" s="29"/>
      <c r="N1562" s="29"/>
    </row>
    <row r="1563" spans="2:14" x14ac:dyDescent="0.25">
      <c r="B1563" s="27"/>
      <c r="C1563" s="28"/>
      <c r="D1563" s="28"/>
      <c r="E1563" s="27"/>
      <c r="F1563" s="6"/>
      <c r="G1563" s="28"/>
      <c r="H1563" s="28"/>
      <c r="I1563" s="98"/>
      <c r="J1563" s="27"/>
      <c r="K1563" s="29"/>
      <c r="L1563" s="29"/>
      <c r="M1563" s="29"/>
      <c r="N1563" s="29"/>
    </row>
    <row r="1564" spans="2:14" x14ac:dyDescent="0.25">
      <c r="B1564" s="27"/>
      <c r="C1564" s="28"/>
      <c r="D1564" s="28"/>
      <c r="E1564" s="27"/>
      <c r="F1564" s="6"/>
      <c r="G1564" s="28"/>
      <c r="H1564" s="28"/>
      <c r="I1564" s="98"/>
      <c r="J1564" s="27"/>
      <c r="K1564" s="29"/>
      <c r="L1564" s="29"/>
      <c r="M1564" s="29"/>
      <c r="N1564" s="29"/>
    </row>
    <row r="1565" spans="2:14" x14ac:dyDescent="0.25">
      <c r="B1565" s="27"/>
      <c r="C1565" s="28"/>
      <c r="D1565" s="28"/>
      <c r="E1565" s="27"/>
      <c r="F1565" s="6"/>
      <c r="G1565" s="28"/>
      <c r="H1565" s="28"/>
      <c r="I1565" s="98"/>
      <c r="J1565" s="27"/>
      <c r="K1565" s="29"/>
      <c r="L1565" s="29"/>
      <c r="M1565" s="29"/>
      <c r="N1565" s="29"/>
    </row>
    <row r="1566" spans="2:14" x14ac:dyDescent="0.25">
      <c r="B1566" s="27"/>
      <c r="C1566" s="28"/>
      <c r="D1566" s="28"/>
      <c r="E1566" s="27"/>
      <c r="F1566" s="6"/>
      <c r="G1566" s="28"/>
      <c r="H1566" s="28"/>
      <c r="I1566" s="98"/>
      <c r="J1566" s="27"/>
      <c r="K1566" s="29"/>
      <c r="L1566" s="29"/>
      <c r="M1566" s="29"/>
      <c r="N1566" s="29"/>
    </row>
    <row r="1567" spans="2:14" x14ac:dyDescent="0.25">
      <c r="B1567" s="27"/>
      <c r="C1567" s="28"/>
      <c r="D1567" s="28"/>
      <c r="E1567" s="27"/>
      <c r="F1567" s="6"/>
      <c r="G1567" s="28"/>
      <c r="H1567" s="28"/>
      <c r="I1567" s="98"/>
      <c r="J1567" s="27"/>
      <c r="K1567" s="29"/>
      <c r="L1567" s="29"/>
      <c r="M1567" s="29"/>
      <c r="N1567" s="29"/>
    </row>
    <row r="1568" spans="2:14" x14ac:dyDescent="0.25">
      <c r="B1568" s="27"/>
      <c r="C1568" s="28"/>
      <c r="D1568" s="28"/>
      <c r="E1568" s="27"/>
      <c r="F1568" s="6"/>
      <c r="G1568" s="28"/>
      <c r="H1568" s="28"/>
      <c r="I1568" s="98"/>
      <c r="J1568" s="27"/>
      <c r="K1568" s="29"/>
      <c r="L1568" s="29"/>
      <c r="M1568" s="29"/>
      <c r="N1568" s="29"/>
    </row>
    <row r="1569" spans="2:14" x14ac:dyDescent="0.25">
      <c r="B1569" s="27"/>
      <c r="C1569" s="28"/>
      <c r="D1569" s="28"/>
      <c r="E1569" s="27"/>
      <c r="F1569" s="6"/>
      <c r="G1569" s="28"/>
      <c r="H1569" s="28"/>
      <c r="I1569" s="98"/>
      <c r="J1569" s="27"/>
      <c r="K1569" s="29"/>
      <c r="L1569" s="29"/>
      <c r="M1569" s="29"/>
      <c r="N1569" s="29"/>
    </row>
    <row r="1570" spans="2:14" x14ac:dyDescent="0.25">
      <c r="B1570" s="27"/>
      <c r="C1570" s="28"/>
      <c r="D1570" s="28"/>
      <c r="E1570" s="27"/>
      <c r="F1570" s="6"/>
      <c r="G1570" s="28"/>
      <c r="H1570" s="28"/>
      <c r="I1570" s="98"/>
      <c r="J1570" s="27"/>
      <c r="K1570" s="29"/>
      <c r="L1570" s="29"/>
      <c r="M1570" s="29"/>
      <c r="N1570" s="29"/>
    </row>
    <row r="1571" spans="2:14" x14ac:dyDescent="0.25">
      <c r="B1571" s="27"/>
      <c r="C1571" s="28"/>
      <c r="D1571" s="28"/>
      <c r="E1571" s="27"/>
      <c r="F1571" s="6"/>
      <c r="G1571" s="28"/>
      <c r="H1571" s="28"/>
      <c r="I1571" s="98"/>
      <c r="J1571" s="27"/>
      <c r="K1571" s="29"/>
      <c r="L1571" s="29"/>
      <c r="M1571" s="29"/>
      <c r="N1571" s="29"/>
    </row>
    <row r="1572" spans="2:14" x14ac:dyDescent="0.25">
      <c r="B1572" s="27"/>
      <c r="C1572" s="28"/>
      <c r="D1572" s="28"/>
      <c r="E1572" s="27"/>
      <c r="F1572" s="6"/>
      <c r="G1572" s="28"/>
      <c r="H1572" s="28"/>
      <c r="I1572" s="98"/>
      <c r="J1572" s="27"/>
      <c r="K1572" s="29"/>
      <c r="L1572" s="29"/>
      <c r="M1572" s="29"/>
      <c r="N1572" s="29"/>
    </row>
    <row r="1573" spans="2:14" x14ac:dyDescent="0.25">
      <c r="B1573" s="27"/>
      <c r="C1573" s="28"/>
      <c r="D1573" s="28"/>
      <c r="E1573" s="27"/>
      <c r="F1573" s="6"/>
      <c r="G1573" s="28"/>
      <c r="H1573" s="28"/>
      <c r="I1573" s="98"/>
      <c r="J1573" s="27"/>
      <c r="K1573" s="29"/>
      <c r="L1573" s="29"/>
      <c r="M1573" s="29"/>
      <c r="N1573" s="29"/>
    </row>
    <row r="1574" spans="2:14" x14ac:dyDescent="0.25">
      <c r="B1574" s="27"/>
      <c r="C1574" s="28"/>
      <c r="D1574" s="28"/>
      <c r="E1574" s="27"/>
      <c r="F1574" s="6"/>
      <c r="G1574" s="28"/>
      <c r="H1574" s="28"/>
      <c r="I1574" s="98"/>
      <c r="J1574" s="27"/>
      <c r="K1574" s="29"/>
      <c r="L1574" s="29"/>
      <c r="M1574" s="29"/>
      <c r="N1574" s="29"/>
    </row>
    <row r="1575" spans="2:14" x14ac:dyDescent="0.25">
      <c r="B1575" s="27"/>
      <c r="C1575" s="28"/>
      <c r="D1575" s="28"/>
      <c r="E1575" s="27"/>
      <c r="F1575" s="6"/>
      <c r="G1575" s="28"/>
      <c r="H1575" s="28"/>
      <c r="I1575" s="98"/>
      <c r="J1575" s="27"/>
      <c r="K1575" s="29"/>
      <c r="L1575" s="29"/>
      <c r="M1575" s="29"/>
      <c r="N1575" s="29"/>
    </row>
    <row r="1576" spans="2:14" x14ac:dyDescent="0.25">
      <c r="B1576" s="27"/>
      <c r="C1576" s="28"/>
      <c r="D1576" s="28"/>
      <c r="E1576" s="27"/>
      <c r="F1576" s="6"/>
      <c r="G1576" s="28"/>
      <c r="H1576" s="28"/>
      <c r="I1576" s="98"/>
      <c r="J1576" s="27"/>
      <c r="K1576" s="29"/>
      <c r="L1576" s="29"/>
      <c r="M1576" s="29"/>
      <c r="N1576" s="29"/>
    </row>
    <row r="1577" spans="2:14" x14ac:dyDescent="0.25">
      <c r="B1577" s="27"/>
      <c r="C1577" s="28"/>
      <c r="D1577" s="28"/>
      <c r="E1577" s="27"/>
      <c r="F1577" s="6"/>
      <c r="G1577" s="28"/>
      <c r="H1577" s="28"/>
      <c r="I1577" s="98"/>
      <c r="J1577" s="27"/>
      <c r="K1577" s="29"/>
      <c r="L1577" s="29"/>
      <c r="M1577" s="29"/>
      <c r="N1577" s="29"/>
    </row>
    <row r="1578" spans="2:14" x14ac:dyDescent="0.25">
      <c r="B1578" s="27"/>
      <c r="C1578" s="28"/>
      <c r="D1578" s="28"/>
      <c r="E1578" s="27"/>
      <c r="F1578" s="6"/>
      <c r="G1578" s="28"/>
      <c r="H1578" s="28"/>
      <c r="I1578" s="98"/>
      <c r="J1578" s="27"/>
      <c r="K1578" s="29"/>
      <c r="L1578" s="29"/>
      <c r="M1578" s="29"/>
      <c r="N1578" s="29"/>
    </row>
    <row r="1579" spans="2:14" x14ac:dyDescent="0.25">
      <c r="B1579" s="27"/>
      <c r="C1579" s="28"/>
      <c r="D1579" s="28"/>
      <c r="E1579" s="27"/>
      <c r="F1579" s="6"/>
      <c r="G1579" s="28"/>
      <c r="H1579" s="28"/>
      <c r="I1579" s="98"/>
      <c r="J1579" s="27"/>
      <c r="K1579" s="29"/>
      <c r="L1579" s="29"/>
      <c r="M1579" s="29"/>
      <c r="N1579" s="29"/>
    </row>
    <row r="1580" spans="2:14" x14ac:dyDescent="0.25">
      <c r="B1580" s="27"/>
      <c r="C1580" s="28"/>
      <c r="D1580" s="28"/>
      <c r="E1580" s="27"/>
      <c r="F1580" s="6"/>
      <c r="G1580" s="28"/>
      <c r="H1580" s="28"/>
      <c r="I1580" s="98"/>
      <c r="J1580" s="27"/>
      <c r="K1580" s="29"/>
      <c r="L1580" s="29"/>
      <c r="M1580" s="29"/>
      <c r="N1580" s="29"/>
    </row>
    <row r="1581" spans="2:14" x14ac:dyDescent="0.25">
      <c r="B1581" s="27"/>
      <c r="C1581" s="28"/>
      <c r="D1581" s="28"/>
      <c r="E1581" s="27"/>
      <c r="F1581" s="6"/>
      <c r="G1581" s="28"/>
      <c r="H1581" s="28"/>
      <c r="I1581" s="98"/>
      <c r="J1581" s="27"/>
      <c r="K1581" s="29"/>
      <c r="L1581" s="29"/>
      <c r="M1581" s="29"/>
      <c r="N1581" s="29"/>
    </row>
    <row r="1582" spans="2:14" x14ac:dyDescent="0.25">
      <c r="B1582" s="27"/>
      <c r="C1582" s="28"/>
      <c r="D1582" s="28"/>
      <c r="E1582" s="27"/>
      <c r="F1582" s="6"/>
      <c r="G1582" s="28"/>
      <c r="H1582" s="28"/>
      <c r="I1582" s="98"/>
      <c r="J1582" s="27"/>
      <c r="K1582" s="29"/>
      <c r="L1582" s="29"/>
      <c r="M1582" s="29"/>
      <c r="N1582" s="29"/>
    </row>
    <row r="1583" spans="2:14" x14ac:dyDescent="0.25">
      <c r="B1583" s="27"/>
      <c r="C1583" s="28"/>
      <c r="D1583" s="28"/>
      <c r="E1583" s="27"/>
      <c r="F1583" s="6"/>
      <c r="G1583" s="28"/>
      <c r="H1583" s="28"/>
      <c r="I1583" s="98"/>
      <c r="J1583" s="27"/>
      <c r="K1583" s="29"/>
      <c r="L1583" s="29"/>
      <c r="M1583" s="29"/>
      <c r="N1583" s="29"/>
    </row>
    <row r="1584" spans="2:14" x14ac:dyDescent="0.25">
      <c r="B1584" s="27"/>
      <c r="C1584" s="28"/>
      <c r="D1584" s="28"/>
      <c r="E1584" s="27"/>
      <c r="F1584" s="6"/>
      <c r="G1584" s="28"/>
      <c r="H1584" s="28"/>
      <c r="I1584" s="98"/>
      <c r="J1584" s="27"/>
      <c r="K1584" s="29"/>
      <c r="L1584" s="29"/>
      <c r="M1584" s="29"/>
      <c r="N1584" s="29"/>
    </row>
    <row r="1585" spans="2:14" x14ac:dyDescent="0.25">
      <c r="B1585" s="27"/>
      <c r="C1585" s="28"/>
      <c r="D1585" s="28"/>
      <c r="E1585" s="27"/>
      <c r="F1585" s="6"/>
      <c r="G1585" s="28"/>
      <c r="H1585" s="28"/>
      <c r="I1585" s="98"/>
      <c r="J1585" s="27"/>
      <c r="K1585" s="29"/>
      <c r="L1585" s="29"/>
      <c r="M1585" s="29"/>
      <c r="N1585" s="29"/>
    </row>
    <row r="1586" spans="2:14" x14ac:dyDescent="0.25">
      <c r="B1586" s="27"/>
      <c r="C1586" s="28"/>
      <c r="D1586" s="28"/>
      <c r="E1586" s="27"/>
      <c r="F1586" s="6"/>
      <c r="G1586" s="28"/>
      <c r="H1586" s="28"/>
      <c r="I1586" s="98"/>
      <c r="J1586" s="27"/>
      <c r="K1586" s="29"/>
      <c r="L1586" s="29"/>
      <c r="M1586" s="29"/>
      <c r="N1586" s="29"/>
    </row>
    <row r="1587" spans="2:14" x14ac:dyDescent="0.25">
      <c r="B1587" s="27"/>
      <c r="C1587" s="28"/>
      <c r="D1587" s="28"/>
      <c r="E1587" s="27"/>
      <c r="F1587" s="6"/>
      <c r="G1587" s="28"/>
      <c r="H1587" s="28"/>
      <c r="I1587" s="98"/>
      <c r="J1587" s="27"/>
      <c r="K1587" s="29"/>
      <c r="L1587" s="29"/>
      <c r="M1587" s="29"/>
      <c r="N1587" s="29"/>
    </row>
    <row r="1588" spans="2:14" x14ac:dyDescent="0.25">
      <c r="B1588" s="27"/>
      <c r="C1588" s="28"/>
      <c r="D1588" s="28"/>
      <c r="E1588" s="27"/>
      <c r="F1588" s="6"/>
      <c r="G1588" s="28"/>
      <c r="H1588" s="28"/>
      <c r="I1588" s="98"/>
      <c r="J1588" s="27"/>
      <c r="K1588" s="29"/>
      <c r="L1588" s="29"/>
      <c r="M1588" s="29"/>
      <c r="N1588" s="29"/>
    </row>
    <row r="1589" spans="2:14" x14ac:dyDescent="0.25">
      <c r="B1589" s="27"/>
      <c r="C1589" s="28"/>
      <c r="D1589" s="28"/>
      <c r="E1589" s="27"/>
      <c r="F1589" s="6"/>
      <c r="G1589" s="28"/>
      <c r="H1589" s="28"/>
      <c r="I1589" s="98"/>
      <c r="J1589" s="27"/>
      <c r="K1589" s="29"/>
      <c r="L1589" s="29"/>
      <c r="M1589" s="29"/>
      <c r="N1589" s="29"/>
    </row>
    <row r="1590" spans="2:14" x14ac:dyDescent="0.25">
      <c r="B1590" s="27"/>
      <c r="C1590" s="28"/>
      <c r="D1590" s="28"/>
      <c r="E1590" s="27"/>
      <c r="F1590" s="6"/>
      <c r="G1590" s="28"/>
      <c r="H1590" s="28"/>
      <c r="I1590" s="98"/>
      <c r="J1590" s="27"/>
      <c r="K1590" s="29"/>
      <c r="L1590" s="29"/>
      <c r="M1590" s="29"/>
      <c r="N1590" s="29"/>
    </row>
    <row r="1591" spans="2:14" x14ac:dyDescent="0.25">
      <c r="B1591" s="27"/>
      <c r="C1591" s="28"/>
      <c r="D1591" s="28"/>
      <c r="E1591" s="27"/>
      <c r="F1591" s="6"/>
      <c r="G1591" s="28"/>
      <c r="H1591" s="28"/>
      <c r="I1591" s="98"/>
      <c r="J1591" s="27"/>
      <c r="K1591" s="29"/>
      <c r="L1591" s="29"/>
      <c r="M1591" s="29"/>
      <c r="N1591" s="29"/>
    </row>
    <row r="1592" spans="2:14" x14ac:dyDescent="0.25">
      <c r="B1592" s="27"/>
      <c r="C1592" s="28"/>
      <c r="D1592" s="28"/>
      <c r="E1592" s="27"/>
      <c r="F1592" s="6"/>
      <c r="G1592" s="28"/>
      <c r="H1592" s="28"/>
      <c r="I1592" s="98"/>
      <c r="J1592" s="27"/>
      <c r="K1592" s="29"/>
      <c r="L1592" s="29"/>
      <c r="M1592" s="29"/>
      <c r="N1592" s="29"/>
    </row>
    <row r="1593" spans="2:14" x14ac:dyDescent="0.25">
      <c r="B1593" s="27"/>
      <c r="C1593" s="28"/>
      <c r="D1593" s="28"/>
      <c r="E1593" s="27"/>
      <c r="F1593" s="6"/>
      <c r="G1593" s="28"/>
      <c r="H1593" s="28"/>
      <c r="I1593" s="98"/>
      <c r="J1593" s="27"/>
      <c r="K1593" s="29"/>
      <c r="L1593" s="29"/>
      <c r="M1593" s="29"/>
      <c r="N1593" s="29"/>
    </row>
    <row r="1594" spans="2:14" x14ac:dyDescent="0.25">
      <c r="B1594" s="27"/>
      <c r="C1594" s="28"/>
      <c r="D1594" s="28"/>
      <c r="E1594" s="27"/>
      <c r="F1594" s="6"/>
      <c r="G1594" s="28"/>
      <c r="H1594" s="28"/>
      <c r="I1594" s="98"/>
      <c r="J1594" s="27"/>
      <c r="K1594" s="29"/>
      <c r="L1594" s="29"/>
      <c r="M1594" s="29"/>
      <c r="N1594" s="29"/>
    </row>
    <row r="1595" spans="2:14" x14ac:dyDescent="0.25">
      <c r="B1595" s="27"/>
      <c r="C1595" s="28"/>
      <c r="D1595" s="28"/>
      <c r="E1595" s="27"/>
      <c r="F1595" s="6"/>
      <c r="G1595" s="28"/>
      <c r="H1595" s="28"/>
      <c r="I1595" s="98"/>
      <c r="J1595" s="27"/>
      <c r="K1595" s="29"/>
      <c r="L1595" s="29"/>
      <c r="M1595" s="29"/>
      <c r="N1595" s="29"/>
    </row>
    <row r="1596" spans="2:14" x14ac:dyDescent="0.25">
      <c r="B1596" s="27"/>
      <c r="C1596" s="28"/>
      <c r="D1596" s="28"/>
      <c r="E1596" s="27"/>
      <c r="F1596" s="6"/>
      <c r="G1596" s="28"/>
      <c r="H1596" s="28"/>
      <c r="I1596" s="98"/>
      <c r="J1596" s="27"/>
      <c r="K1596" s="29"/>
      <c r="L1596" s="29"/>
      <c r="M1596" s="29"/>
      <c r="N1596" s="29"/>
    </row>
    <row r="1597" spans="2:14" x14ac:dyDescent="0.25">
      <c r="B1597" s="27"/>
      <c r="C1597" s="28"/>
      <c r="D1597" s="28"/>
      <c r="E1597" s="27"/>
      <c r="F1597" s="6"/>
      <c r="G1597" s="28"/>
      <c r="H1597" s="28"/>
      <c r="I1597" s="98"/>
      <c r="J1597" s="27"/>
      <c r="K1597" s="29"/>
      <c r="L1597" s="29"/>
      <c r="M1597" s="29"/>
      <c r="N1597" s="29"/>
    </row>
    <row r="1598" spans="2:14" x14ac:dyDescent="0.25">
      <c r="B1598" s="27"/>
      <c r="C1598" s="28"/>
      <c r="D1598" s="28"/>
      <c r="E1598" s="27"/>
      <c r="F1598" s="6"/>
      <c r="G1598" s="28"/>
      <c r="H1598" s="28"/>
      <c r="I1598" s="98"/>
      <c r="J1598" s="27"/>
      <c r="K1598" s="29"/>
      <c r="L1598" s="29"/>
      <c r="M1598" s="29"/>
      <c r="N1598" s="29"/>
    </row>
    <row r="1599" spans="2:14" x14ac:dyDescent="0.25">
      <c r="B1599" s="27"/>
      <c r="C1599" s="28"/>
      <c r="D1599" s="28"/>
      <c r="E1599" s="27"/>
      <c r="F1599" s="6"/>
      <c r="G1599" s="28"/>
      <c r="H1599" s="28"/>
      <c r="I1599" s="98"/>
      <c r="J1599" s="27"/>
      <c r="K1599" s="29"/>
      <c r="L1599" s="29"/>
      <c r="M1599" s="29"/>
      <c r="N1599" s="29"/>
    </row>
    <row r="1600" spans="2:14" x14ac:dyDescent="0.25">
      <c r="B1600" s="27"/>
      <c r="C1600" s="28"/>
      <c r="D1600" s="28"/>
      <c r="E1600" s="27"/>
      <c r="F1600" s="6"/>
      <c r="G1600" s="28"/>
      <c r="H1600" s="28"/>
      <c r="I1600" s="98"/>
      <c r="J1600" s="27"/>
      <c r="K1600" s="29"/>
      <c r="L1600" s="29"/>
      <c r="M1600" s="29"/>
      <c r="N1600" s="29"/>
    </row>
    <row r="1601" spans="2:14" x14ac:dyDescent="0.25">
      <c r="B1601" s="27"/>
      <c r="C1601" s="28"/>
      <c r="D1601" s="28"/>
      <c r="E1601" s="27"/>
      <c r="F1601" s="6"/>
      <c r="G1601" s="28"/>
      <c r="H1601" s="28"/>
      <c r="I1601" s="98"/>
      <c r="J1601" s="27"/>
      <c r="K1601" s="29"/>
      <c r="L1601" s="29"/>
      <c r="M1601" s="29"/>
      <c r="N1601" s="29"/>
    </row>
    <row r="1602" spans="2:14" x14ac:dyDescent="0.25">
      <c r="B1602" s="27"/>
      <c r="C1602" s="28"/>
      <c r="D1602" s="28"/>
      <c r="E1602" s="27"/>
      <c r="F1602" s="6"/>
      <c r="G1602" s="28"/>
      <c r="H1602" s="28"/>
      <c r="I1602" s="98"/>
      <c r="J1602" s="27"/>
      <c r="K1602" s="29"/>
      <c r="L1602" s="29"/>
      <c r="M1602" s="29"/>
      <c r="N1602" s="29"/>
    </row>
    <row r="1603" spans="2:14" x14ac:dyDescent="0.25">
      <c r="B1603" s="27"/>
      <c r="C1603" s="28"/>
      <c r="D1603" s="28"/>
      <c r="E1603" s="27"/>
      <c r="F1603" s="6"/>
      <c r="G1603" s="28"/>
      <c r="H1603" s="28"/>
      <c r="I1603" s="98"/>
      <c r="J1603" s="27"/>
      <c r="K1603" s="29"/>
      <c r="L1603" s="29"/>
      <c r="M1603" s="29"/>
      <c r="N1603" s="29"/>
    </row>
    <row r="1604" spans="2:14" x14ac:dyDescent="0.25">
      <c r="B1604" s="27"/>
      <c r="C1604" s="28"/>
      <c r="D1604" s="28"/>
      <c r="E1604" s="27"/>
      <c r="F1604" s="6"/>
      <c r="G1604" s="28"/>
      <c r="H1604" s="28"/>
      <c r="I1604" s="98"/>
      <c r="J1604" s="27"/>
      <c r="K1604" s="29"/>
      <c r="L1604" s="29"/>
      <c r="M1604" s="29"/>
      <c r="N1604" s="29"/>
    </row>
    <row r="1605" spans="2:14" x14ac:dyDescent="0.25">
      <c r="B1605" s="27"/>
      <c r="C1605" s="28"/>
      <c r="D1605" s="28"/>
      <c r="E1605" s="27"/>
      <c r="F1605" s="6"/>
      <c r="G1605" s="28"/>
      <c r="H1605" s="28"/>
      <c r="I1605" s="98"/>
      <c r="J1605" s="27"/>
      <c r="K1605" s="29"/>
      <c r="L1605" s="29"/>
      <c r="M1605" s="29"/>
      <c r="N1605" s="29"/>
    </row>
    <row r="1606" spans="2:14" x14ac:dyDescent="0.25">
      <c r="B1606" s="27"/>
      <c r="C1606" s="28"/>
      <c r="D1606" s="28"/>
      <c r="E1606" s="27"/>
      <c r="F1606" s="6"/>
      <c r="G1606" s="28"/>
      <c r="H1606" s="28"/>
      <c r="I1606" s="98"/>
      <c r="J1606" s="27"/>
      <c r="K1606" s="29"/>
      <c r="L1606" s="29"/>
      <c r="M1606" s="29"/>
      <c r="N1606" s="29"/>
    </row>
    <row r="1607" spans="2:14" x14ac:dyDescent="0.25">
      <c r="B1607" s="27"/>
      <c r="C1607" s="28"/>
      <c r="D1607" s="28"/>
      <c r="E1607" s="27"/>
      <c r="F1607" s="6"/>
      <c r="G1607" s="28"/>
      <c r="H1607" s="28"/>
      <c r="I1607" s="98"/>
      <c r="J1607" s="27"/>
      <c r="K1607" s="29"/>
      <c r="L1607" s="29"/>
      <c r="M1607" s="29"/>
      <c r="N1607" s="29"/>
    </row>
    <row r="1608" spans="2:14" x14ac:dyDescent="0.25">
      <c r="B1608" s="27"/>
      <c r="C1608" s="28"/>
      <c r="D1608" s="28"/>
      <c r="E1608" s="27"/>
      <c r="F1608" s="6"/>
      <c r="G1608" s="28"/>
      <c r="H1608" s="28"/>
      <c r="I1608" s="98"/>
      <c r="J1608" s="27"/>
      <c r="K1608" s="29"/>
      <c r="L1608" s="29"/>
      <c r="M1608" s="29"/>
      <c r="N1608" s="29"/>
    </row>
    <row r="1609" spans="2:14" x14ac:dyDescent="0.25">
      <c r="B1609" s="27"/>
      <c r="C1609" s="28"/>
      <c r="D1609" s="28"/>
      <c r="E1609" s="27"/>
      <c r="F1609" s="6"/>
      <c r="G1609" s="28"/>
      <c r="H1609" s="28"/>
      <c r="I1609" s="98"/>
      <c r="J1609" s="27"/>
      <c r="K1609" s="29"/>
      <c r="L1609" s="29"/>
      <c r="M1609" s="29"/>
      <c r="N1609" s="29"/>
    </row>
    <row r="1610" spans="2:14" x14ac:dyDescent="0.25">
      <c r="B1610" s="27"/>
      <c r="C1610" s="28"/>
      <c r="D1610" s="28"/>
      <c r="E1610" s="27"/>
      <c r="F1610" s="6"/>
      <c r="G1610" s="28"/>
      <c r="H1610" s="28"/>
      <c r="I1610" s="98"/>
      <c r="J1610" s="27"/>
      <c r="K1610" s="29"/>
      <c r="L1610" s="29"/>
      <c r="M1610" s="29"/>
      <c r="N1610" s="29"/>
    </row>
    <row r="1611" spans="2:14" x14ac:dyDescent="0.25">
      <c r="B1611" s="27"/>
      <c r="C1611" s="28"/>
      <c r="D1611" s="28"/>
      <c r="E1611" s="27"/>
      <c r="F1611" s="6"/>
      <c r="G1611" s="28"/>
      <c r="H1611" s="28"/>
      <c r="I1611" s="98"/>
      <c r="J1611" s="27"/>
      <c r="K1611" s="29"/>
      <c r="L1611" s="29"/>
      <c r="M1611" s="29"/>
      <c r="N1611" s="29"/>
    </row>
    <row r="1612" spans="2:14" x14ac:dyDescent="0.25">
      <c r="B1612" s="27"/>
      <c r="C1612" s="28"/>
      <c r="D1612" s="28"/>
      <c r="E1612" s="27"/>
      <c r="F1612" s="6"/>
      <c r="G1612" s="28"/>
      <c r="H1612" s="28"/>
      <c r="I1612" s="98"/>
      <c r="J1612" s="27"/>
      <c r="K1612" s="29"/>
      <c r="L1612" s="29"/>
      <c r="M1612" s="29"/>
      <c r="N1612" s="29"/>
    </row>
    <row r="1613" spans="2:14" x14ac:dyDescent="0.25">
      <c r="B1613" s="27"/>
      <c r="C1613" s="28"/>
      <c r="D1613" s="28"/>
      <c r="E1613" s="27"/>
      <c r="F1613" s="6"/>
      <c r="G1613" s="28"/>
      <c r="H1613" s="28"/>
      <c r="I1613" s="98"/>
      <c r="J1613" s="27"/>
      <c r="K1613" s="29"/>
      <c r="L1613" s="29"/>
      <c r="M1613" s="29"/>
      <c r="N1613" s="29"/>
    </row>
    <row r="1614" spans="2:14" x14ac:dyDescent="0.25">
      <c r="B1614" s="27"/>
      <c r="C1614" s="28"/>
      <c r="D1614" s="28"/>
      <c r="E1614" s="27"/>
      <c r="F1614" s="6"/>
      <c r="G1614" s="28"/>
      <c r="H1614" s="28"/>
      <c r="I1614" s="98"/>
      <c r="J1614" s="27"/>
      <c r="K1614" s="29"/>
      <c r="L1614" s="29"/>
      <c r="M1614" s="29"/>
      <c r="N1614" s="29"/>
    </row>
    <row r="1615" spans="2:14" x14ac:dyDescent="0.25">
      <c r="B1615" s="27"/>
      <c r="C1615" s="28"/>
      <c r="D1615" s="28"/>
      <c r="E1615" s="27"/>
      <c r="F1615" s="6"/>
      <c r="G1615" s="28"/>
      <c r="H1615" s="28"/>
      <c r="I1615" s="98"/>
      <c r="J1615" s="27"/>
      <c r="K1615" s="29"/>
      <c r="L1615" s="29"/>
      <c r="M1615" s="29"/>
      <c r="N1615" s="29"/>
    </row>
    <row r="1616" spans="2:14" x14ac:dyDescent="0.25">
      <c r="B1616" s="27"/>
      <c r="C1616" s="28"/>
      <c r="D1616" s="28"/>
      <c r="E1616" s="27"/>
      <c r="F1616" s="6"/>
      <c r="G1616" s="28"/>
      <c r="H1616" s="28"/>
      <c r="I1616" s="98"/>
      <c r="J1616" s="27"/>
      <c r="K1616" s="29"/>
      <c r="L1616" s="29"/>
      <c r="M1616" s="29"/>
      <c r="N1616" s="29"/>
    </row>
    <row r="1617" spans="2:14" x14ac:dyDescent="0.25">
      <c r="B1617" s="27"/>
      <c r="C1617" s="28"/>
      <c r="D1617" s="28"/>
      <c r="E1617" s="27"/>
      <c r="F1617" s="6"/>
      <c r="G1617" s="28"/>
      <c r="H1617" s="28"/>
      <c r="I1617" s="98"/>
      <c r="J1617" s="27"/>
      <c r="K1617" s="29"/>
      <c r="L1617" s="29"/>
      <c r="M1617" s="29"/>
      <c r="N1617" s="29"/>
    </row>
    <row r="1618" spans="2:14" x14ac:dyDescent="0.25">
      <c r="B1618" s="27"/>
      <c r="C1618" s="28"/>
      <c r="D1618" s="28"/>
      <c r="E1618" s="27"/>
      <c r="F1618" s="6"/>
      <c r="G1618" s="28"/>
      <c r="H1618" s="28"/>
      <c r="I1618" s="98"/>
      <c r="J1618" s="27"/>
      <c r="K1618" s="29"/>
      <c r="L1618" s="29"/>
      <c r="M1618" s="29"/>
      <c r="N1618" s="29"/>
    </row>
    <row r="1619" spans="2:14" x14ac:dyDescent="0.25">
      <c r="B1619" s="27"/>
      <c r="C1619" s="28"/>
      <c r="D1619" s="28"/>
      <c r="E1619" s="27"/>
      <c r="F1619" s="6"/>
      <c r="G1619" s="28"/>
      <c r="H1619" s="28"/>
      <c r="I1619" s="98"/>
      <c r="J1619" s="27"/>
      <c r="K1619" s="29"/>
      <c r="L1619" s="29"/>
      <c r="M1619" s="29"/>
      <c r="N1619" s="29"/>
    </row>
    <row r="1620" spans="2:14" x14ac:dyDescent="0.25">
      <c r="B1620" s="27"/>
      <c r="C1620" s="28"/>
      <c r="D1620" s="28"/>
      <c r="E1620" s="27"/>
      <c r="F1620" s="6"/>
      <c r="G1620" s="28"/>
      <c r="H1620" s="28"/>
      <c r="I1620" s="98"/>
      <c r="J1620" s="27"/>
      <c r="K1620" s="29"/>
      <c r="L1620" s="29"/>
      <c r="M1620" s="29"/>
      <c r="N1620" s="29"/>
    </row>
    <row r="1621" spans="2:14" x14ac:dyDescent="0.25">
      <c r="B1621" s="27"/>
      <c r="C1621" s="28"/>
      <c r="D1621" s="28"/>
      <c r="E1621" s="27"/>
      <c r="F1621" s="6"/>
      <c r="G1621" s="28"/>
      <c r="H1621" s="28"/>
      <c r="I1621" s="98"/>
      <c r="J1621" s="27"/>
      <c r="K1621" s="29"/>
      <c r="L1621" s="29"/>
      <c r="M1621" s="29"/>
      <c r="N1621" s="29"/>
    </row>
    <row r="1622" spans="2:14" x14ac:dyDescent="0.25">
      <c r="B1622" s="27"/>
      <c r="C1622" s="28"/>
      <c r="D1622" s="28"/>
      <c r="E1622" s="27"/>
      <c r="F1622" s="6"/>
      <c r="G1622" s="28"/>
      <c r="H1622" s="28"/>
      <c r="I1622" s="98"/>
      <c r="J1622" s="27"/>
      <c r="K1622" s="29"/>
      <c r="L1622" s="29"/>
      <c r="M1622" s="29"/>
      <c r="N1622" s="29"/>
    </row>
    <row r="1623" spans="2:14" x14ac:dyDescent="0.25">
      <c r="B1623" s="27"/>
      <c r="C1623" s="28"/>
      <c r="D1623" s="28"/>
      <c r="E1623" s="27"/>
      <c r="F1623" s="6"/>
      <c r="G1623" s="28"/>
      <c r="H1623" s="28"/>
      <c r="I1623" s="98"/>
      <c r="J1623" s="27"/>
      <c r="K1623" s="29"/>
      <c r="L1623" s="29"/>
      <c r="M1623" s="29"/>
      <c r="N1623" s="29"/>
    </row>
    <row r="1624" spans="2:14" x14ac:dyDescent="0.25">
      <c r="B1624" s="27"/>
      <c r="C1624" s="28"/>
      <c r="D1624" s="28"/>
      <c r="E1624" s="27"/>
      <c r="F1624" s="6"/>
      <c r="G1624" s="28"/>
      <c r="H1624" s="28"/>
      <c r="I1624" s="98"/>
      <c r="J1624" s="27"/>
      <c r="K1624" s="29"/>
      <c r="L1624" s="29"/>
      <c r="M1624" s="29"/>
      <c r="N1624" s="29"/>
    </row>
    <row r="1625" spans="2:14" x14ac:dyDescent="0.25">
      <c r="B1625" s="27"/>
      <c r="C1625" s="28"/>
      <c r="D1625" s="28"/>
      <c r="E1625" s="27"/>
      <c r="F1625" s="6"/>
      <c r="G1625" s="28"/>
      <c r="H1625" s="28"/>
      <c r="I1625" s="98"/>
      <c r="J1625" s="27"/>
      <c r="K1625" s="29"/>
      <c r="L1625" s="29"/>
      <c r="M1625" s="29"/>
      <c r="N1625" s="29"/>
    </row>
    <row r="1626" spans="2:14" x14ac:dyDescent="0.25">
      <c r="B1626" s="27"/>
      <c r="C1626" s="28"/>
      <c r="D1626" s="28"/>
      <c r="E1626" s="27"/>
      <c r="F1626" s="6"/>
      <c r="G1626" s="28"/>
      <c r="H1626" s="28"/>
      <c r="I1626" s="98"/>
      <c r="J1626" s="27"/>
      <c r="K1626" s="29"/>
      <c r="L1626" s="29"/>
      <c r="M1626" s="29"/>
      <c r="N1626" s="29"/>
    </row>
    <row r="1627" spans="2:14" x14ac:dyDescent="0.25">
      <c r="B1627" s="27"/>
      <c r="C1627" s="28"/>
      <c r="D1627" s="28"/>
      <c r="E1627" s="27"/>
      <c r="F1627" s="6"/>
      <c r="G1627" s="28"/>
      <c r="H1627" s="28"/>
      <c r="I1627" s="98"/>
      <c r="J1627" s="27"/>
      <c r="K1627" s="29"/>
      <c r="L1627" s="29"/>
      <c r="M1627" s="29"/>
      <c r="N1627" s="29"/>
    </row>
    <row r="1628" spans="2:14" x14ac:dyDescent="0.25">
      <c r="B1628" s="27"/>
      <c r="C1628" s="28"/>
      <c r="D1628" s="28"/>
      <c r="E1628" s="27"/>
      <c r="F1628" s="6"/>
      <c r="G1628" s="28"/>
      <c r="H1628" s="28"/>
      <c r="I1628" s="98"/>
      <c r="J1628" s="27"/>
      <c r="K1628" s="29"/>
      <c r="L1628" s="29"/>
      <c r="M1628" s="29"/>
      <c r="N1628" s="29"/>
    </row>
    <row r="1629" spans="2:14" x14ac:dyDescent="0.25">
      <c r="B1629" s="27"/>
      <c r="C1629" s="28"/>
      <c r="D1629" s="28"/>
      <c r="E1629" s="27"/>
      <c r="F1629" s="6"/>
      <c r="G1629" s="28"/>
      <c r="H1629" s="28"/>
      <c r="I1629" s="98"/>
      <c r="J1629" s="27"/>
      <c r="K1629" s="29"/>
      <c r="L1629" s="29"/>
      <c r="M1629" s="29"/>
      <c r="N1629" s="29"/>
    </row>
    <row r="1630" spans="2:14" x14ac:dyDescent="0.25">
      <c r="B1630" s="27"/>
      <c r="C1630" s="28"/>
      <c r="D1630" s="28"/>
      <c r="E1630" s="27"/>
      <c r="F1630" s="6"/>
      <c r="G1630" s="28"/>
      <c r="H1630" s="28"/>
      <c r="I1630" s="98"/>
      <c r="J1630" s="27"/>
      <c r="K1630" s="29"/>
      <c r="L1630" s="29"/>
      <c r="M1630" s="29"/>
      <c r="N1630" s="29"/>
    </row>
    <row r="1631" spans="2:14" x14ac:dyDescent="0.25">
      <c r="B1631" s="27"/>
      <c r="C1631" s="28"/>
      <c r="D1631" s="28"/>
      <c r="E1631" s="27"/>
      <c r="F1631" s="6"/>
      <c r="G1631" s="28"/>
      <c r="H1631" s="28"/>
      <c r="I1631" s="98"/>
      <c r="J1631" s="27"/>
      <c r="K1631" s="29"/>
      <c r="L1631" s="29"/>
      <c r="M1631" s="29"/>
      <c r="N1631" s="29"/>
    </row>
    <row r="1632" spans="2:14" x14ac:dyDescent="0.25">
      <c r="B1632" s="27"/>
      <c r="C1632" s="28"/>
      <c r="D1632" s="28"/>
      <c r="E1632" s="27"/>
      <c r="F1632" s="6"/>
      <c r="G1632" s="28"/>
      <c r="H1632" s="28"/>
      <c r="I1632" s="98"/>
      <c r="J1632" s="27"/>
      <c r="K1632" s="29"/>
      <c r="L1632" s="29"/>
      <c r="M1632" s="29"/>
      <c r="N1632" s="29"/>
    </row>
    <row r="1633" spans="2:14" x14ac:dyDescent="0.25">
      <c r="B1633" s="27"/>
      <c r="C1633" s="28"/>
      <c r="D1633" s="28"/>
      <c r="E1633" s="27"/>
      <c r="F1633" s="6"/>
      <c r="G1633" s="28"/>
      <c r="H1633" s="28"/>
      <c r="I1633" s="98"/>
      <c r="J1633" s="27"/>
      <c r="K1633" s="29"/>
      <c r="L1633" s="29"/>
      <c r="M1633" s="29"/>
      <c r="N1633" s="29"/>
    </row>
    <row r="1634" spans="2:14" x14ac:dyDescent="0.25">
      <c r="B1634" s="27"/>
      <c r="C1634" s="28"/>
      <c r="D1634" s="28"/>
      <c r="E1634" s="27"/>
      <c r="F1634" s="6"/>
      <c r="G1634" s="28"/>
      <c r="H1634" s="28"/>
      <c r="I1634" s="98"/>
      <c r="J1634" s="27"/>
      <c r="K1634" s="29"/>
      <c r="L1634" s="29"/>
      <c r="M1634" s="29"/>
      <c r="N1634" s="29"/>
    </row>
    <row r="1635" spans="2:14" x14ac:dyDescent="0.25">
      <c r="B1635" s="27"/>
      <c r="C1635" s="28"/>
      <c r="D1635" s="28"/>
      <c r="E1635" s="27"/>
      <c r="F1635" s="6"/>
      <c r="G1635" s="28"/>
      <c r="H1635" s="28"/>
      <c r="I1635" s="98"/>
      <c r="J1635" s="27"/>
      <c r="K1635" s="29"/>
      <c r="L1635" s="29"/>
      <c r="M1635" s="29"/>
      <c r="N1635" s="29"/>
    </row>
    <row r="1636" spans="2:14" x14ac:dyDescent="0.25">
      <c r="B1636" s="27"/>
      <c r="C1636" s="28"/>
      <c r="D1636" s="28"/>
      <c r="E1636" s="27"/>
      <c r="F1636" s="6"/>
      <c r="G1636" s="28"/>
      <c r="H1636" s="28"/>
      <c r="I1636" s="98"/>
      <c r="J1636" s="27"/>
      <c r="K1636" s="29"/>
      <c r="L1636" s="29"/>
      <c r="M1636" s="29"/>
      <c r="N1636" s="29"/>
    </row>
    <row r="1637" spans="2:14" x14ac:dyDescent="0.25">
      <c r="B1637" s="27"/>
      <c r="C1637" s="28"/>
      <c r="D1637" s="28"/>
      <c r="E1637" s="27"/>
      <c r="F1637" s="6"/>
      <c r="G1637" s="28"/>
      <c r="H1637" s="28"/>
      <c r="I1637" s="98"/>
      <c r="J1637" s="27"/>
      <c r="K1637" s="29"/>
      <c r="L1637" s="29"/>
      <c r="M1637" s="29"/>
      <c r="N1637" s="29"/>
    </row>
    <row r="1638" spans="2:14" x14ac:dyDescent="0.25">
      <c r="B1638" s="27"/>
      <c r="C1638" s="28"/>
      <c r="D1638" s="28"/>
      <c r="E1638" s="27"/>
      <c r="F1638" s="6"/>
      <c r="G1638" s="28"/>
      <c r="H1638" s="28"/>
      <c r="I1638" s="98"/>
      <c r="J1638" s="27"/>
      <c r="K1638" s="29"/>
      <c r="L1638" s="29"/>
      <c r="M1638" s="29"/>
      <c r="N1638" s="29"/>
    </row>
    <row r="1639" spans="2:14" x14ac:dyDescent="0.25">
      <c r="B1639" s="27"/>
      <c r="C1639" s="28"/>
      <c r="D1639" s="28"/>
      <c r="E1639" s="27"/>
      <c r="F1639" s="6"/>
      <c r="G1639" s="28"/>
      <c r="H1639" s="28"/>
      <c r="I1639" s="98"/>
      <c r="J1639" s="27"/>
      <c r="K1639" s="29"/>
      <c r="L1639" s="29"/>
      <c r="M1639" s="29"/>
      <c r="N1639" s="29"/>
    </row>
    <row r="1640" spans="2:14" x14ac:dyDescent="0.25">
      <c r="B1640" s="27"/>
      <c r="C1640" s="28"/>
      <c r="D1640" s="28"/>
      <c r="E1640" s="27"/>
      <c r="F1640" s="6"/>
      <c r="G1640" s="28"/>
      <c r="H1640" s="28"/>
      <c r="I1640" s="98"/>
      <c r="J1640" s="27"/>
      <c r="K1640" s="29"/>
      <c r="L1640" s="29"/>
      <c r="M1640" s="29"/>
      <c r="N1640" s="29"/>
    </row>
    <row r="1641" spans="2:14" x14ac:dyDescent="0.25">
      <c r="B1641" s="27"/>
      <c r="C1641" s="28"/>
      <c r="D1641" s="28"/>
      <c r="E1641" s="27"/>
      <c r="F1641" s="6"/>
      <c r="G1641" s="28"/>
      <c r="H1641" s="28"/>
      <c r="I1641" s="98"/>
      <c r="J1641" s="27"/>
      <c r="K1641" s="29"/>
      <c r="L1641" s="29"/>
      <c r="M1641" s="29"/>
      <c r="N1641" s="29"/>
    </row>
    <row r="1642" spans="2:14" x14ac:dyDescent="0.25">
      <c r="B1642" s="27"/>
      <c r="C1642" s="28"/>
      <c r="D1642" s="28"/>
      <c r="E1642" s="27"/>
      <c r="F1642" s="6"/>
      <c r="G1642" s="28"/>
      <c r="H1642" s="28"/>
      <c r="I1642" s="98"/>
      <c r="J1642" s="27"/>
      <c r="K1642" s="29"/>
      <c r="L1642" s="29"/>
      <c r="M1642" s="29"/>
      <c r="N1642" s="29"/>
    </row>
    <row r="1643" spans="2:14" x14ac:dyDescent="0.25">
      <c r="B1643" s="27"/>
      <c r="C1643" s="28"/>
      <c r="D1643" s="28"/>
      <c r="E1643" s="27"/>
      <c r="F1643" s="6"/>
      <c r="G1643" s="28"/>
      <c r="H1643" s="28"/>
      <c r="I1643" s="98"/>
      <c r="J1643" s="27"/>
      <c r="K1643" s="29"/>
      <c r="L1643" s="29"/>
      <c r="M1643" s="29"/>
      <c r="N1643" s="29"/>
    </row>
    <row r="1644" spans="2:14" x14ac:dyDescent="0.25">
      <c r="B1644" s="27"/>
      <c r="C1644" s="28"/>
      <c r="D1644" s="28"/>
      <c r="E1644" s="27"/>
      <c r="F1644" s="6"/>
      <c r="G1644" s="28"/>
      <c r="H1644" s="28"/>
      <c r="I1644" s="98"/>
      <c r="J1644" s="27"/>
      <c r="K1644" s="29"/>
      <c r="L1644" s="29"/>
      <c r="M1644" s="29"/>
      <c r="N1644" s="29"/>
    </row>
    <row r="1645" spans="2:14" x14ac:dyDescent="0.25">
      <c r="B1645" s="27"/>
      <c r="C1645" s="28"/>
      <c r="D1645" s="28"/>
      <c r="E1645" s="27"/>
      <c r="F1645" s="6"/>
      <c r="G1645" s="28"/>
      <c r="H1645" s="28"/>
      <c r="I1645" s="98"/>
      <c r="J1645" s="27"/>
      <c r="K1645" s="29"/>
      <c r="L1645" s="29"/>
      <c r="M1645" s="29"/>
      <c r="N1645" s="29"/>
    </row>
    <row r="1646" spans="2:14" x14ac:dyDescent="0.25">
      <c r="B1646" s="27"/>
      <c r="C1646" s="28"/>
      <c r="D1646" s="28"/>
      <c r="E1646" s="27"/>
      <c r="F1646" s="6"/>
      <c r="G1646" s="28"/>
      <c r="H1646" s="28"/>
      <c r="I1646" s="98"/>
      <c r="J1646" s="27"/>
      <c r="K1646" s="29"/>
      <c r="L1646" s="29"/>
      <c r="M1646" s="29"/>
      <c r="N1646" s="29"/>
    </row>
    <row r="1647" spans="2:14" x14ac:dyDescent="0.25">
      <c r="B1647" s="27"/>
      <c r="C1647" s="28"/>
      <c r="D1647" s="28"/>
      <c r="E1647" s="27"/>
      <c r="F1647" s="6"/>
      <c r="G1647" s="28"/>
      <c r="H1647" s="28"/>
      <c r="I1647" s="98"/>
      <c r="J1647" s="27"/>
      <c r="K1647" s="29"/>
      <c r="L1647" s="29"/>
      <c r="M1647" s="29"/>
      <c r="N1647" s="29"/>
    </row>
    <row r="1648" spans="2:14" x14ac:dyDescent="0.25">
      <c r="B1648" s="27"/>
      <c r="C1648" s="28"/>
      <c r="D1648" s="28"/>
      <c r="E1648" s="27"/>
      <c r="F1648" s="6"/>
      <c r="G1648" s="28"/>
      <c r="H1648" s="28"/>
      <c r="I1648" s="98"/>
      <c r="J1648" s="27"/>
      <c r="K1648" s="29"/>
      <c r="L1648" s="29"/>
      <c r="M1648" s="29"/>
      <c r="N1648" s="29"/>
    </row>
    <row r="1649" spans="2:14" x14ac:dyDescent="0.25">
      <c r="B1649" s="27"/>
      <c r="C1649" s="28"/>
      <c r="D1649" s="28"/>
      <c r="E1649" s="27"/>
      <c r="F1649" s="6"/>
      <c r="G1649" s="28"/>
      <c r="H1649" s="28"/>
      <c r="I1649" s="98"/>
      <c r="J1649" s="27"/>
      <c r="K1649" s="29"/>
      <c r="L1649" s="29"/>
      <c r="M1649" s="29"/>
      <c r="N1649" s="29"/>
    </row>
    <row r="1650" spans="2:14" x14ac:dyDescent="0.25">
      <c r="B1650" s="27"/>
      <c r="C1650" s="28"/>
      <c r="D1650" s="28"/>
      <c r="E1650" s="27"/>
      <c r="F1650" s="6"/>
      <c r="G1650" s="28"/>
      <c r="H1650" s="28"/>
      <c r="I1650" s="98"/>
      <c r="J1650" s="27"/>
      <c r="K1650" s="29"/>
      <c r="L1650" s="29"/>
      <c r="M1650" s="29"/>
      <c r="N1650" s="29"/>
    </row>
    <row r="1651" spans="2:14" x14ac:dyDescent="0.25">
      <c r="B1651" s="27"/>
      <c r="C1651" s="28"/>
      <c r="D1651" s="28"/>
      <c r="E1651" s="27"/>
      <c r="F1651" s="6"/>
      <c r="G1651" s="28"/>
      <c r="H1651" s="28"/>
      <c r="I1651" s="98"/>
      <c r="J1651" s="27"/>
      <c r="K1651" s="29"/>
      <c r="L1651" s="29"/>
      <c r="M1651" s="29"/>
      <c r="N1651" s="29"/>
    </row>
    <row r="1652" spans="2:14" x14ac:dyDescent="0.25">
      <c r="B1652" s="27"/>
      <c r="C1652" s="28"/>
      <c r="D1652" s="28"/>
      <c r="E1652" s="27"/>
      <c r="F1652" s="6"/>
      <c r="G1652" s="28"/>
      <c r="H1652" s="28"/>
      <c r="I1652" s="98"/>
      <c r="J1652" s="27"/>
      <c r="K1652" s="29"/>
      <c r="L1652" s="29"/>
      <c r="M1652" s="29"/>
      <c r="N1652" s="29"/>
    </row>
    <row r="1653" spans="2:14" x14ac:dyDescent="0.25">
      <c r="B1653" s="27"/>
      <c r="C1653" s="28"/>
      <c r="D1653" s="28"/>
      <c r="E1653" s="27"/>
      <c r="F1653" s="6"/>
      <c r="G1653" s="28"/>
      <c r="H1653" s="28"/>
      <c r="I1653" s="98"/>
      <c r="J1653" s="27"/>
      <c r="K1653" s="29"/>
      <c r="L1653" s="29"/>
      <c r="M1653" s="29"/>
      <c r="N1653" s="29"/>
    </row>
    <row r="1654" spans="2:14" x14ac:dyDescent="0.25">
      <c r="B1654" s="27"/>
      <c r="C1654" s="28"/>
      <c r="D1654" s="28"/>
      <c r="E1654" s="27"/>
      <c r="F1654" s="6"/>
      <c r="G1654" s="28"/>
      <c r="H1654" s="28"/>
      <c r="I1654" s="98"/>
      <c r="J1654" s="27"/>
      <c r="K1654" s="29"/>
      <c r="L1654" s="29"/>
      <c r="M1654" s="29"/>
      <c r="N1654" s="29"/>
    </row>
    <row r="1655" spans="2:14" x14ac:dyDescent="0.25">
      <c r="B1655" s="27"/>
      <c r="C1655" s="28"/>
      <c r="D1655" s="28"/>
      <c r="E1655" s="27"/>
      <c r="F1655" s="6"/>
      <c r="G1655" s="28"/>
      <c r="H1655" s="28"/>
      <c r="I1655" s="98"/>
      <c r="J1655" s="27"/>
      <c r="K1655" s="29"/>
      <c r="L1655" s="29"/>
      <c r="M1655" s="29"/>
      <c r="N1655" s="29"/>
    </row>
    <row r="1656" spans="2:14" x14ac:dyDescent="0.25">
      <c r="B1656" s="27"/>
      <c r="C1656" s="28"/>
      <c r="D1656" s="28"/>
      <c r="E1656" s="27"/>
      <c r="F1656" s="6"/>
      <c r="G1656" s="28"/>
      <c r="H1656" s="28"/>
      <c r="I1656" s="98"/>
      <c r="J1656" s="27"/>
      <c r="K1656" s="29"/>
      <c r="L1656" s="29"/>
      <c r="M1656" s="29"/>
      <c r="N1656" s="29"/>
    </row>
    <row r="1657" spans="2:14" x14ac:dyDescent="0.25">
      <c r="B1657" s="27"/>
      <c r="C1657" s="28"/>
      <c r="D1657" s="28"/>
      <c r="E1657" s="27"/>
      <c r="F1657" s="6"/>
      <c r="G1657" s="28"/>
      <c r="H1657" s="28"/>
      <c r="I1657" s="98"/>
      <c r="J1657" s="27"/>
      <c r="K1657" s="29"/>
      <c r="L1657" s="29"/>
      <c r="M1657" s="29"/>
      <c r="N1657" s="29"/>
    </row>
    <row r="1658" spans="2:14" x14ac:dyDescent="0.25">
      <c r="B1658" s="27"/>
      <c r="C1658" s="28"/>
      <c r="D1658" s="28"/>
      <c r="E1658" s="27"/>
      <c r="F1658" s="6"/>
      <c r="G1658" s="28"/>
      <c r="H1658" s="28"/>
      <c r="I1658" s="98"/>
      <c r="J1658" s="27"/>
      <c r="K1658" s="29"/>
      <c r="L1658" s="29"/>
      <c r="M1658" s="29"/>
      <c r="N1658" s="29"/>
    </row>
    <row r="1659" spans="2:14" x14ac:dyDescent="0.25">
      <c r="B1659" s="27"/>
      <c r="C1659" s="28"/>
      <c r="D1659" s="28"/>
      <c r="E1659" s="27"/>
      <c r="F1659" s="6"/>
      <c r="G1659" s="28"/>
      <c r="H1659" s="28"/>
      <c r="I1659" s="98"/>
      <c r="J1659" s="27"/>
      <c r="K1659" s="29"/>
      <c r="L1659" s="29"/>
      <c r="M1659" s="29"/>
      <c r="N1659" s="29"/>
    </row>
    <row r="1660" spans="2:14" x14ac:dyDescent="0.25">
      <c r="B1660" s="27"/>
      <c r="C1660" s="28"/>
      <c r="D1660" s="28"/>
      <c r="E1660" s="27"/>
      <c r="F1660" s="6"/>
      <c r="G1660" s="28"/>
      <c r="H1660" s="28"/>
      <c r="I1660" s="98"/>
      <c r="J1660" s="27"/>
      <c r="K1660" s="29"/>
      <c r="L1660" s="29"/>
      <c r="M1660" s="29"/>
      <c r="N1660" s="29"/>
    </row>
    <row r="1661" spans="2:14" x14ac:dyDescent="0.25">
      <c r="B1661" s="27"/>
      <c r="C1661" s="28"/>
      <c r="D1661" s="28"/>
      <c r="E1661" s="27"/>
      <c r="F1661" s="6"/>
      <c r="G1661" s="28"/>
      <c r="H1661" s="28"/>
      <c r="I1661" s="98"/>
      <c r="J1661" s="27"/>
      <c r="K1661" s="29"/>
      <c r="L1661" s="29"/>
      <c r="M1661" s="29"/>
      <c r="N1661" s="29"/>
    </row>
    <row r="1662" spans="2:14" x14ac:dyDescent="0.25">
      <c r="B1662" s="27"/>
      <c r="C1662" s="28"/>
      <c r="D1662" s="28"/>
      <c r="E1662" s="27"/>
      <c r="F1662" s="6"/>
      <c r="G1662" s="28"/>
      <c r="H1662" s="28"/>
      <c r="I1662" s="98"/>
      <c r="J1662" s="27"/>
      <c r="K1662" s="29"/>
      <c r="L1662" s="29"/>
      <c r="M1662" s="29"/>
      <c r="N1662" s="29"/>
    </row>
    <row r="1663" spans="2:14" x14ac:dyDescent="0.25">
      <c r="B1663" s="27"/>
      <c r="C1663" s="28"/>
      <c r="D1663" s="28"/>
      <c r="E1663" s="27"/>
      <c r="F1663" s="6"/>
      <c r="G1663" s="28"/>
      <c r="H1663" s="28"/>
      <c r="I1663" s="98"/>
      <c r="J1663" s="27"/>
      <c r="K1663" s="29"/>
      <c r="L1663" s="29"/>
      <c r="M1663" s="29"/>
      <c r="N1663" s="29"/>
    </row>
    <row r="1664" spans="2:14" x14ac:dyDescent="0.25">
      <c r="B1664" s="27"/>
      <c r="C1664" s="28"/>
      <c r="D1664" s="28"/>
      <c r="E1664" s="27"/>
      <c r="F1664" s="6"/>
      <c r="G1664" s="28"/>
      <c r="H1664" s="28"/>
      <c r="I1664" s="98"/>
      <c r="J1664" s="27"/>
      <c r="K1664" s="29"/>
      <c r="L1664" s="29"/>
      <c r="M1664" s="29"/>
      <c r="N1664" s="29"/>
    </row>
    <row r="1665" spans="2:14" x14ac:dyDescent="0.25">
      <c r="B1665" s="27"/>
      <c r="C1665" s="28"/>
      <c r="D1665" s="28"/>
      <c r="E1665" s="27"/>
      <c r="F1665" s="6"/>
      <c r="G1665" s="28"/>
      <c r="H1665" s="28"/>
      <c r="I1665" s="98"/>
      <c r="J1665" s="27"/>
      <c r="K1665" s="29"/>
      <c r="L1665" s="29"/>
      <c r="M1665" s="29"/>
      <c r="N1665" s="29"/>
    </row>
    <row r="1666" spans="2:14" x14ac:dyDescent="0.25">
      <c r="B1666" s="27"/>
      <c r="C1666" s="28"/>
      <c r="D1666" s="28"/>
      <c r="E1666" s="27"/>
      <c r="F1666" s="6"/>
      <c r="G1666" s="28"/>
      <c r="H1666" s="28"/>
      <c r="I1666" s="98"/>
      <c r="J1666" s="27"/>
      <c r="K1666" s="29"/>
      <c r="L1666" s="29"/>
      <c r="M1666" s="29"/>
      <c r="N1666" s="29"/>
    </row>
    <row r="1667" spans="2:14" x14ac:dyDescent="0.25">
      <c r="B1667" s="27"/>
      <c r="C1667" s="28"/>
      <c r="D1667" s="28"/>
      <c r="E1667" s="27"/>
      <c r="F1667" s="6"/>
      <c r="G1667" s="28"/>
      <c r="H1667" s="28"/>
      <c r="I1667" s="98"/>
      <c r="J1667" s="27"/>
      <c r="K1667" s="29"/>
      <c r="L1667" s="29"/>
      <c r="M1667" s="29"/>
      <c r="N1667" s="29"/>
    </row>
    <row r="1668" spans="2:14" x14ac:dyDescent="0.25">
      <c r="B1668" s="27"/>
      <c r="C1668" s="28"/>
      <c r="D1668" s="28"/>
      <c r="E1668" s="27"/>
      <c r="F1668" s="6"/>
      <c r="G1668" s="28"/>
      <c r="H1668" s="28"/>
      <c r="I1668" s="98"/>
      <c r="J1668" s="27"/>
      <c r="K1668" s="29"/>
      <c r="L1668" s="29"/>
      <c r="M1668" s="29"/>
      <c r="N1668" s="29"/>
    </row>
    <row r="1669" spans="2:14" x14ac:dyDescent="0.25">
      <c r="B1669" s="27"/>
      <c r="C1669" s="28"/>
      <c r="D1669" s="28"/>
      <c r="E1669" s="27"/>
      <c r="F1669" s="6"/>
      <c r="G1669" s="28"/>
      <c r="H1669" s="28"/>
      <c r="I1669" s="98"/>
      <c r="J1669" s="27"/>
      <c r="K1669" s="29"/>
      <c r="L1669" s="29"/>
      <c r="M1669" s="29"/>
      <c r="N1669" s="29"/>
    </row>
    <row r="1670" spans="2:14" x14ac:dyDescent="0.25">
      <c r="B1670" s="27"/>
      <c r="C1670" s="28"/>
      <c r="D1670" s="28"/>
      <c r="E1670" s="27"/>
      <c r="F1670" s="6"/>
      <c r="G1670" s="28"/>
      <c r="H1670" s="28"/>
      <c r="I1670" s="98"/>
      <c r="J1670" s="27"/>
      <c r="K1670" s="29"/>
      <c r="L1670" s="29"/>
      <c r="M1670" s="29"/>
      <c r="N1670" s="29"/>
    </row>
    <row r="1671" spans="2:14" x14ac:dyDescent="0.25">
      <c r="B1671" s="27"/>
      <c r="C1671" s="28"/>
      <c r="D1671" s="28"/>
      <c r="E1671" s="27"/>
      <c r="F1671" s="6"/>
      <c r="G1671" s="28"/>
      <c r="H1671" s="28"/>
      <c r="I1671" s="98"/>
      <c r="J1671" s="27"/>
      <c r="K1671" s="29"/>
      <c r="L1671" s="29"/>
      <c r="M1671" s="29"/>
      <c r="N1671" s="29"/>
    </row>
    <row r="1672" spans="2:14" x14ac:dyDescent="0.25">
      <c r="B1672" s="27"/>
      <c r="C1672" s="28"/>
      <c r="D1672" s="28"/>
      <c r="E1672" s="27"/>
      <c r="F1672" s="6"/>
      <c r="G1672" s="28"/>
      <c r="H1672" s="28"/>
      <c r="I1672" s="98"/>
      <c r="J1672" s="27"/>
      <c r="K1672" s="29"/>
      <c r="L1672" s="29"/>
      <c r="M1672" s="29"/>
      <c r="N1672" s="29"/>
    </row>
    <row r="1673" spans="2:14" x14ac:dyDescent="0.25">
      <c r="B1673" s="27"/>
      <c r="C1673" s="28"/>
      <c r="D1673" s="28"/>
      <c r="E1673" s="27"/>
      <c r="F1673" s="6"/>
      <c r="G1673" s="28"/>
      <c r="H1673" s="28"/>
      <c r="I1673" s="98"/>
      <c r="J1673" s="27"/>
      <c r="K1673" s="29"/>
      <c r="L1673" s="29"/>
      <c r="M1673" s="29"/>
      <c r="N1673" s="29"/>
    </row>
    <row r="1674" spans="2:14" x14ac:dyDescent="0.25">
      <c r="B1674" s="27"/>
      <c r="C1674" s="28"/>
      <c r="D1674" s="28"/>
      <c r="E1674" s="27"/>
      <c r="F1674" s="6"/>
      <c r="G1674" s="28"/>
      <c r="H1674" s="28"/>
      <c r="I1674" s="98"/>
      <c r="J1674" s="27"/>
      <c r="K1674" s="29"/>
      <c r="L1674" s="29"/>
      <c r="M1674" s="29"/>
      <c r="N1674" s="29"/>
    </row>
    <row r="1675" spans="2:14" x14ac:dyDescent="0.25">
      <c r="B1675" s="27"/>
      <c r="C1675" s="28"/>
      <c r="D1675" s="28"/>
      <c r="E1675" s="27"/>
      <c r="F1675" s="6"/>
      <c r="G1675" s="28"/>
      <c r="H1675" s="28"/>
      <c r="I1675" s="98"/>
      <c r="J1675" s="27"/>
      <c r="K1675" s="29"/>
      <c r="L1675" s="29"/>
      <c r="M1675" s="29"/>
      <c r="N1675" s="29"/>
    </row>
    <row r="1676" spans="2:14" x14ac:dyDescent="0.25">
      <c r="B1676" s="27"/>
      <c r="C1676" s="28"/>
      <c r="D1676" s="28"/>
      <c r="E1676" s="27"/>
      <c r="F1676" s="6"/>
      <c r="G1676" s="28"/>
      <c r="H1676" s="28"/>
      <c r="I1676" s="98"/>
      <c r="J1676" s="27"/>
      <c r="K1676" s="29"/>
      <c r="L1676" s="29"/>
      <c r="M1676" s="29"/>
      <c r="N1676" s="29"/>
    </row>
    <row r="1677" spans="2:14" x14ac:dyDescent="0.25">
      <c r="B1677" s="27"/>
      <c r="C1677" s="28"/>
      <c r="D1677" s="28"/>
      <c r="E1677" s="27"/>
      <c r="F1677" s="6"/>
      <c r="G1677" s="28"/>
      <c r="H1677" s="28"/>
      <c r="I1677" s="98"/>
      <c r="J1677" s="27"/>
      <c r="K1677" s="29"/>
      <c r="L1677" s="29"/>
      <c r="M1677" s="29"/>
      <c r="N1677" s="29"/>
    </row>
    <row r="1678" spans="2:14" x14ac:dyDescent="0.25">
      <c r="B1678" s="27"/>
      <c r="C1678" s="28"/>
      <c r="D1678" s="28"/>
      <c r="E1678" s="27"/>
      <c r="F1678" s="6"/>
      <c r="G1678" s="28"/>
      <c r="H1678" s="28"/>
      <c r="I1678" s="98"/>
      <c r="J1678" s="27"/>
      <c r="K1678" s="29"/>
      <c r="L1678" s="29"/>
      <c r="M1678" s="29"/>
      <c r="N1678" s="29"/>
    </row>
    <row r="1679" spans="2:14" x14ac:dyDescent="0.25">
      <c r="B1679" s="27"/>
      <c r="C1679" s="28"/>
      <c r="D1679" s="28"/>
      <c r="E1679" s="27"/>
      <c r="F1679" s="6"/>
      <c r="G1679" s="28"/>
      <c r="H1679" s="28"/>
      <c r="I1679" s="98"/>
      <c r="J1679" s="27"/>
      <c r="K1679" s="29"/>
      <c r="L1679" s="29"/>
      <c r="M1679" s="29"/>
      <c r="N1679" s="29"/>
    </row>
    <row r="1680" spans="2:14" x14ac:dyDescent="0.25">
      <c r="B1680" s="27"/>
      <c r="C1680" s="28"/>
      <c r="D1680" s="28"/>
      <c r="E1680" s="27"/>
      <c r="F1680" s="6"/>
      <c r="G1680" s="28"/>
      <c r="H1680" s="28"/>
      <c r="I1680" s="98"/>
      <c r="J1680" s="27"/>
      <c r="K1680" s="29"/>
      <c r="L1680" s="29"/>
      <c r="M1680" s="29"/>
      <c r="N1680" s="29"/>
    </row>
    <row r="1681" spans="2:14" x14ac:dyDescent="0.25">
      <c r="B1681" s="27"/>
      <c r="C1681" s="28"/>
      <c r="D1681" s="28"/>
      <c r="E1681" s="27"/>
      <c r="F1681" s="6"/>
      <c r="G1681" s="28"/>
      <c r="H1681" s="28"/>
      <c r="I1681" s="98"/>
      <c r="J1681" s="27"/>
      <c r="K1681" s="29"/>
      <c r="L1681" s="29"/>
      <c r="M1681" s="29"/>
      <c r="N1681" s="29"/>
    </row>
    <row r="1682" spans="2:14" x14ac:dyDescent="0.25">
      <c r="B1682" s="27"/>
      <c r="C1682" s="28"/>
      <c r="D1682" s="28"/>
      <c r="E1682" s="27"/>
      <c r="F1682" s="6"/>
      <c r="G1682" s="28"/>
      <c r="H1682" s="28"/>
      <c r="I1682" s="98"/>
      <c r="J1682" s="27"/>
      <c r="K1682" s="29"/>
      <c r="L1682" s="29"/>
      <c r="M1682" s="29"/>
      <c r="N1682" s="29"/>
    </row>
    <row r="1683" spans="2:14" x14ac:dyDescent="0.25">
      <c r="B1683" s="27"/>
      <c r="C1683" s="28"/>
      <c r="D1683" s="28"/>
      <c r="E1683" s="27"/>
      <c r="F1683" s="6"/>
      <c r="G1683" s="28"/>
      <c r="H1683" s="28"/>
      <c r="I1683" s="98"/>
      <c r="J1683" s="27"/>
      <c r="K1683" s="29"/>
      <c r="L1683" s="29"/>
      <c r="M1683" s="29"/>
      <c r="N1683" s="29"/>
    </row>
    <row r="1684" spans="2:14" x14ac:dyDescent="0.25">
      <c r="B1684" s="27"/>
      <c r="C1684" s="28"/>
      <c r="D1684" s="28"/>
      <c r="E1684" s="27"/>
      <c r="F1684" s="6"/>
      <c r="G1684" s="28"/>
      <c r="H1684" s="28"/>
      <c r="I1684" s="98"/>
      <c r="J1684" s="27"/>
      <c r="K1684" s="29"/>
      <c r="L1684" s="29"/>
      <c r="M1684" s="29"/>
      <c r="N1684" s="29"/>
    </row>
    <row r="1685" spans="2:14" x14ac:dyDescent="0.25">
      <c r="B1685" s="27"/>
      <c r="C1685" s="28"/>
      <c r="D1685" s="28"/>
      <c r="E1685" s="27"/>
      <c r="F1685" s="6"/>
      <c r="G1685" s="28"/>
      <c r="H1685" s="28"/>
      <c r="I1685" s="98"/>
      <c r="J1685" s="27"/>
      <c r="K1685" s="29"/>
      <c r="L1685" s="29"/>
      <c r="M1685" s="29"/>
      <c r="N1685" s="29"/>
    </row>
    <row r="1686" spans="2:14" x14ac:dyDescent="0.25">
      <c r="B1686" s="27"/>
      <c r="C1686" s="28"/>
      <c r="D1686" s="28"/>
      <c r="E1686" s="27"/>
      <c r="F1686" s="6"/>
      <c r="G1686" s="28"/>
      <c r="H1686" s="28"/>
      <c r="I1686" s="98"/>
      <c r="J1686" s="27"/>
      <c r="K1686" s="29"/>
      <c r="L1686" s="29"/>
      <c r="M1686" s="29"/>
      <c r="N1686" s="29"/>
    </row>
    <row r="1687" spans="2:14" x14ac:dyDescent="0.25">
      <c r="B1687" s="27"/>
      <c r="C1687" s="28"/>
      <c r="D1687" s="28"/>
      <c r="E1687" s="27"/>
      <c r="F1687" s="6"/>
      <c r="G1687" s="28"/>
      <c r="H1687" s="28"/>
      <c r="I1687" s="98"/>
      <c r="J1687" s="27"/>
      <c r="K1687" s="29"/>
      <c r="L1687" s="29"/>
      <c r="M1687" s="29"/>
      <c r="N1687" s="29"/>
    </row>
    <row r="1688" spans="2:14" x14ac:dyDescent="0.25">
      <c r="B1688" s="27"/>
      <c r="C1688" s="28"/>
      <c r="D1688" s="28"/>
      <c r="E1688" s="27"/>
      <c r="F1688" s="6"/>
      <c r="G1688" s="28"/>
      <c r="H1688" s="28"/>
      <c r="I1688" s="98"/>
      <c r="J1688" s="27"/>
      <c r="K1688" s="29"/>
      <c r="L1688" s="29"/>
      <c r="M1688" s="29"/>
      <c r="N1688" s="29"/>
    </row>
    <row r="1689" spans="2:14" x14ac:dyDescent="0.25">
      <c r="B1689" s="27"/>
      <c r="C1689" s="28"/>
      <c r="D1689" s="28"/>
      <c r="E1689" s="27"/>
      <c r="F1689" s="6"/>
      <c r="G1689" s="28"/>
      <c r="H1689" s="28"/>
      <c r="I1689" s="98"/>
      <c r="J1689" s="27"/>
      <c r="K1689" s="29"/>
      <c r="L1689" s="29"/>
      <c r="M1689" s="29"/>
      <c r="N1689" s="29"/>
    </row>
    <row r="1690" spans="2:14" x14ac:dyDescent="0.25">
      <c r="B1690" s="27"/>
      <c r="C1690" s="28"/>
      <c r="D1690" s="28"/>
      <c r="E1690" s="27"/>
      <c r="F1690" s="6"/>
      <c r="G1690" s="28"/>
      <c r="H1690" s="28"/>
      <c r="I1690" s="98"/>
      <c r="J1690" s="27"/>
      <c r="K1690" s="29"/>
      <c r="L1690" s="29"/>
      <c r="M1690" s="29"/>
      <c r="N1690" s="29"/>
    </row>
    <row r="1691" spans="2:14" x14ac:dyDescent="0.25">
      <c r="B1691" s="27"/>
      <c r="C1691" s="28"/>
      <c r="D1691" s="28"/>
      <c r="E1691" s="27"/>
      <c r="F1691" s="6"/>
      <c r="G1691" s="28"/>
      <c r="H1691" s="28"/>
      <c r="I1691" s="98"/>
      <c r="J1691" s="27"/>
      <c r="K1691" s="29"/>
      <c r="L1691" s="29"/>
      <c r="M1691" s="29"/>
      <c r="N1691" s="29"/>
    </row>
    <row r="1692" spans="2:14" x14ac:dyDescent="0.25">
      <c r="B1692" s="27"/>
      <c r="C1692" s="28"/>
      <c r="D1692" s="28"/>
      <c r="E1692" s="27"/>
      <c r="F1692" s="6"/>
      <c r="G1692" s="28"/>
      <c r="H1692" s="28"/>
      <c r="I1692" s="98"/>
      <c r="J1692" s="27"/>
      <c r="K1692" s="29"/>
      <c r="L1692" s="29"/>
      <c r="M1692" s="29"/>
      <c r="N1692" s="29"/>
    </row>
    <row r="1693" spans="2:14" x14ac:dyDescent="0.25">
      <c r="B1693" s="27"/>
      <c r="C1693" s="28"/>
      <c r="D1693" s="28"/>
      <c r="E1693" s="27"/>
      <c r="F1693" s="6"/>
      <c r="G1693" s="28"/>
      <c r="H1693" s="28"/>
      <c r="I1693" s="98"/>
      <c r="J1693" s="27"/>
      <c r="K1693" s="29"/>
      <c r="L1693" s="29"/>
      <c r="M1693" s="29"/>
      <c r="N1693" s="29"/>
    </row>
    <row r="1694" spans="2:14" x14ac:dyDescent="0.25">
      <c r="B1694" s="27"/>
      <c r="C1694" s="28"/>
      <c r="D1694" s="28"/>
      <c r="E1694" s="27"/>
      <c r="F1694" s="6"/>
      <c r="G1694" s="28"/>
      <c r="H1694" s="28"/>
      <c r="I1694" s="98"/>
      <c r="J1694" s="27"/>
      <c r="K1694" s="29"/>
      <c r="L1694" s="29"/>
      <c r="M1694" s="29"/>
      <c r="N1694" s="29"/>
    </row>
    <row r="1695" spans="2:14" x14ac:dyDescent="0.25">
      <c r="B1695" s="27"/>
      <c r="C1695" s="28"/>
      <c r="D1695" s="28"/>
      <c r="E1695" s="27"/>
      <c r="F1695" s="6"/>
      <c r="G1695" s="28"/>
      <c r="H1695" s="28"/>
      <c r="I1695" s="98"/>
      <c r="J1695" s="27"/>
      <c r="K1695" s="29"/>
      <c r="L1695" s="29"/>
      <c r="M1695" s="29"/>
      <c r="N1695" s="29"/>
    </row>
    <row r="1696" spans="2:14" x14ac:dyDescent="0.25">
      <c r="B1696" s="27"/>
      <c r="C1696" s="28"/>
      <c r="D1696" s="28"/>
      <c r="E1696" s="27"/>
      <c r="F1696" s="6"/>
      <c r="G1696" s="28"/>
      <c r="H1696" s="28"/>
      <c r="I1696" s="98"/>
      <c r="J1696" s="27"/>
      <c r="K1696" s="29"/>
      <c r="L1696" s="29"/>
      <c r="M1696" s="29"/>
      <c r="N1696" s="29"/>
    </row>
    <row r="1697" spans="2:14" x14ac:dyDescent="0.25">
      <c r="B1697" s="27"/>
      <c r="C1697" s="28"/>
      <c r="D1697" s="28"/>
      <c r="E1697" s="27"/>
      <c r="F1697" s="6"/>
      <c r="G1697" s="28"/>
      <c r="H1697" s="28"/>
      <c r="I1697" s="98"/>
      <c r="J1697" s="27"/>
      <c r="K1697" s="29"/>
      <c r="L1697" s="29"/>
      <c r="M1697" s="29"/>
      <c r="N1697" s="29"/>
    </row>
    <row r="1698" spans="2:14" x14ac:dyDescent="0.25">
      <c r="B1698" s="27"/>
      <c r="C1698" s="28"/>
      <c r="D1698" s="28"/>
      <c r="E1698" s="27"/>
      <c r="F1698" s="6"/>
      <c r="G1698" s="28"/>
      <c r="H1698" s="28"/>
      <c r="I1698" s="98"/>
      <c r="J1698" s="27"/>
      <c r="K1698" s="29"/>
      <c r="L1698" s="29"/>
      <c r="M1698" s="29"/>
      <c r="N1698" s="29"/>
    </row>
    <row r="1699" spans="2:14" x14ac:dyDescent="0.25">
      <c r="B1699" s="27"/>
      <c r="C1699" s="28"/>
      <c r="D1699" s="28"/>
      <c r="E1699" s="27"/>
      <c r="F1699" s="6"/>
      <c r="G1699" s="28"/>
      <c r="H1699" s="28"/>
      <c r="I1699" s="98"/>
      <c r="J1699" s="27"/>
      <c r="K1699" s="29"/>
      <c r="L1699" s="29"/>
      <c r="M1699" s="29"/>
      <c r="N1699" s="29"/>
    </row>
    <row r="1700" spans="2:14" x14ac:dyDescent="0.25">
      <c r="B1700" s="27"/>
      <c r="C1700" s="28"/>
      <c r="D1700" s="28"/>
      <c r="E1700" s="27"/>
      <c r="F1700" s="6"/>
      <c r="G1700" s="28"/>
      <c r="H1700" s="28"/>
      <c r="I1700" s="98"/>
      <c r="J1700" s="27"/>
      <c r="K1700" s="29"/>
      <c r="L1700" s="29"/>
      <c r="M1700" s="29"/>
      <c r="N1700" s="29"/>
    </row>
    <row r="1701" spans="2:14" x14ac:dyDescent="0.25">
      <c r="B1701" s="27"/>
      <c r="C1701" s="28"/>
      <c r="D1701" s="28"/>
      <c r="E1701" s="27"/>
      <c r="F1701" s="6"/>
      <c r="G1701" s="28"/>
      <c r="H1701" s="28"/>
      <c r="I1701" s="98"/>
      <c r="J1701" s="27"/>
      <c r="K1701" s="29"/>
      <c r="L1701" s="29"/>
      <c r="M1701" s="29"/>
      <c r="N1701" s="29"/>
    </row>
    <row r="1702" spans="2:14" x14ac:dyDescent="0.25">
      <c r="B1702" s="27"/>
      <c r="C1702" s="28"/>
      <c r="D1702" s="28"/>
      <c r="E1702" s="27"/>
      <c r="F1702" s="6"/>
      <c r="G1702" s="28"/>
      <c r="H1702" s="28"/>
      <c r="I1702" s="98"/>
      <c r="J1702" s="27"/>
      <c r="K1702" s="29"/>
      <c r="L1702" s="29"/>
      <c r="M1702" s="29"/>
      <c r="N1702" s="29"/>
    </row>
    <row r="1703" spans="2:14" x14ac:dyDescent="0.25">
      <c r="B1703" s="27"/>
      <c r="C1703" s="28"/>
      <c r="D1703" s="28"/>
      <c r="E1703" s="27"/>
      <c r="F1703" s="6"/>
      <c r="G1703" s="28"/>
      <c r="H1703" s="28"/>
      <c r="I1703" s="98"/>
      <c r="J1703" s="27"/>
      <c r="K1703" s="29"/>
      <c r="L1703" s="29"/>
      <c r="M1703" s="29"/>
      <c r="N1703" s="29"/>
    </row>
    <row r="1704" spans="2:14" x14ac:dyDescent="0.25">
      <c r="B1704" s="27"/>
      <c r="C1704" s="28"/>
      <c r="D1704" s="28"/>
      <c r="E1704" s="27"/>
      <c r="F1704" s="6"/>
      <c r="G1704" s="28"/>
      <c r="H1704" s="28"/>
      <c r="I1704" s="98"/>
      <c r="J1704" s="27"/>
      <c r="K1704" s="29"/>
      <c r="L1704" s="29"/>
      <c r="M1704" s="29"/>
      <c r="N1704" s="29"/>
    </row>
    <row r="1705" spans="2:14" x14ac:dyDescent="0.25">
      <c r="B1705" s="27"/>
      <c r="C1705" s="28"/>
      <c r="D1705" s="28"/>
      <c r="E1705" s="27"/>
      <c r="F1705" s="6"/>
      <c r="G1705" s="28"/>
      <c r="H1705" s="28"/>
      <c r="I1705" s="98"/>
      <c r="J1705" s="27"/>
      <c r="K1705" s="29"/>
      <c r="L1705" s="29"/>
      <c r="M1705" s="29"/>
      <c r="N1705" s="29"/>
    </row>
    <row r="1706" spans="2:14" x14ac:dyDescent="0.25">
      <c r="B1706" s="27"/>
      <c r="C1706" s="28"/>
      <c r="D1706" s="28"/>
      <c r="E1706" s="27"/>
      <c r="F1706" s="6"/>
      <c r="G1706" s="28"/>
      <c r="H1706" s="28"/>
      <c r="I1706" s="98"/>
      <c r="J1706" s="27"/>
      <c r="K1706" s="29"/>
      <c r="L1706" s="29"/>
      <c r="M1706" s="29"/>
      <c r="N1706" s="29"/>
    </row>
    <row r="1707" spans="2:14" x14ac:dyDescent="0.25">
      <c r="B1707" s="27"/>
      <c r="C1707" s="28"/>
      <c r="D1707" s="28"/>
      <c r="E1707" s="27"/>
      <c r="F1707" s="6"/>
      <c r="G1707" s="28"/>
      <c r="H1707" s="28"/>
      <c r="I1707" s="98"/>
      <c r="J1707" s="27"/>
      <c r="K1707" s="29"/>
      <c r="L1707" s="29"/>
      <c r="M1707" s="29"/>
      <c r="N1707" s="29"/>
    </row>
    <row r="1708" spans="2:14" x14ac:dyDescent="0.25">
      <c r="B1708" s="27"/>
      <c r="C1708" s="28"/>
      <c r="D1708" s="28"/>
      <c r="E1708" s="27"/>
      <c r="F1708" s="6"/>
      <c r="G1708" s="28"/>
      <c r="H1708" s="28"/>
      <c r="I1708" s="98"/>
      <c r="J1708" s="27"/>
      <c r="K1708" s="29"/>
      <c r="L1708" s="29"/>
      <c r="M1708" s="29"/>
      <c r="N1708" s="29"/>
    </row>
    <row r="1709" spans="2:14" x14ac:dyDescent="0.25">
      <c r="B1709" s="27"/>
      <c r="C1709" s="28"/>
      <c r="D1709" s="28"/>
      <c r="E1709" s="27"/>
      <c r="F1709" s="6"/>
      <c r="G1709" s="28"/>
      <c r="H1709" s="28"/>
      <c r="I1709" s="98"/>
      <c r="J1709" s="27"/>
      <c r="K1709" s="29"/>
      <c r="L1709" s="29"/>
      <c r="M1709" s="29"/>
      <c r="N1709" s="29"/>
    </row>
    <row r="1710" spans="2:14" x14ac:dyDescent="0.25">
      <c r="B1710" s="27"/>
      <c r="C1710" s="28"/>
      <c r="D1710" s="28"/>
      <c r="E1710" s="27"/>
      <c r="F1710" s="6"/>
      <c r="G1710" s="28"/>
      <c r="H1710" s="28"/>
      <c r="I1710" s="98"/>
      <c r="J1710" s="27"/>
      <c r="K1710" s="29"/>
      <c r="L1710" s="29"/>
      <c r="M1710" s="29"/>
      <c r="N1710" s="29"/>
    </row>
    <row r="1711" spans="2:14" x14ac:dyDescent="0.25">
      <c r="B1711" s="27"/>
      <c r="C1711" s="28"/>
      <c r="D1711" s="28"/>
      <c r="E1711" s="27"/>
      <c r="F1711" s="6"/>
      <c r="G1711" s="28"/>
      <c r="H1711" s="28"/>
      <c r="I1711" s="98"/>
      <c r="J1711" s="27"/>
      <c r="K1711" s="29"/>
      <c r="L1711" s="29"/>
      <c r="M1711" s="29"/>
      <c r="N1711" s="29"/>
    </row>
    <row r="1712" spans="2:14" x14ac:dyDescent="0.25">
      <c r="B1712" s="27"/>
      <c r="C1712" s="28"/>
      <c r="D1712" s="28"/>
      <c r="E1712" s="27"/>
      <c r="F1712" s="6"/>
      <c r="G1712" s="28"/>
      <c r="H1712" s="28"/>
      <c r="I1712" s="98"/>
      <c r="J1712" s="27"/>
      <c r="K1712" s="29"/>
      <c r="L1712" s="29"/>
      <c r="M1712" s="29"/>
      <c r="N1712" s="29"/>
    </row>
    <row r="1713" spans="2:14" x14ac:dyDescent="0.25">
      <c r="B1713" s="27"/>
      <c r="C1713" s="28"/>
      <c r="D1713" s="28"/>
      <c r="E1713" s="27"/>
      <c r="F1713" s="6"/>
      <c r="G1713" s="28"/>
      <c r="H1713" s="28"/>
      <c r="I1713" s="98"/>
      <c r="J1713" s="27"/>
      <c r="K1713" s="29"/>
      <c r="L1713" s="29"/>
      <c r="M1713" s="29"/>
      <c r="N1713" s="29"/>
    </row>
    <row r="1714" spans="2:14" x14ac:dyDescent="0.25">
      <c r="B1714" s="27"/>
      <c r="C1714" s="28"/>
      <c r="D1714" s="28"/>
      <c r="E1714" s="27"/>
      <c r="F1714" s="6"/>
      <c r="G1714" s="28"/>
      <c r="H1714" s="28"/>
      <c r="I1714" s="98"/>
      <c r="J1714" s="27"/>
      <c r="K1714" s="29"/>
      <c r="L1714" s="29"/>
      <c r="M1714" s="29"/>
      <c r="N1714" s="29"/>
    </row>
    <row r="1715" spans="2:14" x14ac:dyDescent="0.25">
      <c r="B1715" s="27"/>
      <c r="C1715" s="28"/>
      <c r="D1715" s="28"/>
      <c r="E1715" s="27"/>
      <c r="F1715" s="6"/>
      <c r="G1715" s="28"/>
      <c r="H1715" s="28"/>
      <c r="I1715" s="98"/>
      <c r="J1715" s="27"/>
      <c r="K1715" s="29"/>
      <c r="L1715" s="29"/>
      <c r="M1715" s="29"/>
      <c r="N1715" s="29"/>
    </row>
    <row r="1716" spans="2:14" x14ac:dyDescent="0.25">
      <c r="B1716" s="27"/>
      <c r="C1716" s="28"/>
      <c r="D1716" s="28"/>
      <c r="E1716" s="27"/>
      <c r="F1716" s="6"/>
      <c r="G1716" s="28"/>
      <c r="H1716" s="28"/>
      <c r="I1716" s="98"/>
      <c r="J1716" s="27"/>
      <c r="K1716" s="29"/>
      <c r="L1716" s="29"/>
      <c r="M1716" s="29"/>
      <c r="N1716" s="29"/>
    </row>
    <row r="1717" spans="2:14" x14ac:dyDescent="0.25">
      <c r="B1717" s="27"/>
      <c r="C1717" s="28"/>
      <c r="D1717" s="28"/>
      <c r="E1717" s="27"/>
      <c r="F1717" s="6"/>
      <c r="G1717" s="28"/>
      <c r="H1717" s="28"/>
      <c r="I1717" s="98"/>
      <c r="J1717" s="27"/>
      <c r="K1717" s="29"/>
      <c r="L1717" s="29"/>
      <c r="M1717" s="29"/>
      <c r="N1717" s="29"/>
    </row>
    <row r="1718" spans="2:14" x14ac:dyDescent="0.25">
      <c r="B1718" s="27"/>
      <c r="C1718" s="28"/>
      <c r="D1718" s="28"/>
      <c r="E1718" s="27"/>
      <c r="F1718" s="6"/>
      <c r="G1718" s="28"/>
      <c r="H1718" s="28"/>
      <c r="I1718" s="98"/>
      <c r="J1718" s="27"/>
      <c r="K1718" s="29"/>
      <c r="L1718" s="29"/>
      <c r="M1718" s="29"/>
      <c r="N1718" s="29"/>
    </row>
    <row r="1719" spans="2:14" x14ac:dyDescent="0.25">
      <c r="B1719" s="27"/>
      <c r="C1719" s="28"/>
      <c r="D1719" s="28"/>
      <c r="E1719" s="27"/>
      <c r="F1719" s="6"/>
      <c r="G1719" s="28"/>
      <c r="H1719" s="28"/>
      <c r="I1719" s="98"/>
      <c r="J1719" s="27"/>
      <c r="K1719" s="29"/>
      <c r="L1719" s="29"/>
      <c r="M1719" s="29"/>
      <c r="N1719" s="29"/>
    </row>
    <row r="1720" spans="2:14" x14ac:dyDescent="0.25">
      <c r="B1720" s="27"/>
      <c r="C1720" s="28"/>
      <c r="D1720" s="28"/>
      <c r="E1720" s="27"/>
      <c r="F1720" s="6"/>
      <c r="G1720" s="28"/>
      <c r="H1720" s="28"/>
      <c r="I1720" s="98"/>
      <c r="J1720" s="27"/>
      <c r="K1720" s="29"/>
      <c r="L1720" s="29"/>
      <c r="M1720" s="29"/>
      <c r="N1720" s="29"/>
    </row>
    <row r="1721" spans="2:14" x14ac:dyDescent="0.25">
      <c r="B1721" s="27"/>
      <c r="C1721" s="28"/>
      <c r="D1721" s="28"/>
      <c r="E1721" s="27"/>
      <c r="F1721" s="6"/>
      <c r="G1721" s="28"/>
      <c r="H1721" s="28"/>
      <c r="I1721" s="98"/>
      <c r="J1721" s="27"/>
      <c r="K1721" s="29"/>
      <c r="L1721" s="29"/>
      <c r="M1721" s="29"/>
      <c r="N1721" s="29"/>
    </row>
    <row r="1722" spans="2:14" x14ac:dyDescent="0.25">
      <c r="B1722" s="27"/>
      <c r="C1722" s="28"/>
      <c r="D1722" s="28"/>
      <c r="E1722" s="27"/>
      <c r="F1722" s="6"/>
      <c r="G1722" s="28"/>
      <c r="H1722" s="28"/>
      <c r="I1722" s="98"/>
      <c r="J1722" s="27"/>
      <c r="K1722" s="29"/>
      <c r="L1722" s="29"/>
      <c r="M1722" s="29"/>
      <c r="N1722" s="29"/>
    </row>
    <row r="1723" spans="2:14" x14ac:dyDescent="0.25">
      <c r="B1723" s="27"/>
      <c r="C1723" s="28"/>
      <c r="D1723" s="28"/>
      <c r="E1723" s="27"/>
      <c r="F1723" s="6"/>
      <c r="G1723" s="28"/>
      <c r="H1723" s="28"/>
      <c r="I1723" s="98"/>
      <c r="J1723" s="27"/>
      <c r="K1723" s="29"/>
      <c r="L1723" s="29"/>
      <c r="M1723" s="29"/>
      <c r="N1723" s="29"/>
    </row>
    <row r="1724" spans="2:14" x14ac:dyDescent="0.25">
      <c r="B1724" s="27"/>
      <c r="C1724" s="28"/>
      <c r="D1724" s="28"/>
      <c r="E1724" s="27"/>
      <c r="F1724" s="6"/>
      <c r="G1724" s="28"/>
      <c r="H1724" s="28"/>
      <c r="I1724" s="98"/>
      <c r="J1724" s="27"/>
      <c r="K1724" s="29"/>
      <c r="L1724" s="29"/>
      <c r="M1724" s="29"/>
      <c r="N1724" s="29"/>
    </row>
    <row r="1725" spans="2:14" x14ac:dyDescent="0.25">
      <c r="B1725" s="27"/>
      <c r="C1725" s="28"/>
      <c r="D1725" s="28"/>
      <c r="E1725" s="27"/>
      <c r="F1725" s="6"/>
      <c r="G1725" s="28"/>
      <c r="H1725" s="28"/>
      <c r="I1725" s="98"/>
      <c r="J1725" s="27"/>
      <c r="K1725" s="29"/>
      <c r="L1725" s="29"/>
      <c r="M1725" s="29"/>
      <c r="N1725" s="29"/>
    </row>
    <row r="1726" spans="2:14" x14ac:dyDescent="0.25">
      <c r="B1726" s="27"/>
      <c r="C1726" s="28"/>
      <c r="D1726" s="28"/>
      <c r="E1726" s="27"/>
      <c r="F1726" s="6"/>
      <c r="G1726" s="28"/>
      <c r="H1726" s="28"/>
      <c r="I1726" s="98"/>
      <c r="J1726" s="27"/>
      <c r="K1726" s="29"/>
      <c r="L1726" s="29"/>
      <c r="M1726" s="29"/>
      <c r="N1726" s="29"/>
    </row>
    <row r="1727" spans="2:14" x14ac:dyDescent="0.25">
      <c r="B1727" s="27"/>
      <c r="C1727" s="28"/>
      <c r="D1727" s="28"/>
      <c r="E1727" s="27"/>
      <c r="F1727" s="6"/>
      <c r="G1727" s="28"/>
      <c r="H1727" s="28"/>
      <c r="I1727" s="98"/>
      <c r="J1727" s="27"/>
      <c r="K1727" s="29"/>
      <c r="L1727" s="29"/>
      <c r="M1727" s="29"/>
      <c r="N1727" s="29"/>
    </row>
    <row r="1728" spans="2:14" x14ac:dyDescent="0.25">
      <c r="B1728" s="27"/>
      <c r="C1728" s="28"/>
      <c r="D1728" s="28"/>
      <c r="E1728" s="27"/>
      <c r="F1728" s="6"/>
      <c r="G1728" s="28"/>
      <c r="H1728" s="28"/>
      <c r="I1728" s="98"/>
      <c r="J1728" s="27"/>
      <c r="K1728" s="29"/>
      <c r="L1728" s="29"/>
      <c r="M1728" s="29"/>
      <c r="N1728" s="29"/>
    </row>
    <row r="1729" spans="2:14" x14ac:dyDescent="0.25">
      <c r="B1729" s="27"/>
      <c r="C1729" s="28"/>
      <c r="D1729" s="28"/>
      <c r="E1729" s="27"/>
      <c r="F1729" s="6"/>
      <c r="G1729" s="28"/>
      <c r="H1729" s="28"/>
      <c r="I1729" s="98"/>
      <c r="J1729" s="27"/>
      <c r="K1729" s="29"/>
      <c r="L1729" s="29"/>
      <c r="M1729" s="29"/>
      <c r="N1729" s="29"/>
    </row>
    <row r="1730" spans="2:14" x14ac:dyDescent="0.25">
      <c r="B1730" s="27"/>
      <c r="C1730" s="28"/>
      <c r="D1730" s="28"/>
      <c r="E1730" s="27"/>
      <c r="F1730" s="6"/>
      <c r="G1730" s="28"/>
      <c r="H1730" s="28"/>
      <c r="I1730" s="98"/>
      <c r="J1730" s="27"/>
      <c r="K1730" s="29"/>
      <c r="L1730" s="29"/>
      <c r="M1730" s="29"/>
      <c r="N1730" s="29"/>
    </row>
    <row r="1731" spans="2:14" x14ac:dyDescent="0.25">
      <c r="B1731" s="27"/>
      <c r="C1731" s="28"/>
      <c r="D1731" s="28"/>
      <c r="E1731" s="27"/>
      <c r="F1731" s="6"/>
      <c r="G1731" s="28"/>
      <c r="H1731" s="28"/>
      <c r="I1731" s="98"/>
      <c r="J1731" s="27"/>
      <c r="K1731" s="29"/>
      <c r="L1731" s="29"/>
      <c r="M1731" s="29"/>
      <c r="N1731" s="29"/>
    </row>
    <row r="1732" spans="2:14" x14ac:dyDescent="0.25">
      <c r="B1732" s="27"/>
      <c r="C1732" s="28"/>
      <c r="D1732" s="28"/>
      <c r="E1732" s="27"/>
      <c r="F1732" s="6"/>
      <c r="G1732" s="28"/>
      <c r="H1732" s="28"/>
      <c r="I1732" s="98"/>
      <c r="J1732" s="27"/>
      <c r="K1732" s="29"/>
      <c r="L1732" s="29"/>
      <c r="M1732" s="29"/>
      <c r="N1732" s="29"/>
    </row>
    <row r="1733" spans="2:14" x14ac:dyDescent="0.25">
      <c r="B1733" s="27"/>
      <c r="C1733" s="28"/>
      <c r="D1733" s="28"/>
      <c r="E1733" s="27"/>
      <c r="F1733" s="6"/>
      <c r="G1733" s="28"/>
      <c r="H1733" s="28"/>
      <c r="I1733" s="98"/>
      <c r="J1733" s="27"/>
      <c r="K1733" s="29"/>
      <c r="L1733" s="29"/>
      <c r="M1733" s="29"/>
      <c r="N1733" s="29"/>
    </row>
    <row r="1734" spans="2:14" x14ac:dyDescent="0.25">
      <c r="B1734" s="27"/>
      <c r="C1734" s="28"/>
      <c r="D1734" s="28"/>
      <c r="E1734" s="27"/>
      <c r="F1734" s="6"/>
      <c r="G1734" s="28"/>
      <c r="H1734" s="28"/>
      <c r="I1734" s="98"/>
      <c r="J1734" s="27"/>
      <c r="K1734" s="29"/>
      <c r="L1734" s="29"/>
      <c r="M1734" s="29"/>
      <c r="N1734" s="29"/>
    </row>
    <row r="1735" spans="2:14" x14ac:dyDescent="0.25">
      <c r="B1735" s="27"/>
      <c r="C1735" s="28"/>
      <c r="D1735" s="28"/>
      <c r="E1735" s="27"/>
      <c r="F1735" s="6"/>
      <c r="G1735" s="28"/>
      <c r="H1735" s="28"/>
      <c r="I1735" s="98"/>
      <c r="J1735" s="27"/>
      <c r="K1735" s="29"/>
      <c r="L1735" s="29"/>
      <c r="M1735" s="29"/>
      <c r="N1735" s="29"/>
    </row>
    <row r="1736" spans="2:14" x14ac:dyDescent="0.25">
      <c r="B1736" s="27"/>
      <c r="C1736" s="28"/>
      <c r="D1736" s="28"/>
      <c r="E1736" s="27"/>
      <c r="F1736" s="6"/>
      <c r="G1736" s="28"/>
      <c r="H1736" s="28"/>
      <c r="I1736" s="98"/>
      <c r="J1736" s="27"/>
      <c r="K1736" s="29"/>
      <c r="L1736" s="29"/>
      <c r="M1736" s="29"/>
      <c r="N1736" s="29"/>
    </row>
    <row r="1737" spans="2:14" x14ac:dyDescent="0.25">
      <c r="B1737" s="27"/>
      <c r="C1737" s="28"/>
      <c r="D1737" s="28"/>
      <c r="E1737" s="27"/>
      <c r="F1737" s="6"/>
      <c r="G1737" s="28"/>
      <c r="H1737" s="28"/>
      <c r="I1737" s="98"/>
      <c r="J1737" s="27"/>
      <c r="K1737" s="29"/>
      <c r="L1737" s="29"/>
      <c r="M1737" s="29"/>
      <c r="N1737" s="29"/>
    </row>
    <row r="1738" spans="2:14" x14ac:dyDescent="0.25">
      <c r="B1738" s="27"/>
      <c r="C1738" s="28"/>
      <c r="D1738" s="28"/>
      <c r="E1738" s="27"/>
      <c r="F1738" s="6"/>
      <c r="G1738" s="28"/>
      <c r="H1738" s="28"/>
      <c r="I1738" s="98"/>
      <c r="J1738" s="27"/>
      <c r="K1738" s="29"/>
      <c r="L1738" s="29"/>
      <c r="M1738" s="29"/>
      <c r="N1738" s="29"/>
    </row>
    <row r="1739" spans="2:14" x14ac:dyDescent="0.25">
      <c r="B1739" s="27"/>
      <c r="C1739" s="28"/>
      <c r="D1739" s="28"/>
      <c r="E1739" s="27"/>
      <c r="F1739" s="6"/>
      <c r="G1739" s="28"/>
      <c r="H1739" s="28"/>
      <c r="I1739" s="98"/>
      <c r="J1739" s="27"/>
      <c r="K1739" s="29"/>
      <c r="L1739" s="29"/>
      <c r="M1739" s="29"/>
      <c r="N1739" s="29"/>
    </row>
    <row r="1740" spans="2:14" x14ac:dyDescent="0.25">
      <c r="B1740" s="27"/>
      <c r="C1740" s="28"/>
      <c r="D1740" s="28"/>
      <c r="E1740" s="27"/>
      <c r="F1740" s="6"/>
      <c r="G1740" s="28"/>
      <c r="H1740" s="28"/>
      <c r="I1740" s="98"/>
      <c r="J1740" s="27"/>
      <c r="K1740" s="29"/>
      <c r="L1740" s="29"/>
      <c r="M1740" s="29"/>
      <c r="N1740" s="29"/>
    </row>
    <row r="1741" spans="2:14" x14ac:dyDescent="0.25">
      <c r="B1741" s="27"/>
      <c r="C1741" s="28"/>
      <c r="D1741" s="28"/>
      <c r="E1741" s="27"/>
      <c r="F1741" s="6"/>
      <c r="G1741" s="28"/>
      <c r="H1741" s="28"/>
      <c r="I1741" s="98"/>
      <c r="J1741" s="27"/>
      <c r="K1741" s="29"/>
      <c r="L1741" s="29"/>
      <c r="M1741" s="29"/>
      <c r="N1741" s="29"/>
    </row>
    <row r="1742" spans="2:14" x14ac:dyDescent="0.25">
      <c r="B1742" s="27"/>
      <c r="C1742" s="28"/>
      <c r="D1742" s="28"/>
      <c r="E1742" s="27"/>
      <c r="F1742" s="6"/>
      <c r="G1742" s="28"/>
      <c r="H1742" s="28"/>
      <c r="I1742" s="98"/>
      <c r="J1742" s="27"/>
      <c r="K1742" s="29"/>
      <c r="L1742" s="29"/>
      <c r="M1742" s="29"/>
      <c r="N1742" s="29"/>
    </row>
    <row r="1743" spans="2:14" x14ac:dyDescent="0.25">
      <c r="B1743" s="27"/>
      <c r="C1743" s="28"/>
      <c r="D1743" s="28"/>
      <c r="E1743" s="27"/>
      <c r="F1743" s="6"/>
      <c r="G1743" s="28"/>
      <c r="H1743" s="28"/>
      <c r="I1743" s="98"/>
      <c r="J1743" s="27"/>
      <c r="K1743" s="29"/>
      <c r="L1743" s="29"/>
      <c r="M1743" s="29"/>
      <c r="N1743" s="29"/>
    </row>
    <row r="1744" spans="2:14" x14ac:dyDescent="0.25">
      <c r="B1744" s="27"/>
      <c r="C1744" s="28"/>
      <c r="D1744" s="28"/>
      <c r="E1744" s="27"/>
      <c r="F1744" s="6"/>
      <c r="G1744" s="28"/>
      <c r="H1744" s="28"/>
      <c r="I1744" s="98"/>
      <c r="J1744" s="27"/>
      <c r="K1744" s="29"/>
      <c r="L1744" s="29"/>
      <c r="M1744" s="29"/>
      <c r="N1744" s="29"/>
    </row>
    <row r="1745" spans="2:14" x14ac:dyDescent="0.25">
      <c r="B1745" s="27"/>
      <c r="C1745" s="28"/>
      <c r="D1745" s="28"/>
      <c r="E1745" s="27"/>
      <c r="F1745" s="6"/>
      <c r="G1745" s="28"/>
      <c r="H1745" s="28"/>
      <c r="I1745" s="98"/>
      <c r="J1745" s="27"/>
      <c r="K1745" s="29"/>
      <c r="L1745" s="29"/>
      <c r="M1745" s="29"/>
      <c r="N1745" s="29"/>
    </row>
    <row r="1746" spans="2:14" x14ac:dyDescent="0.25">
      <c r="B1746" s="27"/>
      <c r="C1746" s="28"/>
      <c r="D1746" s="28"/>
      <c r="E1746" s="27"/>
      <c r="F1746" s="6"/>
      <c r="G1746" s="28"/>
      <c r="H1746" s="28"/>
      <c r="I1746" s="98"/>
      <c r="J1746" s="27"/>
      <c r="K1746" s="29"/>
      <c r="L1746" s="29"/>
      <c r="M1746" s="29"/>
      <c r="N1746" s="29"/>
    </row>
    <row r="1747" spans="2:14" x14ac:dyDescent="0.25">
      <c r="B1747" s="27"/>
      <c r="C1747" s="28"/>
      <c r="D1747" s="28"/>
      <c r="E1747" s="27"/>
      <c r="F1747" s="6"/>
      <c r="G1747" s="28"/>
      <c r="H1747" s="28"/>
      <c r="I1747" s="98"/>
      <c r="J1747" s="27"/>
      <c r="K1747" s="29"/>
      <c r="L1747" s="29"/>
      <c r="M1747" s="29"/>
      <c r="N1747" s="29"/>
    </row>
    <row r="1748" spans="2:14" x14ac:dyDescent="0.25">
      <c r="B1748" s="27"/>
      <c r="C1748" s="28"/>
      <c r="D1748" s="28"/>
      <c r="E1748" s="27"/>
      <c r="F1748" s="6"/>
      <c r="G1748" s="28"/>
      <c r="H1748" s="28"/>
      <c r="I1748" s="98"/>
      <c r="J1748" s="27"/>
      <c r="K1748" s="29"/>
      <c r="L1748" s="29"/>
      <c r="M1748" s="29"/>
      <c r="N1748" s="29"/>
    </row>
    <row r="1749" spans="2:14" x14ac:dyDescent="0.25">
      <c r="B1749" s="27"/>
      <c r="C1749" s="28"/>
      <c r="D1749" s="28"/>
      <c r="E1749" s="27"/>
      <c r="F1749" s="6"/>
      <c r="G1749" s="28"/>
      <c r="H1749" s="28"/>
      <c r="I1749" s="98"/>
      <c r="J1749" s="27"/>
      <c r="K1749" s="29"/>
      <c r="L1749" s="29"/>
      <c r="M1749" s="29"/>
      <c r="N1749" s="29"/>
    </row>
    <row r="1750" spans="2:14" x14ac:dyDescent="0.25">
      <c r="B1750" s="27"/>
      <c r="C1750" s="28"/>
      <c r="D1750" s="28"/>
      <c r="E1750" s="27"/>
      <c r="F1750" s="6"/>
      <c r="G1750" s="28"/>
      <c r="H1750" s="28"/>
      <c r="I1750" s="98"/>
      <c r="J1750" s="27"/>
      <c r="K1750" s="29"/>
      <c r="L1750" s="29"/>
      <c r="M1750" s="29"/>
      <c r="N1750" s="29"/>
    </row>
    <row r="1751" spans="2:14" x14ac:dyDescent="0.25">
      <c r="B1751" s="27"/>
      <c r="C1751" s="28"/>
      <c r="D1751" s="28"/>
      <c r="E1751" s="27"/>
      <c r="F1751" s="6"/>
      <c r="G1751" s="28"/>
      <c r="H1751" s="28"/>
      <c r="I1751" s="98"/>
      <c r="J1751" s="27"/>
      <c r="K1751" s="29"/>
      <c r="L1751" s="29"/>
      <c r="M1751" s="29"/>
      <c r="N1751" s="29"/>
    </row>
    <row r="1752" spans="2:14" x14ac:dyDescent="0.25">
      <c r="B1752" s="27"/>
      <c r="C1752" s="28"/>
      <c r="D1752" s="28"/>
      <c r="E1752" s="27"/>
      <c r="F1752" s="6"/>
      <c r="G1752" s="28"/>
      <c r="H1752" s="28"/>
      <c r="I1752" s="98"/>
      <c r="J1752" s="27"/>
      <c r="K1752" s="29"/>
      <c r="L1752" s="29"/>
      <c r="M1752" s="29"/>
      <c r="N1752" s="29"/>
    </row>
    <row r="1753" spans="2:14" x14ac:dyDescent="0.25">
      <c r="B1753" s="27"/>
      <c r="C1753" s="28"/>
      <c r="D1753" s="28"/>
      <c r="E1753" s="27"/>
      <c r="F1753" s="6"/>
      <c r="G1753" s="28"/>
      <c r="H1753" s="28"/>
      <c r="I1753" s="98"/>
      <c r="J1753" s="27"/>
      <c r="K1753" s="29"/>
      <c r="L1753" s="29"/>
      <c r="M1753" s="29"/>
      <c r="N1753" s="29"/>
    </row>
    <row r="1754" spans="2:14" x14ac:dyDescent="0.25">
      <c r="B1754" s="27"/>
      <c r="C1754" s="28"/>
      <c r="D1754" s="28"/>
      <c r="E1754" s="27"/>
      <c r="F1754" s="6"/>
      <c r="G1754" s="28"/>
      <c r="H1754" s="28"/>
      <c r="I1754" s="98"/>
      <c r="J1754" s="27"/>
      <c r="K1754" s="29"/>
      <c r="L1754" s="29"/>
      <c r="M1754" s="29"/>
      <c r="N1754" s="29"/>
    </row>
    <row r="1755" spans="2:14" x14ac:dyDescent="0.25">
      <c r="B1755" s="27"/>
      <c r="C1755" s="28"/>
      <c r="D1755" s="28"/>
      <c r="E1755" s="27"/>
      <c r="F1755" s="6"/>
      <c r="G1755" s="28"/>
      <c r="H1755" s="28"/>
      <c r="I1755" s="98"/>
      <c r="J1755" s="27"/>
      <c r="K1755" s="29"/>
      <c r="L1755" s="29"/>
      <c r="M1755" s="29"/>
      <c r="N1755" s="29"/>
    </row>
    <row r="1756" spans="2:14" x14ac:dyDescent="0.25">
      <c r="B1756" s="27"/>
      <c r="C1756" s="28"/>
      <c r="D1756" s="28"/>
      <c r="E1756" s="27"/>
      <c r="F1756" s="6"/>
      <c r="G1756" s="28"/>
      <c r="H1756" s="28"/>
      <c r="I1756" s="98"/>
      <c r="J1756" s="27"/>
      <c r="K1756" s="29"/>
      <c r="L1756" s="29"/>
      <c r="M1756" s="29"/>
      <c r="N1756" s="29"/>
    </row>
    <row r="1757" spans="2:14" x14ac:dyDescent="0.25">
      <c r="B1757" s="27"/>
      <c r="C1757" s="28"/>
      <c r="D1757" s="28"/>
      <c r="E1757" s="27"/>
      <c r="F1757" s="6"/>
      <c r="G1757" s="28"/>
      <c r="H1757" s="28"/>
      <c r="I1757" s="98"/>
      <c r="J1757" s="27"/>
      <c r="K1757" s="29"/>
      <c r="L1757" s="29"/>
      <c r="M1757" s="29"/>
      <c r="N1757" s="29"/>
    </row>
    <row r="1758" spans="2:14" x14ac:dyDescent="0.25">
      <c r="B1758" s="27"/>
      <c r="C1758" s="28"/>
      <c r="D1758" s="28"/>
      <c r="E1758" s="27"/>
      <c r="F1758" s="6"/>
      <c r="G1758" s="28"/>
      <c r="H1758" s="28"/>
      <c r="I1758" s="98"/>
      <c r="J1758" s="27"/>
      <c r="K1758" s="29"/>
      <c r="L1758" s="29"/>
      <c r="M1758" s="29"/>
      <c r="N1758" s="29"/>
    </row>
    <row r="1759" spans="2:14" x14ac:dyDescent="0.25">
      <c r="B1759" s="27"/>
      <c r="C1759" s="28"/>
      <c r="D1759" s="28"/>
      <c r="E1759" s="27"/>
      <c r="F1759" s="6"/>
      <c r="G1759" s="28"/>
      <c r="H1759" s="28"/>
      <c r="I1759" s="98"/>
      <c r="J1759" s="27"/>
      <c r="K1759" s="29"/>
      <c r="L1759" s="29"/>
      <c r="M1759" s="29"/>
      <c r="N1759" s="29"/>
    </row>
    <row r="1760" spans="2:14" x14ac:dyDescent="0.25">
      <c r="B1760" s="27"/>
      <c r="C1760" s="28"/>
      <c r="D1760" s="28"/>
      <c r="E1760" s="27"/>
      <c r="F1760" s="6"/>
      <c r="G1760" s="28"/>
      <c r="H1760" s="28"/>
      <c r="I1760" s="98"/>
      <c r="J1760" s="27"/>
      <c r="K1760" s="29"/>
      <c r="L1760" s="29"/>
      <c r="M1760" s="29"/>
      <c r="N1760" s="29"/>
    </row>
    <row r="1761" spans="2:14" x14ac:dyDescent="0.25">
      <c r="B1761" s="27"/>
      <c r="C1761" s="28"/>
      <c r="D1761" s="28"/>
      <c r="E1761" s="27"/>
      <c r="F1761" s="6"/>
      <c r="G1761" s="28"/>
      <c r="H1761" s="28"/>
      <c r="I1761" s="98"/>
      <c r="J1761" s="27"/>
      <c r="K1761" s="29"/>
      <c r="L1761" s="29"/>
      <c r="M1761" s="29"/>
      <c r="N1761" s="29"/>
    </row>
    <row r="1762" spans="2:14" x14ac:dyDescent="0.25">
      <c r="B1762" s="27"/>
      <c r="C1762" s="28"/>
      <c r="D1762" s="28"/>
      <c r="E1762" s="27"/>
      <c r="F1762" s="6"/>
      <c r="G1762" s="28"/>
      <c r="H1762" s="28"/>
      <c r="I1762" s="98"/>
      <c r="J1762" s="27"/>
      <c r="K1762" s="29"/>
      <c r="L1762" s="29"/>
      <c r="M1762" s="29"/>
      <c r="N1762" s="29"/>
    </row>
    <row r="1763" spans="2:14" x14ac:dyDescent="0.25">
      <c r="B1763" s="27"/>
      <c r="C1763" s="28"/>
      <c r="D1763" s="28"/>
      <c r="E1763" s="27"/>
      <c r="F1763" s="6"/>
      <c r="G1763" s="28"/>
      <c r="H1763" s="28"/>
      <c r="I1763" s="98"/>
      <c r="J1763" s="27"/>
      <c r="K1763" s="29"/>
      <c r="L1763" s="29"/>
      <c r="M1763" s="29"/>
      <c r="N1763" s="29"/>
    </row>
    <row r="1764" spans="2:14" x14ac:dyDescent="0.25">
      <c r="B1764" s="27"/>
      <c r="C1764" s="28"/>
      <c r="D1764" s="28"/>
      <c r="E1764" s="27"/>
      <c r="F1764" s="6"/>
      <c r="G1764" s="28"/>
      <c r="H1764" s="28"/>
      <c r="I1764" s="98"/>
      <c r="J1764" s="27"/>
      <c r="K1764" s="29"/>
      <c r="L1764" s="29"/>
      <c r="M1764" s="29"/>
      <c r="N1764" s="29"/>
    </row>
    <row r="1765" spans="2:14" x14ac:dyDescent="0.25">
      <c r="B1765" s="27"/>
      <c r="C1765" s="28"/>
      <c r="D1765" s="28"/>
      <c r="E1765" s="27"/>
      <c r="F1765" s="6"/>
      <c r="G1765" s="28"/>
      <c r="H1765" s="28"/>
      <c r="I1765" s="98"/>
      <c r="J1765" s="27"/>
      <c r="K1765" s="29"/>
      <c r="L1765" s="29"/>
      <c r="M1765" s="29"/>
      <c r="N1765" s="29"/>
    </row>
    <row r="1766" spans="2:14" x14ac:dyDescent="0.25">
      <c r="B1766" s="27"/>
      <c r="C1766" s="28"/>
      <c r="D1766" s="28"/>
      <c r="E1766" s="27"/>
      <c r="F1766" s="6"/>
      <c r="G1766" s="28"/>
      <c r="H1766" s="28"/>
      <c r="I1766" s="98"/>
      <c r="J1766" s="27"/>
      <c r="K1766" s="29"/>
      <c r="L1766" s="29"/>
      <c r="M1766" s="29"/>
      <c r="N1766" s="29"/>
    </row>
    <row r="1767" spans="2:14" x14ac:dyDescent="0.25">
      <c r="B1767" s="27"/>
      <c r="C1767" s="28"/>
      <c r="D1767" s="28"/>
      <c r="E1767" s="27"/>
      <c r="F1767" s="6"/>
      <c r="G1767" s="28"/>
      <c r="H1767" s="28"/>
      <c r="I1767" s="98"/>
      <c r="J1767" s="27"/>
      <c r="K1767" s="29"/>
      <c r="L1767" s="29"/>
      <c r="M1767" s="29"/>
      <c r="N1767" s="29"/>
    </row>
    <row r="1768" spans="2:14" x14ac:dyDescent="0.25">
      <c r="B1768" s="27"/>
      <c r="C1768" s="28"/>
      <c r="D1768" s="28"/>
      <c r="E1768" s="27"/>
      <c r="F1768" s="6"/>
      <c r="G1768" s="28"/>
      <c r="H1768" s="28"/>
      <c r="I1768" s="98"/>
      <c r="J1768" s="27"/>
      <c r="K1768" s="29"/>
      <c r="L1768" s="29"/>
      <c r="M1768" s="29"/>
      <c r="N1768" s="29"/>
    </row>
    <row r="1769" spans="2:14" x14ac:dyDescent="0.25">
      <c r="B1769" s="27"/>
      <c r="C1769" s="28"/>
      <c r="D1769" s="28"/>
      <c r="E1769" s="27"/>
      <c r="F1769" s="6"/>
      <c r="G1769" s="28"/>
      <c r="H1769" s="28"/>
      <c r="I1769" s="98"/>
      <c r="J1769" s="27"/>
      <c r="K1769" s="29"/>
      <c r="L1769" s="29"/>
      <c r="M1769" s="29"/>
      <c r="N1769" s="29"/>
    </row>
    <row r="1770" spans="2:14" x14ac:dyDescent="0.25">
      <c r="B1770" s="27"/>
      <c r="C1770" s="28"/>
      <c r="D1770" s="28"/>
      <c r="E1770" s="27"/>
      <c r="F1770" s="6"/>
      <c r="G1770" s="28"/>
      <c r="H1770" s="28"/>
      <c r="I1770" s="98"/>
      <c r="J1770" s="27"/>
      <c r="K1770" s="29"/>
      <c r="L1770" s="29"/>
      <c r="M1770" s="29"/>
      <c r="N1770" s="29"/>
    </row>
    <row r="1771" spans="2:14" x14ac:dyDescent="0.25">
      <c r="B1771" s="27"/>
      <c r="C1771" s="28"/>
      <c r="D1771" s="28"/>
      <c r="E1771" s="27"/>
      <c r="F1771" s="6"/>
      <c r="G1771" s="28"/>
      <c r="H1771" s="28"/>
      <c r="I1771" s="98"/>
      <c r="J1771" s="27"/>
      <c r="K1771" s="29"/>
      <c r="L1771" s="29"/>
      <c r="M1771" s="29"/>
      <c r="N1771" s="29"/>
    </row>
    <row r="1772" spans="2:14" x14ac:dyDescent="0.25">
      <c r="B1772" s="27"/>
      <c r="C1772" s="28"/>
      <c r="D1772" s="28"/>
      <c r="E1772" s="27"/>
      <c r="F1772" s="6"/>
      <c r="G1772" s="28"/>
      <c r="H1772" s="28"/>
      <c r="I1772" s="98"/>
      <c r="J1772" s="27"/>
      <c r="K1772" s="29"/>
      <c r="L1772" s="29"/>
      <c r="M1772" s="29"/>
      <c r="N1772" s="29"/>
    </row>
    <row r="1773" spans="2:14" x14ac:dyDescent="0.25">
      <c r="B1773" s="27"/>
      <c r="C1773" s="28"/>
      <c r="D1773" s="28"/>
      <c r="E1773" s="27"/>
      <c r="F1773" s="6"/>
      <c r="G1773" s="28"/>
      <c r="H1773" s="28"/>
      <c r="I1773" s="98"/>
      <c r="J1773" s="27"/>
      <c r="K1773" s="29"/>
      <c r="L1773" s="29"/>
      <c r="M1773" s="29"/>
      <c r="N1773" s="29"/>
    </row>
    <row r="1774" spans="2:14" x14ac:dyDescent="0.25">
      <c r="B1774" s="27"/>
      <c r="C1774" s="28"/>
      <c r="D1774" s="28"/>
      <c r="E1774" s="27"/>
      <c r="F1774" s="6"/>
      <c r="G1774" s="28"/>
      <c r="H1774" s="28"/>
      <c r="I1774" s="98"/>
      <c r="J1774" s="27"/>
      <c r="K1774" s="29"/>
      <c r="L1774" s="29"/>
      <c r="M1774" s="29"/>
      <c r="N1774" s="29"/>
    </row>
    <row r="1775" spans="2:14" x14ac:dyDescent="0.25">
      <c r="B1775" s="27"/>
      <c r="C1775" s="28"/>
      <c r="D1775" s="28"/>
      <c r="E1775" s="27"/>
      <c r="F1775" s="6"/>
      <c r="G1775" s="28"/>
      <c r="H1775" s="28"/>
      <c r="I1775" s="98"/>
      <c r="J1775" s="27"/>
      <c r="K1775" s="29"/>
      <c r="L1775" s="29"/>
      <c r="M1775" s="29"/>
      <c r="N1775" s="29"/>
    </row>
    <row r="1776" spans="2:14" x14ac:dyDescent="0.25">
      <c r="B1776" s="27"/>
      <c r="C1776" s="28"/>
      <c r="D1776" s="28"/>
      <c r="E1776" s="27"/>
      <c r="F1776" s="6"/>
      <c r="G1776" s="28"/>
      <c r="H1776" s="28"/>
      <c r="I1776" s="98"/>
      <c r="J1776" s="27"/>
      <c r="K1776" s="29"/>
      <c r="L1776" s="29"/>
      <c r="M1776" s="29"/>
      <c r="N1776" s="29"/>
    </row>
    <row r="1777" spans="2:14" x14ac:dyDescent="0.25">
      <c r="B1777" s="27"/>
      <c r="C1777" s="28"/>
      <c r="D1777" s="28"/>
      <c r="E1777" s="27"/>
      <c r="F1777" s="6"/>
      <c r="G1777" s="28"/>
      <c r="H1777" s="28"/>
      <c r="I1777" s="98"/>
      <c r="J1777" s="27"/>
      <c r="K1777" s="29"/>
      <c r="L1777" s="29"/>
      <c r="M1777" s="29"/>
      <c r="N1777" s="29"/>
    </row>
    <row r="1778" spans="2:14" x14ac:dyDescent="0.25">
      <c r="B1778" s="27"/>
      <c r="C1778" s="28"/>
      <c r="D1778" s="28"/>
      <c r="E1778" s="27"/>
      <c r="F1778" s="6"/>
      <c r="G1778" s="28"/>
      <c r="H1778" s="28"/>
      <c r="I1778" s="98"/>
      <c r="J1778" s="27"/>
      <c r="K1778" s="29"/>
      <c r="L1778" s="29"/>
      <c r="M1778" s="29"/>
      <c r="N1778" s="29"/>
    </row>
    <row r="1779" spans="2:14" x14ac:dyDescent="0.25">
      <c r="B1779" s="27"/>
      <c r="C1779" s="28"/>
      <c r="D1779" s="28"/>
      <c r="E1779" s="27"/>
      <c r="F1779" s="6"/>
      <c r="G1779" s="28"/>
      <c r="H1779" s="28"/>
      <c r="I1779" s="98"/>
      <c r="J1779" s="27"/>
      <c r="K1779" s="29"/>
      <c r="L1779" s="29"/>
      <c r="M1779" s="29"/>
      <c r="N1779" s="29"/>
    </row>
    <row r="1780" spans="2:14" x14ac:dyDescent="0.25">
      <c r="B1780" s="27"/>
      <c r="C1780" s="28"/>
      <c r="D1780" s="28"/>
      <c r="E1780" s="27"/>
      <c r="F1780" s="6"/>
      <c r="G1780" s="28"/>
      <c r="H1780" s="28"/>
      <c r="I1780" s="98"/>
      <c r="J1780" s="27"/>
      <c r="K1780" s="29"/>
      <c r="L1780" s="29"/>
      <c r="M1780" s="29"/>
      <c r="N1780" s="29"/>
    </row>
    <row r="1781" spans="2:14" x14ac:dyDescent="0.25">
      <c r="B1781" s="27"/>
      <c r="C1781" s="28"/>
      <c r="D1781" s="28"/>
      <c r="E1781" s="27"/>
      <c r="F1781" s="6"/>
      <c r="G1781" s="28"/>
      <c r="H1781" s="28"/>
      <c r="I1781" s="98"/>
      <c r="J1781" s="27"/>
      <c r="K1781" s="29"/>
      <c r="L1781" s="29"/>
      <c r="M1781" s="29"/>
      <c r="N1781" s="29"/>
    </row>
    <row r="1782" spans="2:14" x14ac:dyDescent="0.25">
      <c r="B1782" s="27"/>
      <c r="C1782" s="28"/>
      <c r="D1782" s="28"/>
      <c r="E1782" s="27"/>
      <c r="F1782" s="6"/>
      <c r="G1782" s="28"/>
      <c r="H1782" s="28"/>
      <c r="I1782" s="98"/>
      <c r="J1782" s="27"/>
      <c r="K1782" s="29"/>
      <c r="L1782" s="29"/>
      <c r="M1782" s="29"/>
      <c r="N1782" s="29"/>
    </row>
    <row r="1783" spans="2:14" x14ac:dyDescent="0.25">
      <c r="B1783" s="27"/>
      <c r="C1783" s="28"/>
      <c r="D1783" s="28"/>
      <c r="E1783" s="27"/>
      <c r="F1783" s="6"/>
      <c r="G1783" s="28"/>
      <c r="H1783" s="28"/>
      <c r="I1783" s="98"/>
      <c r="J1783" s="27"/>
      <c r="K1783" s="29"/>
      <c r="L1783" s="29"/>
      <c r="M1783" s="29"/>
      <c r="N1783" s="29"/>
    </row>
    <row r="1784" spans="2:14" x14ac:dyDescent="0.25">
      <c r="B1784" s="27"/>
      <c r="C1784" s="28"/>
      <c r="D1784" s="28"/>
      <c r="E1784" s="27"/>
      <c r="F1784" s="6"/>
      <c r="G1784" s="28"/>
      <c r="H1784" s="28"/>
      <c r="I1784" s="98"/>
      <c r="J1784" s="27"/>
      <c r="K1784" s="29"/>
      <c r="L1784" s="29"/>
      <c r="M1784" s="29"/>
      <c r="N1784" s="29"/>
    </row>
    <row r="1785" spans="2:14" x14ac:dyDescent="0.25">
      <c r="B1785" s="27"/>
      <c r="C1785" s="28"/>
      <c r="D1785" s="28"/>
      <c r="E1785" s="27"/>
      <c r="F1785" s="6"/>
      <c r="G1785" s="28"/>
      <c r="H1785" s="28"/>
      <c r="I1785" s="98"/>
      <c r="J1785" s="27"/>
      <c r="K1785" s="29"/>
      <c r="L1785" s="29"/>
      <c r="M1785" s="29"/>
      <c r="N1785" s="29"/>
    </row>
    <row r="1786" spans="2:14" x14ac:dyDescent="0.25">
      <c r="B1786" s="27"/>
      <c r="C1786" s="28"/>
      <c r="D1786" s="28"/>
      <c r="E1786" s="27"/>
      <c r="F1786" s="6"/>
      <c r="G1786" s="28"/>
      <c r="H1786" s="28"/>
      <c r="I1786" s="98"/>
      <c r="J1786" s="27"/>
      <c r="K1786" s="29"/>
      <c r="L1786" s="29"/>
      <c r="M1786" s="29"/>
      <c r="N1786" s="29"/>
    </row>
    <row r="1787" spans="2:14" x14ac:dyDescent="0.25">
      <c r="B1787" s="27"/>
      <c r="C1787" s="28"/>
      <c r="D1787" s="28"/>
      <c r="E1787" s="27"/>
      <c r="F1787" s="6"/>
      <c r="G1787" s="28"/>
      <c r="H1787" s="28"/>
      <c r="I1787" s="98"/>
      <c r="J1787" s="27"/>
      <c r="K1787" s="29"/>
      <c r="L1787" s="29"/>
      <c r="M1787" s="29"/>
      <c r="N1787" s="29"/>
    </row>
    <row r="1788" spans="2:14" x14ac:dyDescent="0.25">
      <c r="B1788" s="27"/>
      <c r="C1788" s="28"/>
      <c r="D1788" s="28"/>
      <c r="E1788" s="27"/>
      <c r="F1788" s="6"/>
      <c r="G1788" s="28"/>
      <c r="H1788" s="28"/>
      <c r="I1788" s="98"/>
      <c r="J1788" s="27"/>
      <c r="K1788" s="29"/>
      <c r="L1788" s="29"/>
      <c r="M1788" s="29"/>
      <c r="N1788" s="29"/>
    </row>
    <row r="1789" spans="2:14" x14ac:dyDescent="0.25">
      <c r="B1789" s="27"/>
      <c r="C1789" s="28"/>
      <c r="D1789" s="28"/>
      <c r="E1789" s="27"/>
      <c r="F1789" s="6"/>
      <c r="G1789" s="28"/>
      <c r="H1789" s="28"/>
      <c r="I1789" s="98"/>
      <c r="J1789" s="27"/>
      <c r="K1789" s="29"/>
      <c r="L1789" s="29"/>
      <c r="M1789" s="29"/>
      <c r="N1789" s="29"/>
    </row>
    <row r="1790" spans="2:14" x14ac:dyDescent="0.25">
      <c r="B1790" s="27"/>
      <c r="C1790" s="28"/>
      <c r="D1790" s="28"/>
      <c r="E1790" s="27"/>
      <c r="F1790" s="6"/>
      <c r="G1790" s="28"/>
      <c r="H1790" s="28"/>
      <c r="I1790" s="98"/>
      <c r="J1790" s="27"/>
      <c r="K1790" s="29"/>
      <c r="L1790" s="29"/>
      <c r="M1790" s="29"/>
      <c r="N1790" s="29"/>
    </row>
    <row r="1791" spans="2:14" x14ac:dyDescent="0.25">
      <c r="B1791" s="27"/>
      <c r="C1791" s="28"/>
      <c r="D1791" s="28"/>
      <c r="E1791" s="27"/>
      <c r="F1791" s="6"/>
      <c r="G1791" s="28"/>
      <c r="H1791" s="28"/>
      <c r="I1791" s="98"/>
      <c r="J1791" s="27"/>
      <c r="K1791" s="29"/>
      <c r="L1791" s="29"/>
      <c r="M1791" s="29"/>
      <c r="N1791" s="29"/>
    </row>
    <row r="1792" spans="2:14" x14ac:dyDescent="0.25">
      <c r="B1792" s="27"/>
      <c r="C1792" s="28"/>
      <c r="D1792" s="28"/>
      <c r="E1792" s="27"/>
      <c r="F1792" s="6"/>
      <c r="G1792" s="28"/>
      <c r="H1792" s="28"/>
      <c r="I1792" s="98"/>
      <c r="J1792" s="27"/>
      <c r="K1792" s="29"/>
      <c r="L1792" s="29"/>
      <c r="M1792" s="29"/>
      <c r="N1792" s="29"/>
    </row>
    <row r="1793" spans="2:14" x14ac:dyDescent="0.25">
      <c r="B1793" s="27"/>
      <c r="C1793" s="28"/>
      <c r="D1793" s="28"/>
      <c r="E1793" s="27"/>
      <c r="F1793" s="6"/>
      <c r="G1793" s="28"/>
      <c r="H1793" s="28"/>
      <c r="I1793" s="98"/>
      <c r="J1793" s="27"/>
      <c r="K1793" s="29"/>
      <c r="L1793" s="29"/>
      <c r="M1793" s="29"/>
      <c r="N1793" s="29"/>
    </row>
    <row r="1794" spans="2:14" x14ac:dyDescent="0.25">
      <c r="B1794" s="27"/>
      <c r="C1794" s="28"/>
      <c r="D1794" s="28"/>
      <c r="E1794" s="27"/>
      <c r="F1794" s="6"/>
      <c r="G1794" s="28"/>
      <c r="H1794" s="28"/>
      <c r="I1794" s="98"/>
      <c r="J1794" s="27"/>
      <c r="K1794" s="29"/>
      <c r="L1794" s="29"/>
      <c r="M1794" s="29"/>
      <c r="N1794" s="29"/>
    </row>
    <row r="1795" spans="2:14" x14ac:dyDescent="0.25">
      <c r="B1795" s="27"/>
      <c r="C1795" s="28"/>
      <c r="D1795" s="28"/>
      <c r="E1795" s="27"/>
      <c r="F1795" s="6"/>
      <c r="G1795" s="28"/>
      <c r="H1795" s="28"/>
      <c r="I1795" s="98"/>
      <c r="J1795" s="27"/>
      <c r="K1795" s="29"/>
      <c r="L1795" s="29"/>
      <c r="M1795" s="29"/>
      <c r="N1795" s="29"/>
    </row>
    <row r="1796" spans="2:14" x14ac:dyDescent="0.25">
      <c r="B1796" s="27"/>
      <c r="C1796" s="28"/>
      <c r="D1796" s="28"/>
      <c r="E1796" s="27"/>
      <c r="F1796" s="6"/>
      <c r="G1796" s="28"/>
      <c r="H1796" s="28"/>
      <c r="I1796" s="98"/>
      <c r="J1796" s="27"/>
      <c r="K1796" s="29"/>
      <c r="L1796" s="29"/>
      <c r="M1796" s="29"/>
      <c r="N1796" s="29"/>
    </row>
    <row r="1797" spans="2:14" x14ac:dyDescent="0.25">
      <c r="B1797" s="27"/>
      <c r="C1797" s="28"/>
      <c r="D1797" s="28"/>
      <c r="E1797" s="27"/>
      <c r="F1797" s="6"/>
      <c r="G1797" s="28"/>
      <c r="H1797" s="28"/>
      <c r="I1797" s="98"/>
      <c r="J1797" s="27"/>
      <c r="K1797" s="29"/>
      <c r="L1797" s="29"/>
      <c r="M1797" s="29"/>
      <c r="N1797" s="29"/>
    </row>
    <row r="1798" spans="2:14" x14ac:dyDescent="0.25">
      <c r="B1798" s="27"/>
      <c r="C1798" s="28"/>
      <c r="D1798" s="28"/>
      <c r="E1798" s="27"/>
      <c r="F1798" s="6"/>
      <c r="G1798" s="28"/>
      <c r="H1798" s="28"/>
      <c r="I1798" s="98"/>
      <c r="J1798" s="27"/>
      <c r="K1798" s="29"/>
      <c r="L1798" s="29"/>
      <c r="M1798" s="29"/>
      <c r="N1798" s="29"/>
    </row>
    <row r="1799" spans="2:14" x14ac:dyDescent="0.25">
      <c r="B1799" s="27"/>
      <c r="C1799" s="28"/>
      <c r="D1799" s="28"/>
      <c r="E1799" s="27"/>
      <c r="F1799" s="6"/>
      <c r="G1799" s="28"/>
      <c r="H1799" s="28"/>
      <c r="I1799" s="98"/>
      <c r="J1799" s="27"/>
      <c r="K1799" s="29"/>
      <c r="L1799" s="29"/>
      <c r="M1799" s="29"/>
      <c r="N1799" s="29"/>
    </row>
    <row r="1800" spans="2:14" x14ac:dyDescent="0.25">
      <c r="B1800" s="27"/>
      <c r="C1800" s="28"/>
      <c r="D1800" s="28"/>
      <c r="E1800" s="27"/>
      <c r="F1800" s="6"/>
      <c r="G1800" s="28"/>
      <c r="H1800" s="28"/>
      <c r="I1800" s="98"/>
      <c r="J1800" s="27"/>
      <c r="K1800" s="29"/>
      <c r="L1800" s="29"/>
      <c r="M1800" s="29"/>
      <c r="N1800" s="29"/>
    </row>
    <row r="1801" spans="2:14" x14ac:dyDescent="0.25">
      <c r="B1801" s="27"/>
      <c r="C1801" s="28"/>
      <c r="D1801" s="28"/>
      <c r="E1801" s="27"/>
      <c r="F1801" s="6"/>
      <c r="G1801" s="28"/>
      <c r="H1801" s="28"/>
      <c r="I1801" s="98"/>
      <c r="J1801" s="27"/>
      <c r="K1801" s="29"/>
      <c r="L1801" s="29"/>
      <c r="M1801" s="29"/>
      <c r="N1801" s="29"/>
    </row>
    <row r="1802" spans="2:14" x14ac:dyDescent="0.25">
      <c r="B1802" s="27"/>
      <c r="C1802" s="28"/>
      <c r="D1802" s="28"/>
      <c r="E1802" s="27"/>
      <c r="F1802" s="6"/>
      <c r="G1802" s="28"/>
      <c r="H1802" s="28"/>
      <c r="I1802" s="98"/>
      <c r="J1802" s="27"/>
      <c r="K1802" s="29"/>
      <c r="L1802" s="29"/>
      <c r="M1802" s="29"/>
      <c r="N1802" s="29"/>
    </row>
    <row r="1803" spans="2:14" x14ac:dyDescent="0.25">
      <c r="B1803" s="27"/>
      <c r="C1803" s="28"/>
      <c r="D1803" s="28"/>
      <c r="E1803" s="27"/>
      <c r="F1803" s="6"/>
      <c r="G1803" s="28"/>
      <c r="H1803" s="28"/>
      <c r="I1803" s="98"/>
      <c r="J1803" s="27"/>
      <c r="K1803" s="29"/>
      <c r="L1803" s="29"/>
      <c r="M1803" s="29"/>
      <c r="N1803" s="29"/>
    </row>
    <row r="1804" spans="2:14" x14ac:dyDescent="0.25">
      <c r="B1804" s="27"/>
      <c r="C1804" s="28"/>
      <c r="D1804" s="28"/>
      <c r="E1804" s="27"/>
      <c r="F1804" s="6"/>
      <c r="G1804" s="28"/>
      <c r="H1804" s="28"/>
      <c r="I1804" s="98"/>
      <c r="J1804" s="27"/>
      <c r="K1804" s="29"/>
      <c r="L1804" s="29"/>
      <c r="M1804" s="29"/>
      <c r="N1804" s="29"/>
    </row>
    <row r="1805" spans="2:14" x14ac:dyDescent="0.25">
      <c r="B1805" s="27"/>
      <c r="C1805" s="28"/>
      <c r="D1805" s="28"/>
      <c r="E1805" s="27"/>
      <c r="F1805" s="6"/>
      <c r="G1805" s="28"/>
      <c r="H1805" s="28"/>
      <c r="I1805" s="98"/>
      <c r="J1805" s="27"/>
      <c r="K1805" s="29"/>
      <c r="L1805" s="29"/>
      <c r="M1805" s="29"/>
      <c r="N1805" s="29"/>
    </row>
    <row r="1806" spans="2:14" x14ac:dyDescent="0.25">
      <c r="B1806" s="27"/>
      <c r="C1806" s="28"/>
      <c r="D1806" s="28"/>
      <c r="E1806" s="27"/>
      <c r="F1806" s="6"/>
      <c r="G1806" s="28"/>
      <c r="H1806" s="28"/>
      <c r="I1806" s="98"/>
      <c r="J1806" s="27"/>
      <c r="K1806" s="29"/>
      <c r="L1806" s="29"/>
      <c r="M1806" s="29"/>
      <c r="N1806" s="29"/>
    </row>
    <row r="1807" spans="2:14" x14ac:dyDescent="0.25">
      <c r="B1807" s="27"/>
      <c r="C1807" s="28"/>
      <c r="D1807" s="28"/>
      <c r="E1807" s="27"/>
      <c r="F1807" s="6"/>
      <c r="G1807" s="28"/>
      <c r="H1807" s="28"/>
      <c r="I1807" s="98"/>
      <c r="J1807" s="27"/>
      <c r="K1807" s="29"/>
      <c r="L1807" s="29"/>
      <c r="M1807" s="29"/>
      <c r="N1807" s="29"/>
    </row>
    <row r="1808" spans="2:14" x14ac:dyDescent="0.25">
      <c r="B1808" s="27"/>
      <c r="C1808" s="28"/>
      <c r="D1808" s="28"/>
      <c r="E1808" s="27"/>
      <c r="F1808" s="6"/>
      <c r="G1808" s="28"/>
      <c r="H1808" s="28"/>
      <c r="I1808" s="98"/>
      <c r="J1808" s="27"/>
      <c r="K1808" s="29"/>
      <c r="L1808" s="29"/>
      <c r="M1808" s="29"/>
      <c r="N1808" s="29"/>
    </row>
    <row r="1809" spans="2:14" x14ac:dyDescent="0.25">
      <c r="B1809" s="27"/>
      <c r="C1809" s="28"/>
      <c r="D1809" s="28"/>
      <c r="E1809" s="27"/>
      <c r="F1809" s="6"/>
      <c r="G1809" s="28"/>
      <c r="H1809" s="28"/>
      <c r="I1809" s="98"/>
      <c r="J1809" s="27"/>
      <c r="K1809" s="29"/>
      <c r="L1809" s="29"/>
      <c r="M1809" s="29"/>
      <c r="N1809" s="29"/>
    </row>
    <row r="1810" spans="2:14" x14ac:dyDescent="0.25">
      <c r="B1810" s="27"/>
      <c r="C1810" s="28"/>
      <c r="D1810" s="28"/>
      <c r="E1810" s="27"/>
      <c r="F1810" s="6"/>
      <c r="G1810" s="28"/>
      <c r="H1810" s="28"/>
      <c r="I1810" s="98"/>
      <c r="J1810" s="27"/>
      <c r="K1810" s="29"/>
      <c r="L1810" s="29"/>
      <c r="M1810" s="29"/>
      <c r="N1810" s="29"/>
    </row>
    <row r="1811" spans="2:14" x14ac:dyDescent="0.25">
      <c r="B1811" s="27"/>
      <c r="C1811" s="28"/>
      <c r="D1811" s="28"/>
      <c r="E1811" s="27"/>
      <c r="F1811" s="6"/>
      <c r="G1811" s="28"/>
      <c r="H1811" s="28"/>
      <c r="I1811" s="98"/>
      <c r="J1811" s="27"/>
      <c r="K1811" s="29"/>
      <c r="L1811" s="29"/>
      <c r="M1811" s="29"/>
      <c r="N1811" s="29"/>
    </row>
    <row r="1812" spans="2:14" x14ac:dyDescent="0.25">
      <c r="B1812" s="27"/>
      <c r="C1812" s="28"/>
      <c r="D1812" s="28"/>
      <c r="E1812" s="27"/>
      <c r="F1812" s="6"/>
      <c r="G1812" s="28"/>
      <c r="H1812" s="28"/>
      <c r="I1812" s="98"/>
      <c r="J1812" s="27"/>
      <c r="K1812" s="29"/>
      <c r="L1812" s="29"/>
      <c r="M1812" s="29"/>
      <c r="N1812" s="29"/>
    </row>
    <row r="1813" spans="2:14" x14ac:dyDescent="0.25">
      <c r="B1813" s="27"/>
      <c r="C1813" s="28"/>
      <c r="D1813" s="28"/>
      <c r="E1813" s="27"/>
      <c r="F1813" s="6"/>
      <c r="G1813" s="28"/>
      <c r="H1813" s="28"/>
      <c r="I1813" s="98"/>
      <c r="J1813" s="27"/>
      <c r="K1813" s="29"/>
      <c r="L1813" s="29"/>
      <c r="M1813" s="29"/>
      <c r="N1813" s="29"/>
    </row>
    <row r="1814" spans="2:14" x14ac:dyDescent="0.25">
      <c r="B1814" s="27"/>
      <c r="C1814" s="28"/>
      <c r="D1814" s="28"/>
      <c r="E1814" s="27"/>
      <c r="F1814" s="6"/>
      <c r="G1814" s="28"/>
      <c r="H1814" s="28"/>
      <c r="I1814" s="98"/>
      <c r="J1814" s="27"/>
      <c r="K1814" s="29"/>
      <c r="L1814" s="29"/>
      <c r="M1814" s="29"/>
      <c r="N1814" s="29"/>
    </row>
    <row r="1815" spans="2:14" x14ac:dyDescent="0.25">
      <c r="B1815" s="27"/>
      <c r="C1815" s="28"/>
      <c r="D1815" s="28"/>
      <c r="E1815" s="27"/>
      <c r="F1815" s="6"/>
      <c r="G1815" s="28"/>
      <c r="H1815" s="28"/>
      <c r="I1815" s="98"/>
      <c r="J1815" s="27"/>
      <c r="K1815" s="29"/>
      <c r="L1815" s="29"/>
      <c r="M1815" s="29"/>
      <c r="N1815" s="29"/>
    </row>
    <row r="1816" spans="2:14" x14ac:dyDescent="0.25">
      <c r="B1816" s="27"/>
      <c r="C1816" s="28"/>
      <c r="D1816" s="28"/>
      <c r="E1816" s="27"/>
      <c r="F1816" s="6"/>
      <c r="G1816" s="28"/>
      <c r="H1816" s="28"/>
      <c r="I1816" s="98"/>
      <c r="J1816" s="27"/>
      <c r="K1816" s="29"/>
      <c r="L1816" s="29"/>
      <c r="M1816" s="29"/>
      <c r="N1816" s="29"/>
    </row>
    <row r="1817" spans="2:14" x14ac:dyDescent="0.25">
      <c r="B1817" s="27"/>
      <c r="C1817" s="28"/>
      <c r="D1817" s="28"/>
      <c r="E1817" s="27"/>
      <c r="F1817" s="6"/>
      <c r="G1817" s="28"/>
      <c r="H1817" s="28"/>
      <c r="I1817" s="98"/>
      <c r="J1817" s="27"/>
      <c r="K1817" s="29"/>
      <c r="L1817" s="29"/>
      <c r="M1817" s="29"/>
      <c r="N1817" s="29"/>
    </row>
    <row r="1818" spans="2:14" x14ac:dyDescent="0.25">
      <c r="B1818" s="27"/>
      <c r="C1818" s="28"/>
      <c r="D1818" s="28"/>
      <c r="E1818" s="27"/>
      <c r="F1818" s="6"/>
      <c r="G1818" s="28"/>
      <c r="H1818" s="28"/>
      <c r="I1818" s="98"/>
      <c r="J1818" s="27"/>
      <c r="K1818" s="29"/>
      <c r="L1818" s="29"/>
      <c r="M1818" s="29"/>
      <c r="N1818" s="29"/>
    </row>
    <row r="1819" spans="2:14" x14ac:dyDescent="0.25">
      <c r="B1819" s="27"/>
      <c r="C1819" s="28"/>
      <c r="D1819" s="28"/>
      <c r="E1819" s="27"/>
      <c r="F1819" s="6"/>
      <c r="G1819" s="28"/>
      <c r="H1819" s="28"/>
      <c r="I1819" s="98"/>
      <c r="J1819" s="27"/>
      <c r="K1819" s="29"/>
      <c r="L1819" s="29"/>
      <c r="M1819" s="29"/>
      <c r="N1819" s="29"/>
    </row>
    <row r="1820" spans="2:14" x14ac:dyDescent="0.25">
      <c r="B1820" s="27"/>
      <c r="C1820" s="28"/>
      <c r="D1820" s="28"/>
      <c r="E1820" s="27"/>
      <c r="F1820" s="6"/>
      <c r="G1820" s="28"/>
      <c r="H1820" s="28"/>
      <c r="I1820" s="98"/>
      <c r="J1820" s="27"/>
      <c r="K1820" s="29"/>
      <c r="L1820" s="29"/>
      <c r="M1820" s="29"/>
      <c r="N1820" s="29"/>
    </row>
    <row r="1821" spans="2:14" x14ac:dyDescent="0.25">
      <c r="B1821" s="27"/>
      <c r="C1821" s="28"/>
      <c r="D1821" s="28"/>
      <c r="E1821" s="27"/>
      <c r="F1821" s="6"/>
      <c r="G1821" s="28"/>
      <c r="H1821" s="28"/>
      <c r="I1821" s="98"/>
      <c r="J1821" s="27"/>
      <c r="K1821" s="29"/>
      <c r="L1821" s="29"/>
      <c r="M1821" s="29"/>
      <c r="N1821" s="29"/>
    </row>
    <row r="1822" spans="2:14" x14ac:dyDescent="0.25">
      <c r="B1822" s="27"/>
      <c r="C1822" s="28"/>
      <c r="D1822" s="28"/>
      <c r="E1822" s="27"/>
      <c r="F1822" s="6"/>
      <c r="G1822" s="28"/>
      <c r="H1822" s="28"/>
      <c r="I1822" s="98"/>
      <c r="J1822" s="27"/>
      <c r="K1822" s="29"/>
      <c r="L1822" s="29"/>
      <c r="M1822" s="29"/>
      <c r="N1822" s="29"/>
    </row>
    <row r="1823" spans="2:14" x14ac:dyDescent="0.25">
      <c r="B1823" s="27"/>
      <c r="C1823" s="28"/>
      <c r="D1823" s="28"/>
      <c r="E1823" s="27"/>
      <c r="F1823" s="6"/>
      <c r="G1823" s="28"/>
      <c r="H1823" s="28"/>
      <c r="I1823" s="98"/>
      <c r="J1823" s="27"/>
      <c r="K1823" s="29"/>
      <c r="L1823" s="29"/>
      <c r="M1823" s="29"/>
      <c r="N1823" s="29"/>
    </row>
    <row r="1824" spans="2:14" x14ac:dyDescent="0.25">
      <c r="B1824" s="27"/>
      <c r="C1824" s="28"/>
      <c r="D1824" s="28"/>
      <c r="E1824" s="27"/>
      <c r="F1824" s="6"/>
      <c r="G1824" s="28"/>
      <c r="H1824" s="28"/>
      <c r="I1824" s="98"/>
      <c r="J1824" s="27"/>
      <c r="K1824" s="29"/>
      <c r="L1824" s="29"/>
      <c r="M1824" s="29"/>
      <c r="N1824" s="29"/>
    </row>
    <row r="1825" spans="2:14" x14ac:dyDescent="0.25">
      <c r="B1825" s="27"/>
      <c r="C1825" s="28"/>
      <c r="D1825" s="28"/>
      <c r="E1825" s="27"/>
      <c r="F1825" s="6"/>
      <c r="G1825" s="28"/>
      <c r="H1825" s="28"/>
      <c r="I1825" s="98"/>
      <c r="J1825" s="27"/>
      <c r="K1825" s="29"/>
      <c r="L1825" s="29"/>
      <c r="M1825" s="29"/>
      <c r="N1825" s="29"/>
    </row>
    <row r="1826" spans="2:14" x14ac:dyDescent="0.25">
      <c r="B1826" s="27"/>
      <c r="C1826" s="28"/>
      <c r="D1826" s="28"/>
      <c r="E1826" s="27"/>
      <c r="F1826" s="6"/>
      <c r="G1826" s="28"/>
      <c r="H1826" s="28"/>
      <c r="I1826" s="98"/>
      <c r="J1826" s="27"/>
      <c r="K1826" s="29"/>
      <c r="L1826" s="29"/>
      <c r="M1826" s="29"/>
      <c r="N1826" s="29"/>
    </row>
    <row r="1827" spans="2:14" x14ac:dyDescent="0.25">
      <c r="B1827" s="27"/>
      <c r="C1827" s="28"/>
      <c r="D1827" s="28"/>
      <c r="E1827" s="27"/>
      <c r="F1827" s="6"/>
      <c r="G1827" s="28"/>
      <c r="H1827" s="28"/>
      <c r="I1827" s="98"/>
      <c r="J1827" s="27"/>
      <c r="K1827" s="29"/>
      <c r="L1827" s="29"/>
      <c r="M1827" s="29"/>
      <c r="N1827" s="29"/>
    </row>
    <row r="1828" spans="2:14" x14ac:dyDescent="0.25">
      <c r="B1828" s="27"/>
      <c r="C1828" s="28"/>
      <c r="D1828" s="28"/>
      <c r="E1828" s="27"/>
      <c r="F1828" s="6"/>
      <c r="G1828" s="28"/>
      <c r="H1828" s="28"/>
      <c r="I1828" s="98"/>
      <c r="J1828" s="27"/>
      <c r="K1828" s="29"/>
      <c r="L1828" s="29"/>
      <c r="M1828" s="29"/>
      <c r="N1828" s="29"/>
    </row>
    <row r="1829" spans="2:14" x14ac:dyDescent="0.25">
      <c r="B1829" s="27"/>
      <c r="C1829" s="28"/>
      <c r="D1829" s="28"/>
      <c r="E1829" s="27"/>
      <c r="F1829" s="6"/>
      <c r="G1829" s="28"/>
      <c r="H1829" s="28"/>
      <c r="I1829" s="98"/>
      <c r="J1829" s="27"/>
      <c r="K1829" s="29"/>
      <c r="L1829" s="29"/>
      <c r="M1829" s="29"/>
      <c r="N1829" s="29"/>
    </row>
    <row r="1830" spans="2:14" x14ac:dyDescent="0.25">
      <c r="B1830" s="27"/>
      <c r="C1830" s="28"/>
      <c r="D1830" s="28"/>
      <c r="E1830" s="27"/>
      <c r="F1830" s="6"/>
      <c r="G1830" s="28"/>
      <c r="H1830" s="28"/>
      <c r="I1830" s="98"/>
      <c r="J1830" s="27"/>
      <c r="K1830" s="29"/>
      <c r="L1830" s="29"/>
      <c r="M1830" s="29"/>
      <c r="N1830" s="29"/>
    </row>
    <row r="1831" spans="2:14" x14ac:dyDescent="0.25">
      <c r="B1831" s="27"/>
      <c r="C1831" s="28"/>
      <c r="D1831" s="28"/>
      <c r="E1831" s="27"/>
      <c r="F1831" s="6"/>
      <c r="G1831" s="28"/>
      <c r="H1831" s="28"/>
      <c r="I1831" s="98"/>
      <c r="J1831" s="27"/>
      <c r="K1831" s="29"/>
      <c r="L1831" s="29"/>
      <c r="M1831" s="29"/>
      <c r="N1831" s="29"/>
    </row>
    <row r="1832" spans="2:14" x14ac:dyDescent="0.25">
      <c r="B1832" s="27"/>
      <c r="C1832" s="28"/>
      <c r="D1832" s="28"/>
      <c r="E1832" s="27"/>
      <c r="F1832" s="6"/>
      <c r="G1832" s="28"/>
      <c r="H1832" s="28"/>
      <c r="I1832" s="98"/>
      <c r="J1832" s="27"/>
      <c r="K1832" s="29"/>
      <c r="L1832" s="29"/>
      <c r="M1832" s="29"/>
      <c r="N1832" s="29"/>
    </row>
    <row r="1833" spans="2:14" x14ac:dyDescent="0.25">
      <c r="B1833" s="27"/>
      <c r="C1833" s="28"/>
      <c r="D1833" s="28"/>
      <c r="E1833" s="27"/>
      <c r="F1833" s="6"/>
      <c r="G1833" s="28"/>
      <c r="H1833" s="28"/>
      <c r="I1833" s="98"/>
      <c r="J1833" s="27"/>
      <c r="K1833" s="29"/>
      <c r="L1833" s="29"/>
      <c r="M1833" s="29"/>
      <c r="N1833" s="29"/>
    </row>
    <row r="1834" spans="2:14" x14ac:dyDescent="0.25">
      <c r="B1834" s="27"/>
      <c r="C1834" s="28"/>
      <c r="D1834" s="28"/>
      <c r="E1834" s="27"/>
      <c r="F1834" s="6"/>
      <c r="G1834" s="28"/>
      <c r="H1834" s="28"/>
      <c r="I1834" s="98"/>
      <c r="J1834" s="27"/>
      <c r="K1834" s="29"/>
      <c r="L1834" s="29"/>
      <c r="M1834" s="29"/>
      <c r="N1834" s="29"/>
    </row>
    <row r="1835" spans="2:14" x14ac:dyDescent="0.25">
      <c r="B1835" s="27"/>
      <c r="C1835" s="28"/>
      <c r="D1835" s="28"/>
      <c r="E1835" s="27"/>
      <c r="F1835" s="6"/>
      <c r="G1835" s="28"/>
      <c r="H1835" s="28"/>
      <c r="I1835" s="98"/>
      <c r="J1835" s="27"/>
      <c r="K1835" s="29"/>
      <c r="L1835" s="29"/>
      <c r="M1835" s="29"/>
      <c r="N1835" s="29"/>
    </row>
    <row r="1836" spans="2:14" x14ac:dyDescent="0.25">
      <c r="B1836" s="27"/>
      <c r="C1836" s="28"/>
      <c r="D1836" s="28"/>
      <c r="E1836" s="27"/>
      <c r="F1836" s="6"/>
      <c r="G1836" s="28"/>
      <c r="H1836" s="28"/>
      <c r="I1836" s="98"/>
      <c r="J1836" s="27"/>
      <c r="K1836" s="29"/>
      <c r="L1836" s="29"/>
      <c r="M1836" s="29"/>
      <c r="N1836" s="29"/>
    </row>
    <row r="1837" spans="2:14" x14ac:dyDescent="0.25">
      <c r="B1837" s="27"/>
      <c r="C1837" s="28"/>
      <c r="D1837" s="28"/>
      <c r="E1837" s="27"/>
      <c r="F1837" s="6"/>
      <c r="G1837" s="28"/>
      <c r="H1837" s="28"/>
      <c r="I1837" s="98"/>
      <c r="J1837" s="27"/>
      <c r="K1837" s="29"/>
      <c r="L1837" s="29"/>
      <c r="M1837" s="29"/>
      <c r="N1837" s="29"/>
    </row>
    <row r="1838" spans="2:14" x14ac:dyDescent="0.25">
      <c r="B1838" s="27"/>
      <c r="C1838" s="28"/>
      <c r="D1838" s="28"/>
      <c r="E1838" s="27"/>
      <c r="F1838" s="6"/>
      <c r="G1838" s="28"/>
      <c r="H1838" s="28"/>
      <c r="I1838" s="98"/>
      <c r="J1838" s="27"/>
      <c r="K1838" s="29"/>
      <c r="L1838" s="29"/>
      <c r="M1838" s="29"/>
      <c r="N1838" s="29"/>
    </row>
    <row r="1839" spans="2:14" x14ac:dyDescent="0.25">
      <c r="B1839" s="27"/>
      <c r="C1839" s="28"/>
      <c r="D1839" s="28"/>
      <c r="E1839" s="27"/>
      <c r="F1839" s="6"/>
      <c r="G1839" s="28"/>
      <c r="H1839" s="28"/>
      <c r="I1839" s="98"/>
      <c r="J1839" s="27"/>
      <c r="K1839" s="29"/>
      <c r="L1839" s="29"/>
      <c r="M1839" s="29"/>
      <c r="N1839" s="29"/>
    </row>
    <row r="1840" spans="2:14" x14ac:dyDescent="0.25">
      <c r="B1840" s="27"/>
      <c r="C1840" s="28"/>
      <c r="D1840" s="28"/>
      <c r="E1840" s="27"/>
      <c r="F1840" s="6"/>
      <c r="G1840" s="28"/>
      <c r="H1840" s="28"/>
      <c r="I1840" s="98"/>
      <c r="J1840" s="27"/>
      <c r="K1840" s="29"/>
      <c r="L1840" s="29"/>
      <c r="M1840" s="29"/>
      <c r="N1840" s="29"/>
    </row>
    <row r="1841" spans="2:14" x14ac:dyDescent="0.25">
      <c r="B1841" s="27"/>
      <c r="C1841" s="28"/>
      <c r="D1841" s="28"/>
      <c r="E1841" s="27"/>
      <c r="F1841" s="6"/>
      <c r="G1841" s="28"/>
      <c r="H1841" s="28"/>
      <c r="I1841" s="98"/>
      <c r="J1841" s="27"/>
      <c r="K1841" s="29"/>
      <c r="L1841" s="29"/>
      <c r="M1841" s="29"/>
      <c r="N1841" s="29"/>
    </row>
    <row r="1842" spans="2:14" x14ac:dyDescent="0.25">
      <c r="B1842" s="27"/>
      <c r="C1842" s="28"/>
      <c r="D1842" s="28"/>
      <c r="E1842" s="27"/>
      <c r="F1842" s="6"/>
      <c r="G1842" s="28"/>
      <c r="H1842" s="28"/>
      <c r="I1842" s="98"/>
      <c r="J1842" s="27"/>
      <c r="K1842" s="29"/>
      <c r="L1842" s="29"/>
      <c r="M1842" s="29"/>
      <c r="N1842" s="29"/>
    </row>
    <row r="1843" spans="2:14" x14ac:dyDescent="0.25">
      <c r="B1843" s="27"/>
      <c r="C1843" s="28"/>
      <c r="D1843" s="28"/>
      <c r="E1843" s="27"/>
      <c r="F1843" s="6"/>
      <c r="G1843" s="28"/>
      <c r="H1843" s="28"/>
      <c r="I1843" s="98"/>
      <c r="J1843" s="27"/>
      <c r="K1843" s="29"/>
      <c r="L1843" s="29"/>
      <c r="M1843" s="29"/>
      <c r="N1843" s="29"/>
    </row>
    <row r="1844" spans="2:14" x14ac:dyDescent="0.25">
      <c r="B1844" s="27"/>
      <c r="C1844" s="28"/>
      <c r="D1844" s="28"/>
      <c r="E1844" s="27"/>
      <c r="F1844" s="6"/>
      <c r="G1844" s="28"/>
      <c r="H1844" s="28"/>
      <c r="I1844" s="98"/>
      <c r="J1844" s="27"/>
      <c r="K1844" s="29"/>
      <c r="L1844" s="29"/>
      <c r="M1844" s="29"/>
      <c r="N1844" s="29"/>
    </row>
    <row r="1845" spans="2:14" x14ac:dyDescent="0.25">
      <c r="B1845" s="27"/>
      <c r="C1845" s="28"/>
      <c r="D1845" s="28"/>
      <c r="E1845" s="27"/>
      <c r="F1845" s="6"/>
      <c r="G1845" s="28"/>
      <c r="H1845" s="28"/>
      <c r="I1845" s="98"/>
      <c r="J1845" s="27"/>
      <c r="K1845" s="29"/>
      <c r="L1845" s="29"/>
      <c r="M1845" s="29"/>
      <c r="N1845" s="29"/>
    </row>
    <row r="1846" spans="2:14" x14ac:dyDescent="0.25">
      <c r="B1846" s="27"/>
      <c r="C1846" s="28"/>
      <c r="D1846" s="28"/>
      <c r="E1846" s="27"/>
      <c r="F1846" s="6"/>
      <c r="G1846" s="28"/>
      <c r="H1846" s="28"/>
      <c r="I1846" s="98"/>
      <c r="J1846" s="27"/>
      <c r="K1846" s="29"/>
      <c r="L1846" s="29"/>
      <c r="M1846" s="29"/>
      <c r="N1846" s="29"/>
    </row>
    <row r="1847" spans="2:14" x14ac:dyDescent="0.25">
      <c r="B1847" s="27"/>
      <c r="C1847" s="28"/>
      <c r="D1847" s="28"/>
      <c r="E1847" s="27"/>
      <c r="F1847" s="6"/>
      <c r="G1847" s="28"/>
      <c r="H1847" s="28"/>
      <c r="I1847" s="98"/>
      <c r="J1847" s="27"/>
      <c r="K1847" s="29"/>
      <c r="L1847" s="29"/>
      <c r="M1847" s="29"/>
      <c r="N1847" s="29"/>
    </row>
    <row r="1848" spans="2:14" x14ac:dyDescent="0.25">
      <c r="B1848" s="27"/>
      <c r="C1848" s="28"/>
      <c r="D1848" s="28"/>
      <c r="E1848" s="27"/>
      <c r="F1848" s="6"/>
      <c r="G1848" s="28"/>
      <c r="H1848" s="28"/>
      <c r="I1848" s="98"/>
      <c r="J1848" s="27"/>
      <c r="K1848" s="29"/>
      <c r="L1848" s="29"/>
      <c r="M1848" s="29"/>
      <c r="N1848" s="29"/>
    </row>
    <row r="1849" spans="2:14" x14ac:dyDescent="0.25">
      <c r="B1849" s="27"/>
      <c r="C1849" s="28"/>
      <c r="D1849" s="28"/>
      <c r="E1849" s="27"/>
      <c r="F1849" s="6"/>
      <c r="G1849" s="28"/>
      <c r="H1849" s="28"/>
      <c r="I1849" s="98"/>
      <c r="J1849" s="27"/>
      <c r="K1849" s="29"/>
      <c r="L1849" s="29"/>
      <c r="M1849" s="29"/>
      <c r="N1849" s="29"/>
    </row>
    <row r="1850" spans="2:14" x14ac:dyDescent="0.25">
      <c r="B1850" s="27"/>
      <c r="C1850" s="28"/>
      <c r="D1850" s="28"/>
      <c r="E1850" s="27"/>
      <c r="F1850" s="6"/>
      <c r="G1850" s="28"/>
      <c r="H1850" s="28"/>
      <c r="I1850" s="98"/>
      <c r="J1850" s="27"/>
      <c r="K1850" s="29"/>
      <c r="L1850" s="29"/>
      <c r="M1850" s="29"/>
      <c r="N1850" s="29"/>
    </row>
    <row r="1851" spans="2:14" x14ac:dyDescent="0.25">
      <c r="B1851" s="27"/>
      <c r="C1851" s="28"/>
      <c r="D1851" s="28"/>
      <c r="E1851" s="27"/>
      <c r="F1851" s="6"/>
      <c r="G1851" s="28"/>
      <c r="H1851" s="28"/>
      <c r="I1851" s="98"/>
      <c r="J1851" s="27"/>
      <c r="K1851" s="29"/>
      <c r="L1851" s="29"/>
      <c r="M1851" s="29"/>
      <c r="N1851" s="29"/>
    </row>
    <row r="1852" spans="2:14" x14ac:dyDescent="0.25">
      <c r="B1852" s="27"/>
      <c r="C1852" s="28"/>
      <c r="D1852" s="28"/>
      <c r="E1852" s="27"/>
      <c r="F1852" s="6"/>
      <c r="G1852" s="28"/>
      <c r="H1852" s="28"/>
      <c r="I1852" s="98"/>
      <c r="J1852" s="27"/>
      <c r="K1852" s="29"/>
      <c r="L1852" s="29"/>
      <c r="M1852" s="29"/>
      <c r="N1852" s="29"/>
    </row>
    <row r="1853" spans="2:14" x14ac:dyDescent="0.25">
      <c r="B1853" s="27"/>
      <c r="C1853" s="28"/>
      <c r="D1853" s="28"/>
      <c r="E1853" s="27"/>
      <c r="F1853" s="6"/>
      <c r="G1853" s="28"/>
      <c r="H1853" s="28"/>
      <c r="I1853" s="98"/>
      <c r="J1853" s="27"/>
      <c r="K1853" s="29"/>
      <c r="L1853" s="29"/>
      <c r="M1853" s="29"/>
      <c r="N1853" s="29"/>
    </row>
    <row r="1854" spans="2:14" x14ac:dyDescent="0.25">
      <c r="B1854" s="27"/>
      <c r="C1854" s="28"/>
      <c r="D1854" s="28"/>
      <c r="E1854" s="27"/>
      <c r="F1854" s="6"/>
      <c r="G1854" s="28"/>
      <c r="H1854" s="28"/>
      <c r="I1854" s="98"/>
      <c r="J1854" s="27"/>
      <c r="K1854" s="29"/>
      <c r="L1854" s="29"/>
      <c r="M1854" s="29"/>
      <c r="N1854" s="29"/>
    </row>
    <row r="1855" spans="2:14" x14ac:dyDescent="0.25">
      <c r="B1855" s="27"/>
      <c r="C1855" s="28"/>
      <c r="D1855" s="28"/>
      <c r="E1855" s="27"/>
      <c r="F1855" s="6"/>
      <c r="G1855" s="28"/>
      <c r="H1855" s="28"/>
      <c r="I1855" s="98"/>
      <c r="J1855" s="27"/>
      <c r="K1855" s="29"/>
      <c r="L1855" s="29"/>
      <c r="M1855" s="29"/>
      <c r="N1855" s="29"/>
    </row>
    <row r="1856" spans="2:14" x14ac:dyDescent="0.25">
      <c r="B1856" s="27"/>
      <c r="C1856" s="28"/>
      <c r="D1856" s="28"/>
      <c r="E1856" s="27"/>
      <c r="F1856" s="6"/>
      <c r="G1856" s="28"/>
      <c r="H1856" s="28"/>
      <c r="I1856" s="98"/>
      <c r="J1856" s="27"/>
      <c r="K1856" s="29"/>
      <c r="L1856" s="29"/>
      <c r="M1856" s="29"/>
      <c r="N1856" s="29"/>
    </row>
    <row r="1857" spans="2:14" x14ac:dyDescent="0.25">
      <c r="B1857" s="27"/>
      <c r="C1857" s="28"/>
      <c r="D1857" s="28"/>
      <c r="E1857" s="27"/>
      <c r="F1857" s="6"/>
      <c r="G1857" s="28"/>
      <c r="H1857" s="28"/>
      <c r="I1857" s="98"/>
      <c r="J1857" s="27"/>
      <c r="K1857" s="29"/>
      <c r="L1857" s="29"/>
      <c r="M1857" s="29"/>
      <c r="N1857" s="29"/>
    </row>
    <row r="1858" spans="2:14" x14ac:dyDescent="0.25">
      <c r="B1858" s="27"/>
      <c r="C1858" s="28"/>
      <c r="D1858" s="28"/>
      <c r="E1858" s="27"/>
      <c r="F1858" s="6"/>
      <c r="G1858" s="28"/>
      <c r="H1858" s="28"/>
      <c r="I1858" s="98"/>
      <c r="J1858" s="27"/>
      <c r="K1858" s="29"/>
      <c r="L1858" s="29"/>
      <c r="M1858" s="29"/>
      <c r="N1858" s="29"/>
    </row>
    <row r="1859" spans="2:14" x14ac:dyDescent="0.25">
      <c r="B1859" s="27"/>
      <c r="C1859" s="28"/>
      <c r="D1859" s="28"/>
      <c r="E1859" s="27"/>
      <c r="F1859" s="6"/>
      <c r="G1859" s="28"/>
      <c r="H1859" s="28"/>
      <c r="I1859" s="98"/>
      <c r="J1859" s="27"/>
      <c r="K1859" s="29"/>
      <c r="L1859" s="29"/>
      <c r="M1859" s="29"/>
      <c r="N1859" s="29"/>
    </row>
    <row r="1860" spans="2:14" x14ac:dyDescent="0.25">
      <c r="B1860" s="27"/>
      <c r="C1860" s="28"/>
      <c r="D1860" s="28"/>
      <c r="E1860" s="27"/>
      <c r="F1860" s="6"/>
      <c r="G1860" s="28"/>
      <c r="H1860" s="28"/>
      <c r="I1860" s="98"/>
      <c r="J1860" s="27"/>
      <c r="K1860" s="29"/>
      <c r="L1860" s="29"/>
      <c r="M1860" s="29"/>
      <c r="N1860" s="29"/>
    </row>
    <row r="1861" spans="2:14" x14ac:dyDescent="0.25">
      <c r="B1861" s="27"/>
      <c r="C1861" s="28"/>
      <c r="D1861" s="28"/>
      <c r="E1861" s="27"/>
      <c r="F1861" s="6"/>
      <c r="G1861" s="28"/>
      <c r="H1861" s="28"/>
      <c r="I1861" s="98"/>
      <c r="J1861" s="27"/>
      <c r="K1861" s="29"/>
      <c r="L1861" s="29"/>
      <c r="M1861" s="29"/>
      <c r="N1861" s="29"/>
    </row>
    <row r="1862" spans="2:14" x14ac:dyDescent="0.25">
      <c r="B1862" s="27"/>
      <c r="C1862" s="28"/>
      <c r="D1862" s="28"/>
      <c r="E1862" s="27"/>
      <c r="F1862" s="6"/>
      <c r="G1862" s="28"/>
      <c r="H1862" s="28"/>
      <c r="I1862" s="98"/>
      <c r="J1862" s="27"/>
      <c r="K1862" s="29"/>
      <c r="L1862" s="29"/>
      <c r="M1862" s="29"/>
      <c r="N1862" s="29"/>
    </row>
    <row r="1863" spans="2:14" x14ac:dyDescent="0.25">
      <c r="B1863" s="27"/>
      <c r="C1863" s="28"/>
      <c r="D1863" s="28"/>
      <c r="E1863" s="27"/>
      <c r="F1863" s="6"/>
      <c r="G1863" s="28"/>
      <c r="H1863" s="28"/>
      <c r="I1863" s="98"/>
      <c r="J1863" s="27"/>
      <c r="K1863" s="29"/>
      <c r="L1863" s="29"/>
      <c r="M1863" s="29"/>
      <c r="N1863" s="29"/>
    </row>
    <row r="1864" spans="2:14" x14ac:dyDescent="0.25">
      <c r="B1864" s="27"/>
      <c r="C1864" s="28"/>
      <c r="D1864" s="28"/>
      <c r="E1864" s="27"/>
      <c r="F1864" s="6"/>
      <c r="G1864" s="28"/>
      <c r="H1864" s="28"/>
      <c r="I1864" s="98"/>
      <c r="J1864" s="27"/>
      <c r="K1864" s="29"/>
      <c r="L1864" s="29"/>
      <c r="M1864" s="29"/>
      <c r="N1864" s="29"/>
    </row>
    <row r="1865" spans="2:14" x14ac:dyDescent="0.25">
      <c r="B1865" s="27"/>
      <c r="C1865" s="28"/>
      <c r="D1865" s="28"/>
      <c r="E1865" s="27"/>
      <c r="F1865" s="6"/>
      <c r="G1865" s="28"/>
      <c r="H1865" s="28"/>
      <c r="I1865" s="98"/>
      <c r="J1865" s="27"/>
      <c r="K1865" s="29"/>
      <c r="L1865" s="29"/>
      <c r="M1865" s="29"/>
      <c r="N1865" s="29"/>
    </row>
    <row r="1866" spans="2:14" x14ac:dyDescent="0.25">
      <c r="B1866" s="27"/>
      <c r="C1866" s="28"/>
      <c r="D1866" s="28"/>
      <c r="E1866" s="27"/>
      <c r="F1866" s="6"/>
      <c r="G1866" s="28"/>
      <c r="H1866" s="28"/>
      <c r="I1866" s="98"/>
      <c r="J1866" s="27"/>
      <c r="K1866" s="29"/>
      <c r="L1866" s="29"/>
      <c r="M1866" s="29"/>
      <c r="N1866" s="29"/>
    </row>
    <row r="1867" spans="2:14" x14ac:dyDescent="0.25">
      <c r="B1867" s="27"/>
      <c r="C1867" s="28"/>
      <c r="D1867" s="28"/>
      <c r="E1867" s="27"/>
      <c r="F1867" s="6"/>
      <c r="G1867" s="28"/>
      <c r="H1867" s="28"/>
      <c r="I1867" s="98"/>
      <c r="J1867" s="27"/>
      <c r="K1867" s="29"/>
      <c r="L1867" s="29"/>
      <c r="M1867" s="29"/>
      <c r="N1867" s="29"/>
    </row>
    <row r="1868" spans="2:14" x14ac:dyDescent="0.25">
      <c r="B1868" s="27"/>
      <c r="C1868" s="28"/>
      <c r="D1868" s="28"/>
      <c r="E1868" s="27"/>
      <c r="F1868" s="6"/>
      <c r="G1868" s="28"/>
      <c r="H1868" s="28"/>
      <c r="I1868" s="98"/>
      <c r="J1868" s="27"/>
      <c r="K1868" s="29"/>
      <c r="L1868" s="29"/>
      <c r="M1868" s="29"/>
      <c r="N1868" s="29"/>
    </row>
    <row r="1869" spans="2:14" x14ac:dyDescent="0.25">
      <c r="B1869" s="27"/>
      <c r="C1869" s="28"/>
      <c r="D1869" s="28"/>
      <c r="E1869" s="27"/>
      <c r="F1869" s="6"/>
      <c r="G1869" s="28"/>
      <c r="H1869" s="28"/>
      <c r="I1869" s="98"/>
      <c r="J1869" s="27"/>
      <c r="K1869" s="29"/>
      <c r="L1869" s="29"/>
      <c r="M1869" s="29"/>
      <c r="N1869" s="29"/>
    </row>
    <row r="1870" spans="2:14" x14ac:dyDescent="0.25">
      <c r="B1870" s="27"/>
      <c r="C1870" s="28"/>
      <c r="D1870" s="28"/>
      <c r="E1870" s="27"/>
      <c r="F1870" s="6"/>
      <c r="G1870" s="28"/>
      <c r="H1870" s="28"/>
      <c r="I1870" s="98"/>
      <c r="J1870" s="27"/>
      <c r="K1870" s="29"/>
      <c r="L1870" s="29"/>
      <c r="M1870" s="29"/>
      <c r="N1870" s="29"/>
    </row>
    <row r="1871" spans="2:14" x14ac:dyDescent="0.25">
      <c r="B1871" s="27"/>
      <c r="C1871" s="28"/>
      <c r="D1871" s="28"/>
      <c r="E1871" s="27"/>
      <c r="F1871" s="6"/>
      <c r="G1871" s="28"/>
      <c r="H1871" s="28"/>
      <c r="I1871" s="98"/>
      <c r="J1871" s="27"/>
      <c r="K1871" s="29"/>
      <c r="L1871" s="29"/>
      <c r="M1871" s="29"/>
      <c r="N1871" s="29"/>
    </row>
    <row r="1872" spans="2:14" x14ac:dyDescent="0.25">
      <c r="B1872" s="27"/>
      <c r="C1872" s="28"/>
      <c r="D1872" s="28"/>
      <c r="E1872" s="27"/>
      <c r="F1872" s="6"/>
      <c r="G1872" s="28"/>
      <c r="H1872" s="28"/>
      <c r="I1872" s="98"/>
      <c r="J1872" s="27"/>
      <c r="K1872" s="29"/>
      <c r="L1872" s="29"/>
      <c r="M1872" s="29"/>
      <c r="N1872" s="29"/>
    </row>
    <row r="1873" spans="2:14" x14ac:dyDescent="0.25">
      <c r="B1873" s="27"/>
      <c r="C1873" s="28"/>
      <c r="D1873" s="28"/>
      <c r="E1873" s="27"/>
      <c r="F1873" s="6"/>
      <c r="G1873" s="28"/>
      <c r="H1873" s="28"/>
      <c r="I1873" s="98"/>
      <c r="J1873" s="27"/>
      <c r="K1873" s="29"/>
      <c r="L1873" s="29"/>
      <c r="M1873" s="29"/>
      <c r="N1873" s="29"/>
    </row>
    <row r="1874" spans="2:14" x14ac:dyDescent="0.25">
      <c r="B1874" s="27"/>
      <c r="C1874" s="28"/>
      <c r="D1874" s="28"/>
      <c r="E1874" s="27"/>
      <c r="F1874" s="6"/>
      <c r="G1874" s="28"/>
      <c r="H1874" s="28"/>
      <c r="I1874" s="98"/>
      <c r="J1874" s="27"/>
      <c r="K1874" s="29"/>
      <c r="L1874" s="29"/>
      <c r="M1874" s="29"/>
      <c r="N1874" s="29"/>
    </row>
    <row r="1875" spans="2:14" x14ac:dyDescent="0.25">
      <c r="B1875" s="27"/>
      <c r="C1875" s="28"/>
      <c r="D1875" s="28"/>
      <c r="E1875" s="27"/>
      <c r="F1875" s="6"/>
      <c r="G1875" s="28"/>
      <c r="H1875" s="28"/>
      <c r="I1875" s="98"/>
      <c r="J1875" s="27"/>
      <c r="K1875" s="29"/>
      <c r="L1875" s="29"/>
      <c r="M1875" s="29"/>
      <c r="N1875" s="29"/>
    </row>
    <row r="1876" spans="2:14" x14ac:dyDescent="0.25">
      <c r="B1876" s="27"/>
      <c r="C1876" s="28"/>
      <c r="D1876" s="28"/>
      <c r="E1876" s="27"/>
      <c r="F1876" s="6"/>
      <c r="G1876" s="28"/>
      <c r="H1876" s="28"/>
      <c r="I1876" s="98"/>
      <c r="J1876" s="27"/>
      <c r="K1876" s="29"/>
      <c r="L1876" s="29"/>
      <c r="M1876" s="29"/>
      <c r="N1876" s="29"/>
    </row>
    <row r="1877" spans="2:14" x14ac:dyDescent="0.25">
      <c r="B1877" s="27"/>
      <c r="C1877" s="28"/>
      <c r="D1877" s="28"/>
      <c r="E1877" s="27"/>
      <c r="F1877" s="6"/>
      <c r="G1877" s="28"/>
      <c r="H1877" s="28"/>
      <c r="I1877" s="98"/>
      <c r="J1877" s="27"/>
      <c r="K1877" s="29"/>
      <c r="L1877" s="29"/>
      <c r="M1877" s="29"/>
      <c r="N1877" s="29"/>
    </row>
    <row r="1878" spans="2:14" x14ac:dyDescent="0.25">
      <c r="B1878" s="27"/>
      <c r="C1878" s="28"/>
      <c r="D1878" s="28"/>
      <c r="E1878" s="27"/>
      <c r="F1878" s="6"/>
      <c r="G1878" s="28"/>
      <c r="H1878" s="28"/>
      <c r="I1878" s="98"/>
      <c r="J1878" s="27"/>
      <c r="K1878" s="29"/>
      <c r="L1878" s="29"/>
      <c r="M1878" s="29"/>
      <c r="N1878" s="29"/>
    </row>
    <row r="1879" spans="2:14" x14ac:dyDescent="0.25">
      <c r="B1879" s="27"/>
      <c r="C1879" s="28"/>
      <c r="D1879" s="28"/>
      <c r="E1879" s="27"/>
      <c r="F1879" s="6"/>
      <c r="G1879" s="28"/>
      <c r="H1879" s="28"/>
      <c r="I1879" s="98"/>
      <c r="J1879" s="27"/>
      <c r="K1879" s="29"/>
      <c r="L1879" s="29"/>
      <c r="M1879" s="29"/>
      <c r="N1879" s="29"/>
    </row>
    <row r="1880" spans="2:14" x14ac:dyDescent="0.25">
      <c r="B1880" s="27"/>
      <c r="C1880" s="28"/>
      <c r="D1880" s="28"/>
      <c r="E1880" s="27"/>
      <c r="F1880" s="6"/>
      <c r="G1880" s="28"/>
      <c r="H1880" s="28"/>
      <c r="I1880" s="98"/>
      <c r="J1880" s="27"/>
      <c r="K1880" s="29"/>
      <c r="L1880" s="29"/>
      <c r="M1880" s="29"/>
      <c r="N1880" s="29"/>
    </row>
    <row r="1881" spans="2:14" x14ac:dyDescent="0.25">
      <c r="B1881" s="27"/>
      <c r="C1881" s="28"/>
      <c r="D1881" s="28"/>
      <c r="E1881" s="27"/>
      <c r="F1881" s="6"/>
      <c r="G1881" s="28"/>
      <c r="H1881" s="28"/>
      <c r="I1881" s="98"/>
      <c r="J1881" s="27"/>
      <c r="K1881" s="29"/>
      <c r="L1881" s="29"/>
      <c r="M1881" s="29"/>
      <c r="N1881" s="29"/>
    </row>
    <row r="1882" spans="2:14" x14ac:dyDescent="0.25">
      <c r="B1882" s="27"/>
      <c r="C1882" s="28"/>
      <c r="D1882" s="28"/>
      <c r="E1882" s="27"/>
      <c r="F1882" s="6"/>
      <c r="G1882" s="28"/>
      <c r="H1882" s="28"/>
      <c r="I1882" s="98"/>
      <c r="J1882" s="27"/>
      <c r="K1882" s="29"/>
      <c r="L1882" s="29"/>
      <c r="M1882" s="29"/>
      <c r="N1882" s="29"/>
    </row>
    <row r="1883" spans="2:14" x14ac:dyDescent="0.25">
      <c r="B1883" s="27"/>
      <c r="C1883" s="28"/>
      <c r="D1883" s="28"/>
      <c r="E1883" s="27"/>
      <c r="F1883" s="6"/>
      <c r="G1883" s="28"/>
      <c r="H1883" s="28"/>
      <c r="I1883" s="98"/>
      <c r="J1883" s="27"/>
      <c r="K1883" s="29"/>
      <c r="L1883" s="29"/>
      <c r="M1883" s="29"/>
      <c r="N1883" s="29"/>
    </row>
    <row r="1884" spans="2:14" x14ac:dyDescent="0.25">
      <c r="B1884" s="27"/>
      <c r="C1884" s="28"/>
      <c r="D1884" s="28"/>
      <c r="E1884" s="27"/>
      <c r="F1884" s="6"/>
      <c r="G1884" s="28"/>
      <c r="H1884" s="28"/>
      <c r="I1884" s="98"/>
      <c r="J1884" s="27"/>
      <c r="K1884" s="29"/>
      <c r="L1884" s="29"/>
      <c r="M1884" s="29"/>
      <c r="N1884" s="29"/>
    </row>
    <row r="1885" spans="2:14" x14ac:dyDescent="0.25">
      <c r="B1885" s="27"/>
      <c r="C1885" s="28"/>
      <c r="D1885" s="28"/>
      <c r="E1885" s="27"/>
      <c r="F1885" s="6"/>
      <c r="G1885" s="28"/>
      <c r="H1885" s="28"/>
      <c r="I1885" s="98"/>
      <c r="J1885" s="27"/>
      <c r="K1885" s="29"/>
      <c r="L1885" s="29"/>
      <c r="M1885" s="29"/>
      <c r="N1885" s="29"/>
    </row>
    <row r="1886" spans="2:14" x14ac:dyDescent="0.25">
      <c r="B1886" s="27"/>
      <c r="C1886" s="28"/>
      <c r="D1886" s="28"/>
      <c r="E1886" s="27"/>
      <c r="F1886" s="6"/>
      <c r="G1886" s="28"/>
      <c r="H1886" s="28"/>
      <c r="I1886" s="98"/>
      <c r="J1886" s="27"/>
      <c r="K1886" s="29"/>
      <c r="L1886" s="29"/>
      <c r="M1886" s="29"/>
      <c r="N1886" s="29"/>
    </row>
    <row r="1887" spans="2:14" x14ac:dyDescent="0.25">
      <c r="B1887" s="27"/>
      <c r="C1887" s="28"/>
      <c r="D1887" s="28"/>
      <c r="E1887" s="27"/>
      <c r="F1887" s="6"/>
      <c r="G1887" s="28"/>
      <c r="H1887" s="28"/>
      <c r="I1887" s="98"/>
      <c r="J1887" s="27"/>
      <c r="K1887" s="29"/>
      <c r="L1887" s="29"/>
      <c r="M1887" s="29"/>
      <c r="N1887" s="29"/>
    </row>
    <row r="1888" spans="2:14" x14ac:dyDescent="0.25">
      <c r="B1888" s="27"/>
      <c r="C1888" s="28"/>
      <c r="D1888" s="28"/>
      <c r="E1888" s="27"/>
      <c r="F1888" s="6"/>
      <c r="G1888" s="28"/>
      <c r="H1888" s="28"/>
      <c r="I1888" s="98"/>
      <c r="J1888" s="27"/>
      <c r="K1888" s="29"/>
      <c r="L1888" s="29"/>
      <c r="M1888" s="29"/>
      <c r="N1888" s="29"/>
    </row>
    <row r="1889" spans="2:14" x14ac:dyDescent="0.25">
      <c r="B1889" s="27"/>
      <c r="C1889" s="28"/>
      <c r="D1889" s="28"/>
      <c r="E1889" s="27"/>
      <c r="F1889" s="6"/>
      <c r="G1889" s="28"/>
      <c r="H1889" s="28"/>
      <c r="I1889" s="98"/>
      <c r="J1889" s="27"/>
      <c r="K1889" s="29"/>
      <c r="L1889" s="29"/>
      <c r="M1889" s="29"/>
      <c r="N1889" s="29"/>
    </row>
    <row r="1890" spans="2:14" x14ac:dyDescent="0.25">
      <c r="B1890" s="27"/>
      <c r="C1890" s="28"/>
      <c r="D1890" s="28"/>
      <c r="E1890" s="27"/>
      <c r="F1890" s="6"/>
      <c r="G1890" s="28"/>
      <c r="H1890" s="28"/>
      <c r="I1890" s="98"/>
      <c r="J1890" s="27"/>
      <c r="K1890" s="29"/>
      <c r="L1890" s="29"/>
      <c r="M1890" s="29"/>
      <c r="N1890" s="29"/>
    </row>
    <row r="1891" spans="2:14" x14ac:dyDescent="0.25">
      <c r="B1891" s="27"/>
      <c r="C1891" s="28"/>
      <c r="D1891" s="28"/>
      <c r="E1891" s="27"/>
      <c r="F1891" s="6"/>
      <c r="G1891" s="28"/>
      <c r="H1891" s="28"/>
      <c r="I1891" s="98"/>
      <c r="J1891" s="27"/>
      <c r="K1891" s="29"/>
      <c r="L1891" s="29"/>
      <c r="M1891" s="29"/>
      <c r="N1891" s="29"/>
    </row>
    <row r="1892" spans="2:14" x14ac:dyDescent="0.25">
      <c r="B1892" s="27"/>
      <c r="C1892" s="28"/>
      <c r="D1892" s="28"/>
      <c r="E1892" s="27"/>
      <c r="F1892" s="6"/>
      <c r="G1892" s="28"/>
      <c r="H1892" s="28"/>
      <c r="I1892" s="98"/>
      <c r="J1892" s="27"/>
      <c r="K1892" s="29"/>
      <c r="L1892" s="29"/>
      <c r="M1892" s="29"/>
      <c r="N1892" s="29"/>
    </row>
    <row r="1893" spans="2:14" x14ac:dyDescent="0.25">
      <c r="B1893" s="27"/>
      <c r="C1893" s="28"/>
      <c r="D1893" s="28"/>
      <c r="E1893" s="27"/>
      <c r="F1893" s="6"/>
      <c r="G1893" s="28"/>
      <c r="H1893" s="28"/>
      <c r="I1893" s="98"/>
      <c r="J1893" s="27"/>
      <c r="K1893" s="29"/>
      <c r="L1893" s="29"/>
      <c r="M1893" s="29"/>
      <c r="N1893" s="29"/>
    </row>
    <row r="1894" spans="2:14" x14ac:dyDescent="0.25">
      <c r="B1894" s="27"/>
      <c r="C1894" s="28"/>
      <c r="D1894" s="28"/>
      <c r="E1894" s="27"/>
      <c r="F1894" s="6"/>
      <c r="G1894" s="28"/>
      <c r="H1894" s="28"/>
      <c r="I1894" s="98"/>
      <c r="J1894" s="27"/>
      <c r="K1894" s="29"/>
      <c r="L1894" s="29"/>
      <c r="M1894" s="29"/>
      <c r="N1894" s="29"/>
    </row>
    <row r="1895" spans="2:14" x14ac:dyDescent="0.25">
      <c r="B1895" s="27"/>
      <c r="C1895" s="28"/>
      <c r="D1895" s="28"/>
      <c r="E1895" s="27"/>
      <c r="F1895" s="6"/>
      <c r="G1895" s="28"/>
      <c r="H1895" s="28"/>
      <c r="I1895" s="98"/>
      <c r="J1895" s="27"/>
      <c r="K1895" s="29"/>
      <c r="L1895" s="29"/>
      <c r="M1895" s="29"/>
      <c r="N1895" s="29"/>
    </row>
    <row r="1896" spans="2:14" x14ac:dyDescent="0.25">
      <c r="B1896" s="27"/>
      <c r="C1896" s="28"/>
      <c r="D1896" s="28"/>
      <c r="E1896" s="27"/>
      <c r="F1896" s="6"/>
      <c r="G1896" s="28"/>
      <c r="H1896" s="28"/>
      <c r="I1896" s="98"/>
      <c r="J1896" s="27"/>
      <c r="K1896" s="29"/>
      <c r="L1896" s="29"/>
      <c r="M1896" s="29"/>
      <c r="N1896" s="29"/>
    </row>
    <row r="1897" spans="2:14" x14ac:dyDescent="0.25">
      <c r="B1897" s="27"/>
      <c r="C1897" s="28"/>
      <c r="D1897" s="28"/>
      <c r="E1897" s="27"/>
      <c r="F1897" s="6"/>
      <c r="G1897" s="28"/>
      <c r="H1897" s="28"/>
      <c r="I1897" s="98"/>
      <c r="J1897" s="27"/>
      <c r="K1897" s="29"/>
      <c r="L1897" s="29"/>
      <c r="M1897" s="29"/>
      <c r="N1897" s="29"/>
    </row>
    <row r="1898" spans="2:14" x14ac:dyDescent="0.25">
      <c r="B1898" s="27"/>
      <c r="C1898" s="28"/>
      <c r="D1898" s="28"/>
      <c r="E1898" s="27"/>
      <c r="F1898" s="6"/>
      <c r="G1898" s="28"/>
      <c r="H1898" s="28"/>
      <c r="I1898" s="98"/>
      <c r="J1898" s="27"/>
      <c r="K1898" s="29"/>
      <c r="L1898" s="29"/>
      <c r="M1898" s="29"/>
      <c r="N1898" s="29"/>
    </row>
    <row r="1899" spans="2:14" x14ac:dyDescent="0.25">
      <c r="B1899" s="27"/>
      <c r="C1899" s="28"/>
      <c r="D1899" s="28"/>
      <c r="E1899" s="27"/>
      <c r="F1899" s="6"/>
      <c r="G1899" s="28"/>
      <c r="H1899" s="28"/>
      <c r="I1899" s="98"/>
      <c r="J1899" s="27"/>
      <c r="K1899" s="29"/>
      <c r="L1899" s="29"/>
      <c r="M1899" s="29"/>
      <c r="N1899" s="29"/>
    </row>
    <row r="1900" spans="2:14" x14ac:dyDescent="0.25">
      <c r="B1900" s="27"/>
      <c r="C1900" s="28"/>
      <c r="D1900" s="28"/>
      <c r="E1900" s="27"/>
      <c r="F1900" s="6"/>
      <c r="G1900" s="28"/>
      <c r="H1900" s="28"/>
      <c r="I1900" s="98"/>
      <c r="J1900" s="27"/>
      <c r="K1900" s="29"/>
      <c r="L1900" s="29"/>
      <c r="M1900" s="29"/>
      <c r="N1900" s="29"/>
    </row>
    <row r="1901" spans="2:14" x14ac:dyDescent="0.25">
      <c r="B1901" s="27"/>
      <c r="C1901" s="28"/>
      <c r="D1901" s="28"/>
      <c r="E1901" s="27"/>
      <c r="F1901" s="6"/>
      <c r="G1901" s="28"/>
      <c r="H1901" s="28"/>
      <c r="I1901" s="98"/>
      <c r="J1901" s="27"/>
      <c r="K1901" s="29"/>
      <c r="L1901" s="29"/>
      <c r="M1901" s="29"/>
      <c r="N1901" s="29"/>
    </row>
    <row r="1902" spans="2:14" x14ac:dyDescent="0.25">
      <c r="B1902" s="27"/>
      <c r="C1902" s="28"/>
      <c r="D1902" s="28"/>
      <c r="E1902" s="27"/>
      <c r="F1902" s="6"/>
      <c r="G1902" s="28"/>
      <c r="H1902" s="28"/>
      <c r="I1902" s="98"/>
      <c r="J1902" s="27"/>
      <c r="K1902" s="29"/>
      <c r="L1902" s="29"/>
      <c r="M1902" s="29"/>
      <c r="N1902" s="29"/>
    </row>
    <row r="1903" spans="2:14" x14ac:dyDescent="0.25">
      <c r="B1903" s="27"/>
      <c r="C1903" s="28"/>
      <c r="D1903" s="28"/>
      <c r="E1903" s="27"/>
      <c r="F1903" s="6"/>
      <c r="G1903" s="28"/>
      <c r="H1903" s="28"/>
      <c r="I1903" s="98"/>
      <c r="J1903" s="27"/>
      <c r="K1903" s="29"/>
      <c r="L1903" s="29"/>
      <c r="M1903" s="29"/>
      <c r="N1903" s="29"/>
    </row>
    <row r="1904" spans="2:14" x14ac:dyDescent="0.25">
      <c r="B1904" s="27"/>
      <c r="C1904" s="28"/>
      <c r="D1904" s="28"/>
      <c r="E1904" s="27"/>
      <c r="F1904" s="6"/>
      <c r="G1904" s="28"/>
      <c r="H1904" s="28"/>
      <c r="I1904" s="98"/>
      <c r="J1904" s="27"/>
      <c r="K1904" s="29"/>
      <c r="L1904" s="29"/>
      <c r="M1904" s="29"/>
      <c r="N1904" s="29"/>
    </row>
    <row r="1905" spans="2:14" x14ac:dyDescent="0.25">
      <c r="B1905" s="27"/>
      <c r="C1905" s="28"/>
      <c r="D1905" s="28"/>
      <c r="E1905" s="27"/>
      <c r="F1905" s="6"/>
      <c r="G1905" s="28"/>
      <c r="H1905" s="28"/>
      <c r="I1905" s="98"/>
      <c r="J1905" s="27"/>
      <c r="K1905" s="29"/>
      <c r="L1905" s="29"/>
      <c r="M1905" s="29"/>
      <c r="N1905" s="29"/>
    </row>
    <row r="1906" spans="2:14" x14ac:dyDescent="0.25">
      <c r="B1906" s="27"/>
      <c r="C1906" s="28"/>
      <c r="D1906" s="28"/>
      <c r="E1906" s="27"/>
      <c r="F1906" s="6"/>
      <c r="G1906" s="28"/>
      <c r="H1906" s="28"/>
      <c r="I1906" s="98"/>
      <c r="J1906" s="27"/>
      <c r="K1906" s="29"/>
      <c r="L1906" s="29"/>
      <c r="M1906" s="29"/>
      <c r="N1906" s="29"/>
    </row>
    <row r="1907" spans="2:14" x14ac:dyDescent="0.25">
      <c r="B1907" s="27"/>
      <c r="C1907" s="28"/>
      <c r="D1907" s="28"/>
      <c r="E1907" s="27"/>
      <c r="F1907" s="6"/>
      <c r="G1907" s="28"/>
      <c r="H1907" s="28"/>
      <c r="I1907" s="98"/>
      <c r="J1907" s="27"/>
      <c r="K1907" s="29"/>
      <c r="L1907" s="29"/>
      <c r="M1907" s="29"/>
      <c r="N1907" s="29"/>
    </row>
    <row r="1908" spans="2:14" x14ac:dyDescent="0.25">
      <c r="B1908" s="27"/>
      <c r="C1908" s="28"/>
      <c r="D1908" s="28"/>
      <c r="E1908" s="27"/>
      <c r="F1908" s="6"/>
      <c r="G1908" s="28"/>
      <c r="H1908" s="28"/>
      <c r="I1908" s="98"/>
      <c r="J1908" s="27"/>
      <c r="K1908" s="29"/>
      <c r="L1908" s="29"/>
      <c r="M1908" s="29"/>
      <c r="N1908" s="29"/>
    </row>
    <row r="1909" spans="2:14" x14ac:dyDescent="0.25">
      <c r="B1909" s="27"/>
      <c r="C1909" s="28"/>
      <c r="D1909" s="28"/>
      <c r="E1909" s="27"/>
      <c r="F1909" s="6"/>
      <c r="G1909" s="28"/>
      <c r="H1909" s="28"/>
      <c r="I1909" s="98"/>
      <c r="J1909" s="27"/>
      <c r="K1909" s="29"/>
      <c r="L1909" s="29"/>
      <c r="M1909" s="29"/>
      <c r="N1909" s="29"/>
    </row>
    <row r="1910" spans="2:14" x14ac:dyDescent="0.25">
      <c r="B1910" s="27"/>
      <c r="C1910" s="28"/>
      <c r="D1910" s="28"/>
      <c r="E1910" s="27"/>
      <c r="F1910" s="6"/>
      <c r="G1910" s="28"/>
      <c r="H1910" s="28"/>
      <c r="I1910" s="98"/>
      <c r="J1910" s="27"/>
      <c r="K1910" s="29"/>
      <c r="L1910" s="29"/>
      <c r="M1910" s="29"/>
      <c r="N1910" s="29"/>
    </row>
    <row r="1911" spans="2:14" x14ac:dyDescent="0.25">
      <c r="B1911" s="27"/>
      <c r="C1911" s="28"/>
      <c r="D1911" s="28"/>
      <c r="E1911" s="27"/>
      <c r="F1911" s="6"/>
      <c r="G1911" s="28"/>
      <c r="H1911" s="28"/>
      <c r="I1911" s="98"/>
      <c r="J1911" s="27"/>
      <c r="K1911" s="29"/>
      <c r="L1911" s="29"/>
      <c r="M1911" s="29"/>
      <c r="N1911" s="29"/>
    </row>
    <row r="1912" spans="2:14" x14ac:dyDescent="0.25">
      <c r="B1912" s="27"/>
      <c r="C1912" s="28"/>
      <c r="D1912" s="28"/>
      <c r="E1912" s="27"/>
      <c r="F1912" s="6"/>
      <c r="G1912" s="28"/>
      <c r="H1912" s="28"/>
      <c r="I1912" s="98"/>
      <c r="J1912" s="27"/>
      <c r="K1912" s="29"/>
      <c r="L1912" s="29"/>
      <c r="M1912" s="29"/>
      <c r="N1912" s="29"/>
    </row>
    <row r="1913" spans="2:14" x14ac:dyDescent="0.25">
      <c r="B1913" s="27"/>
      <c r="C1913" s="28"/>
      <c r="D1913" s="28"/>
      <c r="E1913" s="27"/>
      <c r="F1913" s="6"/>
      <c r="G1913" s="28"/>
      <c r="H1913" s="28"/>
      <c r="I1913" s="98"/>
      <c r="J1913" s="27"/>
      <c r="K1913" s="29"/>
      <c r="L1913" s="29"/>
      <c r="M1913" s="29"/>
      <c r="N1913" s="29"/>
    </row>
    <row r="1914" spans="2:14" x14ac:dyDescent="0.25">
      <c r="B1914" s="27"/>
      <c r="C1914" s="28"/>
      <c r="D1914" s="28"/>
      <c r="E1914" s="27"/>
      <c r="F1914" s="6"/>
      <c r="G1914" s="28"/>
      <c r="H1914" s="28"/>
      <c r="I1914" s="98"/>
      <c r="J1914" s="27"/>
      <c r="K1914" s="29"/>
      <c r="L1914" s="29"/>
      <c r="M1914" s="29"/>
      <c r="N1914" s="29"/>
    </row>
    <row r="1915" spans="2:14" x14ac:dyDescent="0.25">
      <c r="B1915" s="27"/>
      <c r="C1915" s="28"/>
      <c r="D1915" s="28"/>
      <c r="E1915" s="27"/>
      <c r="F1915" s="6"/>
      <c r="G1915" s="28"/>
      <c r="H1915" s="28"/>
      <c r="I1915" s="98"/>
      <c r="J1915" s="27"/>
      <c r="K1915" s="29"/>
      <c r="L1915" s="29"/>
      <c r="M1915" s="29"/>
      <c r="N1915" s="29"/>
    </row>
    <row r="1916" spans="2:14" x14ac:dyDescent="0.25">
      <c r="B1916" s="27"/>
      <c r="C1916" s="28"/>
      <c r="D1916" s="28"/>
      <c r="E1916" s="27"/>
      <c r="F1916" s="6"/>
      <c r="G1916" s="28"/>
      <c r="H1916" s="28"/>
      <c r="I1916" s="98"/>
      <c r="J1916" s="27"/>
      <c r="K1916" s="29"/>
      <c r="L1916" s="29"/>
      <c r="M1916" s="29"/>
      <c r="N1916" s="29"/>
    </row>
    <row r="1917" spans="2:14" x14ac:dyDescent="0.25">
      <c r="B1917" s="27"/>
      <c r="C1917" s="28"/>
      <c r="D1917" s="28"/>
      <c r="E1917" s="27"/>
      <c r="F1917" s="6"/>
      <c r="G1917" s="28"/>
      <c r="H1917" s="28"/>
      <c r="I1917" s="98"/>
      <c r="J1917" s="27"/>
      <c r="K1917" s="29"/>
      <c r="L1917" s="29"/>
      <c r="M1917" s="29"/>
      <c r="N1917" s="29"/>
    </row>
    <row r="1918" spans="2:14" x14ac:dyDescent="0.25">
      <c r="B1918" s="27"/>
      <c r="C1918" s="28"/>
      <c r="D1918" s="28"/>
      <c r="E1918" s="27"/>
      <c r="F1918" s="6"/>
      <c r="G1918" s="28"/>
      <c r="H1918" s="28"/>
      <c r="I1918" s="98"/>
      <c r="J1918" s="27"/>
      <c r="K1918" s="29"/>
      <c r="L1918" s="29"/>
      <c r="M1918" s="29"/>
      <c r="N1918" s="29"/>
    </row>
    <row r="1919" spans="2:14" x14ac:dyDescent="0.25">
      <c r="B1919" s="27"/>
      <c r="C1919" s="28"/>
      <c r="D1919" s="28"/>
      <c r="E1919" s="27"/>
      <c r="F1919" s="6"/>
      <c r="G1919" s="28"/>
      <c r="H1919" s="28"/>
      <c r="I1919" s="98"/>
      <c r="J1919" s="27"/>
      <c r="K1919" s="29"/>
      <c r="L1919" s="29"/>
      <c r="M1919" s="29"/>
      <c r="N1919" s="29"/>
    </row>
    <row r="1920" spans="2:14" x14ac:dyDescent="0.25">
      <c r="B1920" s="27"/>
      <c r="C1920" s="28"/>
      <c r="D1920" s="28"/>
      <c r="E1920" s="27"/>
      <c r="F1920" s="6"/>
      <c r="G1920" s="28"/>
      <c r="H1920" s="28"/>
      <c r="I1920" s="98"/>
      <c r="J1920" s="27"/>
      <c r="K1920" s="29"/>
      <c r="L1920" s="29"/>
      <c r="M1920" s="29"/>
      <c r="N1920" s="29"/>
    </row>
    <row r="1921" spans="2:14" x14ac:dyDescent="0.25">
      <c r="B1921" s="27"/>
      <c r="C1921" s="28"/>
      <c r="D1921" s="28"/>
      <c r="E1921" s="27"/>
      <c r="F1921" s="6"/>
      <c r="G1921" s="28"/>
      <c r="H1921" s="28"/>
      <c r="I1921" s="98"/>
      <c r="J1921" s="27"/>
      <c r="K1921" s="29"/>
      <c r="L1921" s="29"/>
      <c r="M1921" s="29"/>
      <c r="N1921" s="29"/>
    </row>
    <row r="1922" spans="2:14" x14ac:dyDescent="0.25">
      <c r="B1922" s="27"/>
      <c r="C1922" s="28"/>
      <c r="D1922" s="28"/>
      <c r="E1922" s="27"/>
      <c r="F1922" s="6"/>
      <c r="G1922" s="28"/>
      <c r="H1922" s="28"/>
      <c r="I1922" s="98"/>
      <c r="J1922" s="27"/>
      <c r="K1922" s="29"/>
      <c r="L1922" s="29"/>
      <c r="M1922" s="29"/>
      <c r="N1922" s="29"/>
    </row>
    <row r="1923" spans="2:14" x14ac:dyDescent="0.25">
      <c r="B1923" s="27"/>
      <c r="C1923" s="28"/>
      <c r="D1923" s="28"/>
      <c r="E1923" s="27"/>
      <c r="F1923" s="6"/>
      <c r="G1923" s="28"/>
      <c r="H1923" s="28"/>
      <c r="I1923" s="98"/>
      <c r="J1923" s="27"/>
      <c r="K1923" s="29"/>
      <c r="L1923" s="29"/>
      <c r="M1923" s="29"/>
      <c r="N1923" s="29"/>
    </row>
    <row r="1924" spans="2:14" x14ac:dyDescent="0.25">
      <c r="B1924" s="27"/>
      <c r="C1924" s="28"/>
      <c r="D1924" s="28"/>
      <c r="E1924" s="27"/>
      <c r="F1924" s="6"/>
      <c r="G1924" s="28"/>
      <c r="H1924" s="28"/>
      <c r="I1924" s="98"/>
      <c r="J1924" s="27"/>
      <c r="K1924" s="29"/>
      <c r="L1924" s="29"/>
      <c r="M1924" s="29"/>
      <c r="N1924" s="29"/>
    </row>
    <row r="1925" spans="2:14" x14ac:dyDescent="0.25">
      <c r="B1925" s="27"/>
      <c r="C1925" s="28"/>
      <c r="D1925" s="28"/>
      <c r="E1925" s="27"/>
      <c r="F1925" s="6"/>
      <c r="G1925" s="28"/>
      <c r="H1925" s="28"/>
      <c r="I1925" s="98"/>
      <c r="J1925" s="27"/>
      <c r="K1925" s="29"/>
      <c r="L1925" s="29"/>
      <c r="M1925" s="29"/>
      <c r="N1925" s="29"/>
    </row>
    <row r="1926" spans="2:14" x14ac:dyDescent="0.25">
      <c r="B1926" s="27"/>
      <c r="C1926" s="28"/>
      <c r="D1926" s="28"/>
      <c r="E1926" s="27"/>
      <c r="F1926" s="6"/>
      <c r="G1926" s="28"/>
      <c r="H1926" s="28"/>
      <c r="I1926" s="98"/>
      <c r="J1926" s="27"/>
      <c r="K1926" s="29"/>
      <c r="L1926" s="29"/>
      <c r="M1926" s="29"/>
      <c r="N1926" s="29"/>
    </row>
    <row r="1927" spans="2:14" x14ac:dyDescent="0.25">
      <c r="B1927" s="27"/>
      <c r="C1927" s="28"/>
      <c r="D1927" s="28"/>
      <c r="E1927" s="27"/>
      <c r="F1927" s="6"/>
      <c r="G1927" s="28"/>
      <c r="H1927" s="28"/>
      <c r="I1927" s="98"/>
      <c r="J1927" s="27"/>
      <c r="K1927" s="29"/>
      <c r="L1927" s="29"/>
      <c r="M1927" s="29"/>
      <c r="N1927" s="29"/>
    </row>
    <row r="1928" spans="2:14" x14ac:dyDescent="0.25">
      <c r="B1928" s="27"/>
      <c r="C1928" s="28"/>
      <c r="D1928" s="28"/>
      <c r="E1928" s="27"/>
      <c r="F1928" s="6"/>
      <c r="G1928" s="28"/>
      <c r="H1928" s="28"/>
      <c r="I1928" s="98"/>
      <c r="J1928" s="27"/>
      <c r="K1928" s="29"/>
      <c r="L1928" s="29"/>
      <c r="M1928" s="29"/>
      <c r="N1928" s="29"/>
    </row>
    <row r="1929" spans="2:14" x14ac:dyDescent="0.25">
      <c r="B1929" s="27"/>
      <c r="C1929" s="28"/>
      <c r="D1929" s="28"/>
      <c r="E1929" s="27"/>
      <c r="F1929" s="6"/>
      <c r="G1929" s="28"/>
      <c r="H1929" s="28"/>
      <c r="I1929" s="98"/>
      <c r="J1929" s="27"/>
      <c r="K1929" s="29"/>
      <c r="L1929" s="29"/>
      <c r="M1929" s="29"/>
      <c r="N1929" s="29"/>
    </row>
    <row r="1930" spans="2:14" x14ac:dyDescent="0.25">
      <c r="B1930" s="27"/>
      <c r="C1930" s="28"/>
      <c r="D1930" s="28"/>
      <c r="E1930" s="27"/>
      <c r="F1930" s="6"/>
      <c r="G1930" s="28"/>
      <c r="H1930" s="28"/>
      <c r="I1930" s="98"/>
      <c r="J1930" s="27"/>
      <c r="K1930" s="29"/>
      <c r="L1930" s="29"/>
      <c r="M1930" s="29"/>
      <c r="N1930" s="29"/>
    </row>
    <row r="1931" spans="2:14" x14ac:dyDescent="0.25">
      <c r="B1931" s="27"/>
      <c r="C1931" s="28"/>
      <c r="D1931" s="28"/>
      <c r="E1931" s="27"/>
      <c r="F1931" s="6"/>
      <c r="G1931" s="28"/>
      <c r="H1931" s="28"/>
      <c r="I1931" s="98"/>
      <c r="J1931" s="27"/>
      <c r="K1931" s="29"/>
      <c r="L1931" s="29"/>
      <c r="M1931" s="29"/>
      <c r="N1931" s="29"/>
    </row>
    <row r="1932" spans="2:14" x14ac:dyDescent="0.25">
      <c r="B1932" s="27"/>
      <c r="C1932" s="28"/>
      <c r="D1932" s="28"/>
      <c r="E1932" s="27"/>
      <c r="F1932" s="6"/>
      <c r="G1932" s="28"/>
      <c r="H1932" s="28"/>
      <c r="I1932" s="98"/>
      <c r="J1932" s="27"/>
      <c r="K1932" s="29"/>
      <c r="L1932" s="29"/>
      <c r="M1932" s="29"/>
      <c r="N1932" s="29"/>
    </row>
    <row r="1933" spans="2:14" x14ac:dyDescent="0.25">
      <c r="B1933" s="27"/>
      <c r="C1933" s="28"/>
      <c r="D1933" s="28"/>
      <c r="E1933" s="27"/>
      <c r="F1933" s="6"/>
      <c r="G1933" s="28"/>
      <c r="H1933" s="28"/>
      <c r="I1933" s="98"/>
      <c r="J1933" s="27"/>
      <c r="K1933" s="29"/>
      <c r="L1933" s="29"/>
      <c r="M1933" s="29"/>
      <c r="N1933" s="29"/>
    </row>
    <row r="1934" spans="2:14" x14ac:dyDescent="0.25">
      <c r="B1934" s="27"/>
      <c r="C1934" s="28"/>
      <c r="D1934" s="28"/>
      <c r="E1934" s="27"/>
      <c r="F1934" s="6"/>
      <c r="G1934" s="28"/>
      <c r="H1934" s="28"/>
      <c r="I1934" s="98"/>
      <c r="J1934" s="27"/>
      <c r="K1934" s="29"/>
      <c r="L1934" s="29"/>
      <c r="M1934" s="29"/>
      <c r="N1934" s="29"/>
    </row>
    <row r="1935" spans="2:14" x14ac:dyDescent="0.25">
      <c r="B1935" s="27"/>
      <c r="C1935" s="28"/>
      <c r="D1935" s="28"/>
      <c r="E1935" s="27"/>
      <c r="F1935" s="6"/>
      <c r="G1935" s="28"/>
      <c r="H1935" s="28"/>
      <c r="I1935" s="98"/>
      <c r="J1935" s="27"/>
      <c r="K1935" s="29"/>
      <c r="L1935" s="29"/>
      <c r="M1935" s="29"/>
      <c r="N1935" s="29"/>
    </row>
    <row r="1936" spans="2:14" x14ac:dyDescent="0.25">
      <c r="B1936" s="27"/>
      <c r="C1936" s="28"/>
      <c r="D1936" s="28"/>
      <c r="E1936" s="27"/>
      <c r="F1936" s="6"/>
      <c r="G1936" s="28"/>
      <c r="H1936" s="28"/>
      <c r="I1936" s="98"/>
      <c r="J1936" s="27"/>
      <c r="K1936" s="29"/>
      <c r="L1936" s="29"/>
      <c r="M1936" s="29"/>
      <c r="N1936" s="29"/>
    </row>
    <row r="1937" spans="2:14" x14ac:dyDescent="0.25">
      <c r="B1937" s="27"/>
      <c r="C1937" s="28"/>
      <c r="D1937" s="28"/>
      <c r="E1937" s="27"/>
      <c r="F1937" s="6"/>
      <c r="G1937" s="28"/>
      <c r="H1937" s="28"/>
      <c r="I1937" s="98"/>
      <c r="J1937" s="27"/>
      <c r="K1937" s="29"/>
      <c r="L1937" s="29"/>
      <c r="M1937" s="29"/>
      <c r="N1937" s="29"/>
    </row>
    <row r="1938" spans="2:14" x14ac:dyDescent="0.25">
      <c r="B1938" s="27"/>
      <c r="C1938" s="28"/>
      <c r="D1938" s="28"/>
      <c r="E1938" s="27"/>
      <c r="F1938" s="6"/>
      <c r="G1938" s="28"/>
      <c r="H1938" s="28"/>
      <c r="I1938" s="98"/>
      <c r="J1938" s="27"/>
      <c r="K1938" s="29"/>
      <c r="L1938" s="29"/>
      <c r="M1938" s="29"/>
      <c r="N1938" s="29"/>
    </row>
    <row r="1939" spans="2:14" x14ac:dyDescent="0.25">
      <c r="B1939" s="27"/>
      <c r="C1939" s="28"/>
      <c r="D1939" s="28"/>
      <c r="E1939" s="27"/>
      <c r="F1939" s="6"/>
      <c r="G1939" s="28"/>
      <c r="H1939" s="28"/>
      <c r="I1939" s="98"/>
      <c r="J1939" s="27"/>
      <c r="K1939" s="29"/>
      <c r="L1939" s="29"/>
      <c r="M1939" s="29"/>
      <c r="N1939" s="29"/>
    </row>
    <row r="1940" spans="2:14" x14ac:dyDescent="0.25">
      <c r="B1940" s="27"/>
      <c r="C1940" s="28"/>
      <c r="D1940" s="28"/>
      <c r="E1940" s="27"/>
      <c r="F1940" s="6"/>
      <c r="G1940" s="28"/>
      <c r="H1940" s="28"/>
      <c r="I1940" s="98"/>
      <c r="J1940" s="27"/>
      <c r="K1940" s="29"/>
      <c r="L1940" s="29"/>
      <c r="M1940" s="29"/>
      <c r="N1940" s="29"/>
    </row>
    <row r="1941" spans="2:14" x14ac:dyDescent="0.25">
      <c r="B1941" s="27"/>
      <c r="C1941" s="28"/>
      <c r="D1941" s="28"/>
      <c r="E1941" s="27"/>
      <c r="F1941" s="6"/>
      <c r="G1941" s="28"/>
      <c r="H1941" s="28"/>
      <c r="I1941" s="98"/>
      <c r="J1941" s="27"/>
      <c r="K1941" s="29"/>
      <c r="L1941" s="29"/>
      <c r="M1941" s="29"/>
      <c r="N1941" s="29"/>
    </row>
    <row r="1942" spans="2:14" x14ac:dyDescent="0.25">
      <c r="B1942" s="27"/>
      <c r="C1942" s="28"/>
      <c r="D1942" s="28"/>
      <c r="E1942" s="27"/>
      <c r="F1942" s="6"/>
      <c r="G1942" s="28"/>
      <c r="H1942" s="28"/>
      <c r="I1942" s="98"/>
      <c r="J1942" s="27"/>
      <c r="K1942" s="29"/>
      <c r="L1942" s="29"/>
      <c r="M1942" s="29"/>
      <c r="N1942" s="29"/>
    </row>
    <row r="1943" spans="2:14" x14ac:dyDescent="0.25">
      <c r="B1943" s="27"/>
      <c r="C1943" s="28"/>
      <c r="D1943" s="28"/>
      <c r="E1943" s="27"/>
      <c r="F1943" s="6"/>
      <c r="G1943" s="28"/>
      <c r="H1943" s="28"/>
      <c r="I1943" s="98"/>
      <c r="J1943" s="27"/>
      <c r="K1943" s="29"/>
      <c r="L1943" s="29"/>
      <c r="M1943" s="29"/>
      <c r="N1943" s="29"/>
    </row>
    <row r="1944" spans="2:14" x14ac:dyDescent="0.25">
      <c r="B1944" s="27"/>
      <c r="C1944" s="28"/>
      <c r="D1944" s="28"/>
      <c r="E1944" s="27"/>
      <c r="F1944" s="6"/>
      <c r="G1944" s="28"/>
      <c r="H1944" s="28"/>
      <c r="I1944" s="98"/>
      <c r="J1944" s="27"/>
      <c r="K1944" s="29"/>
      <c r="L1944" s="29"/>
      <c r="M1944" s="29"/>
      <c r="N1944" s="29"/>
    </row>
    <row r="1945" spans="2:14" x14ac:dyDescent="0.25">
      <c r="B1945" s="27"/>
      <c r="C1945" s="28"/>
      <c r="D1945" s="28"/>
      <c r="E1945" s="27"/>
      <c r="F1945" s="6"/>
      <c r="G1945" s="28"/>
      <c r="H1945" s="28"/>
      <c r="I1945" s="98"/>
      <c r="J1945" s="27"/>
      <c r="K1945" s="29"/>
      <c r="L1945" s="29"/>
      <c r="M1945" s="29"/>
      <c r="N1945" s="29"/>
    </row>
    <row r="1946" spans="2:14" x14ac:dyDescent="0.25">
      <c r="B1946" s="27"/>
      <c r="C1946" s="28"/>
      <c r="D1946" s="28"/>
      <c r="E1946" s="27"/>
      <c r="F1946" s="6"/>
      <c r="G1946" s="28"/>
      <c r="H1946" s="28"/>
      <c r="I1946" s="98"/>
      <c r="J1946" s="27"/>
      <c r="K1946" s="29"/>
      <c r="L1946" s="29"/>
      <c r="M1946" s="29"/>
      <c r="N1946" s="29"/>
    </row>
    <row r="1947" spans="2:14" x14ac:dyDescent="0.25">
      <c r="B1947" s="27"/>
      <c r="C1947" s="28"/>
      <c r="D1947" s="28"/>
      <c r="E1947" s="27"/>
      <c r="F1947" s="6"/>
      <c r="G1947" s="28"/>
      <c r="H1947" s="28"/>
      <c r="I1947" s="98"/>
      <c r="J1947" s="27"/>
      <c r="K1947" s="29"/>
      <c r="L1947" s="29"/>
      <c r="M1947" s="29"/>
      <c r="N1947" s="29"/>
    </row>
    <row r="1948" spans="2:14" x14ac:dyDescent="0.25">
      <c r="B1948" s="27"/>
      <c r="C1948" s="28"/>
      <c r="D1948" s="28"/>
      <c r="E1948" s="27"/>
      <c r="F1948" s="6"/>
      <c r="G1948" s="28"/>
      <c r="H1948" s="28"/>
      <c r="I1948" s="98"/>
      <c r="J1948" s="27"/>
      <c r="K1948" s="29"/>
      <c r="L1948" s="29"/>
      <c r="M1948" s="29"/>
      <c r="N1948" s="29"/>
    </row>
    <row r="1949" spans="2:14" x14ac:dyDescent="0.25">
      <c r="B1949" s="27"/>
      <c r="C1949" s="28"/>
      <c r="D1949" s="28"/>
      <c r="E1949" s="27"/>
      <c r="F1949" s="6"/>
      <c r="G1949" s="28"/>
      <c r="H1949" s="28"/>
      <c r="I1949" s="98"/>
      <c r="J1949" s="27"/>
      <c r="K1949" s="29"/>
      <c r="L1949" s="29"/>
      <c r="M1949" s="29"/>
      <c r="N1949" s="29"/>
    </row>
    <row r="1950" spans="2:14" x14ac:dyDescent="0.25">
      <c r="B1950" s="27"/>
      <c r="C1950" s="28"/>
      <c r="D1950" s="28"/>
      <c r="E1950" s="27"/>
      <c r="F1950" s="6"/>
      <c r="G1950" s="28"/>
      <c r="H1950" s="28"/>
      <c r="I1950" s="98"/>
      <c r="J1950" s="27"/>
      <c r="K1950" s="29"/>
      <c r="L1950" s="29"/>
      <c r="M1950" s="29"/>
      <c r="N1950" s="29"/>
    </row>
    <row r="1951" spans="2:14" x14ac:dyDescent="0.25">
      <c r="B1951" s="27"/>
      <c r="C1951" s="28"/>
      <c r="D1951" s="28"/>
      <c r="E1951" s="27"/>
      <c r="F1951" s="6"/>
      <c r="G1951" s="28"/>
      <c r="H1951" s="28"/>
      <c r="I1951" s="98"/>
      <c r="J1951" s="27"/>
      <c r="K1951" s="29"/>
      <c r="L1951" s="29"/>
      <c r="M1951" s="29"/>
      <c r="N1951" s="29"/>
    </row>
    <row r="1952" spans="2:14" x14ac:dyDescent="0.25">
      <c r="B1952" s="27"/>
      <c r="C1952" s="28"/>
      <c r="D1952" s="28"/>
      <c r="E1952" s="27"/>
      <c r="F1952" s="6"/>
      <c r="G1952" s="28"/>
      <c r="H1952" s="28"/>
      <c r="I1952" s="98"/>
      <c r="J1952" s="27"/>
      <c r="K1952" s="29"/>
      <c r="L1952" s="29"/>
      <c r="M1952" s="29"/>
      <c r="N1952" s="29"/>
    </row>
    <row r="1953" spans="2:14" x14ac:dyDescent="0.25">
      <c r="B1953" s="27"/>
      <c r="C1953" s="28"/>
      <c r="D1953" s="28"/>
      <c r="E1953" s="27"/>
      <c r="F1953" s="6"/>
      <c r="G1953" s="28"/>
      <c r="H1953" s="28"/>
      <c r="I1953" s="98"/>
      <c r="J1953" s="27"/>
      <c r="K1953" s="29"/>
      <c r="L1953" s="29"/>
      <c r="M1953" s="29"/>
      <c r="N1953" s="29"/>
    </row>
    <row r="1954" spans="2:14" x14ac:dyDescent="0.25">
      <c r="B1954" s="27"/>
      <c r="C1954" s="28"/>
      <c r="D1954" s="28"/>
      <c r="E1954" s="27"/>
      <c r="F1954" s="6"/>
      <c r="G1954" s="28"/>
      <c r="H1954" s="28"/>
      <c r="I1954" s="98"/>
      <c r="J1954" s="27"/>
      <c r="K1954" s="29"/>
      <c r="L1954" s="29"/>
      <c r="M1954" s="29"/>
      <c r="N1954" s="29"/>
    </row>
    <row r="1955" spans="2:14" x14ac:dyDescent="0.25">
      <c r="B1955" s="27"/>
      <c r="C1955" s="28"/>
      <c r="D1955" s="28"/>
      <c r="E1955" s="27"/>
      <c r="F1955" s="6"/>
      <c r="G1955" s="28"/>
      <c r="H1955" s="28"/>
      <c r="I1955" s="98"/>
      <c r="J1955" s="27"/>
      <c r="K1955" s="29"/>
      <c r="L1955" s="29"/>
      <c r="M1955" s="29"/>
      <c r="N1955" s="29"/>
    </row>
    <row r="1956" spans="2:14" x14ac:dyDescent="0.25">
      <c r="B1956" s="27"/>
      <c r="C1956" s="28"/>
      <c r="D1956" s="28"/>
      <c r="E1956" s="27"/>
      <c r="F1956" s="6"/>
      <c r="G1956" s="28"/>
      <c r="H1956" s="28"/>
      <c r="I1956" s="98"/>
      <c r="J1956" s="27"/>
      <c r="K1956" s="29"/>
      <c r="L1956" s="29"/>
      <c r="M1956" s="29"/>
      <c r="N1956" s="29"/>
    </row>
    <row r="1957" spans="2:14" x14ac:dyDescent="0.25">
      <c r="B1957" s="27"/>
      <c r="C1957" s="28"/>
      <c r="D1957" s="28"/>
      <c r="E1957" s="27"/>
      <c r="F1957" s="6"/>
      <c r="G1957" s="28"/>
      <c r="H1957" s="28"/>
      <c r="I1957" s="98"/>
      <c r="J1957" s="27"/>
      <c r="K1957" s="29"/>
      <c r="L1957" s="29"/>
      <c r="M1957" s="29"/>
      <c r="N1957" s="29"/>
    </row>
    <row r="1958" spans="2:14" x14ac:dyDescent="0.25">
      <c r="B1958" s="27"/>
      <c r="C1958" s="28"/>
      <c r="D1958" s="28"/>
      <c r="E1958" s="27"/>
      <c r="F1958" s="6"/>
      <c r="G1958" s="28"/>
      <c r="H1958" s="28"/>
      <c r="I1958" s="98"/>
      <c r="J1958" s="27"/>
      <c r="K1958" s="29"/>
      <c r="L1958" s="29"/>
      <c r="M1958" s="29"/>
      <c r="N1958" s="29"/>
    </row>
    <row r="1959" spans="2:14" x14ac:dyDescent="0.25">
      <c r="B1959" s="27"/>
      <c r="C1959" s="28"/>
      <c r="D1959" s="28"/>
      <c r="E1959" s="27"/>
      <c r="F1959" s="6"/>
      <c r="G1959" s="28"/>
      <c r="H1959" s="28"/>
      <c r="I1959" s="98"/>
      <c r="J1959" s="27"/>
      <c r="K1959" s="29"/>
      <c r="L1959" s="29"/>
      <c r="M1959" s="29"/>
      <c r="N1959" s="29"/>
    </row>
    <row r="1960" spans="2:14" x14ac:dyDescent="0.25">
      <c r="B1960" s="27"/>
      <c r="C1960" s="28"/>
      <c r="D1960" s="28"/>
      <c r="E1960" s="27"/>
      <c r="F1960" s="6"/>
      <c r="G1960" s="28"/>
      <c r="H1960" s="28"/>
      <c r="I1960" s="98"/>
      <c r="J1960" s="27"/>
      <c r="K1960" s="29"/>
      <c r="L1960" s="29"/>
      <c r="M1960" s="29"/>
      <c r="N1960" s="29"/>
    </row>
    <row r="1961" spans="2:14" x14ac:dyDescent="0.25">
      <c r="B1961" s="27"/>
      <c r="C1961" s="28"/>
      <c r="D1961" s="28"/>
      <c r="E1961" s="27"/>
      <c r="F1961" s="6"/>
      <c r="G1961" s="28"/>
      <c r="H1961" s="28"/>
      <c r="I1961" s="98"/>
      <c r="J1961" s="27"/>
      <c r="K1961" s="29"/>
      <c r="L1961" s="29"/>
      <c r="M1961" s="29"/>
      <c r="N1961" s="29"/>
    </row>
    <row r="1962" spans="2:14" x14ac:dyDescent="0.25">
      <c r="B1962" s="27"/>
      <c r="C1962" s="28"/>
      <c r="D1962" s="28"/>
      <c r="E1962" s="27"/>
      <c r="F1962" s="6"/>
      <c r="G1962" s="28"/>
      <c r="H1962" s="28"/>
      <c r="I1962" s="98"/>
      <c r="J1962" s="27"/>
      <c r="K1962" s="29"/>
      <c r="L1962" s="29"/>
      <c r="M1962" s="29"/>
      <c r="N1962" s="29"/>
    </row>
    <row r="1963" spans="2:14" x14ac:dyDescent="0.25">
      <c r="B1963" s="27"/>
      <c r="C1963" s="28"/>
      <c r="D1963" s="28"/>
      <c r="E1963" s="27"/>
      <c r="F1963" s="6"/>
      <c r="G1963" s="28"/>
      <c r="H1963" s="28"/>
      <c r="I1963" s="98"/>
      <c r="J1963" s="27"/>
      <c r="K1963" s="29"/>
      <c r="L1963" s="29"/>
      <c r="M1963" s="29"/>
      <c r="N1963" s="29"/>
    </row>
    <row r="1964" spans="2:14" x14ac:dyDescent="0.25">
      <c r="B1964" s="27"/>
      <c r="C1964" s="28"/>
      <c r="D1964" s="28"/>
      <c r="E1964" s="27"/>
      <c r="F1964" s="6"/>
      <c r="G1964" s="28"/>
      <c r="H1964" s="28"/>
      <c r="I1964" s="98"/>
      <c r="J1964" s="27"/>
      <c r="K1964" s="29"/>
      <c r="L1964" s="29"/>
      <c r="M1964" s="29"/>
      <c r="N1964" s="29"/>
    </row>
    <row r="1965" spans="2:14" x14ac:dyDescent="0.25">
      <c r="B1965" s="27"/>
      <c r="C1965" s="28"/>
      <c r="D1965" s="28"/>
      <c r="E1965" s="27"/>
      <c r="F1965" s="6"/>
      <c r="G1965" s="28"/>
      <c r="H1965" s="28"/>
      <c r="I1965" s="98"/>
      <c r="J1965" s="27"/>
      <c r="K1965" s="29"/>
      <c r="L1965" s="29"/>
      <c r="M1965" s="29"/>
      <c r="N1965" s="29"/>
    </row>
    <row r="1966" spans="2:14" x14ac:dyDescent="0.25">
      <c r="B1966" s="27"/>
      <c r="C1966" s="28"/>
      <c r="D1966" s="28"/>
      <c r="E1966" s="27"/>
      <c r="F1966" s="6"/>
      <c r="G1966" s="28"/>
      <c r="H1966" s="28"/>
      <c r="I1966" s="98"/>
      <c r="J1966" s="27"/>
      <c r="K1966" s="29"/>
      <c r="L1966" s="29"/>
      <c r="M1966" s="29"/>
      <c r="N1966" s="29"/>
    </row>
    <row r="1967" spans="2:14" x14ac:dyDescent="0.25">
      <c r="B1967" s="27"/>
      <c r="C1967" s="28"/>
      <c r="D1967" s="28"/>
      <c r="E1967" s="27"/>
      <c r="F1967" s="6"/>
      <c r="G1967" s="28"/>
      <c r="H1967" s="28"/>
      <c r="I1967" s="98"/>
      <c r="J1967" s="27"/>
      <c r="K1967" s="29"/>
      <c r="L1967" s="29"/>
      <c r="M1967" s="29"/>
      <c r="N1967" s="29"/>
    </row>
    <row r="1968" spans="2:14" x14ac:dyDescent="0.25">
      <c r="B1968" s="27"/>
      <c r="C1968" s="28"/>
      <c r="D1968" s="28"/>
      <c r="E1968" s="27"/>
      <c r="F1968" s="6"/>
      <c r="G1968" s="28"/>
      <c r="H1968" s="28"/>
      <c r="I1968" s="98"/>
      <c r="J1968" s="27"/>
      <c r="K1968" s="29"/>
      <c r="L1968" s="29"/>
      <c r="M1968" s="29"/>
      <c r="N1968" s="29"/>
    </row>
    <row r="1969" spans="2:14" x14ac:dyDescent="0.25">
      <c r="B1969" s="27"/>
      <c r="C1969" s="28"/>
      <c r="D1969" s="28"/>
      <c r="E1969" s="27"/>
      <c r="F1969" s="6"/>
      <c r="G1969" s="28"/>
      <c r="H1969" s="28"/>
      <c r="I1969" s="98"/>
      <c r="J1969" s="27"/>
      <c r="K1969" s="29"/>
      <c r="L1969" s="29"/>
      <c r="M1969" s="29"/>
      <c r="N1969" s="29"/>
    </row>
    <row r="1970" spans="2:14" x14ac:dyDescent="0.25">
      <c r="B1970" s="27"/>
      <c r="C1970" s="28"/>
      <c r="D1970" s="28"/>
      <c r="E1970" s="27"/>
      <c r="F1970" s="6"/>
      <c r="G1970" s="28"/>
      <c r="H1970" s="28"/>
      <c r="I1970" s="98"/>
      <c r="J1970" s="27"/>
      <c r="K1970" s="29"/>
      <c r="L1970" s="29"/>
      <c r="M1970" s="29"/>
      <c r="N1970" s="29"/>
    </row>
    <row r="1971" spans="2:14" x14ac:dyDescent="0.25">
      <c r="B1971" s="27"/>
      <c r="C1971" s="28"/>
      <c r="D1971" s="28"/>
      <c r="E1971" s="27"/>
      <c r="F1971" s="6"/>
      <c r="G1971" s="28"/>
      <c r="H1971" s="28"/>
      <c r="I1971" s="98"/>
      <c r="J1971" s="27"/>
      <c r="K1971" s="29"/>
      <c r="L1971" s="29"/>
      <c r="M1971" s="29"/>
      <c r="N1971" s="29"/>
    </row>
    <row r="1972" spans="2:14" x14ac:dyDescent="0.25">
      <c r="B1972" s="27"/>
      <c r="C1972" s="28"/>
      <c r="D1972" s="28"/>
      <c r="E1972" s="27"/>
      <c r="F1972" s="6"/>
      <c r="G1972" s="28"/>
      <c r="H1972" s="28"/>
      <c r="I1972" s="98"/>
      <c r="J1972" s="27"/>
      <c r="K1972" s="29"/>
      <c r="L1972" s="29"/>
      <c r="M1972" s="29"/>
      <c r="N1972" s="29"/>
    </row>
    <row r="1973" spans="2:14" x14ac:dyDescent="0.25">
      <c r="B1973" s="27"/>
      <c r="C1973" s="28"/>
      <c r="D1973" s="28"/>
      <c r="E1973" s="27"/>
      <c r="F1973" s="6"/>
      <c r="G1973" s="28"/>
      <c r="H1973" s="28"/>
      <c r="I1973" s="98"/>
      <c r="J1973" s="27"/>
      <c r="K1973" s="29"/>
      <c r="L1973" s="29"/>
      <c r="M1973" s="29"/>
      <c r="N1973" s="29"/>
    </row>
    <row r="1974" spans="2:14" x14ac:dyDescent="0.25">
      <c r="B1974" s="27"/>
      <c r="C1974" s="28"/>
      <c r="D1974" s="28"/>
      <c r="E1974" s="27"/>
      <c r="F1974" s="6"/>
      <c r="G1974" s="28"/>
      <c r="H1974" s="28"/>
      <c r="I1974" s="98"/>
      <c r="J1974" s="27"/>
      <c r="K1974" s="29"/>
      <c r="L1974" s="29"/>
      <c r="M1974" s="29"/>
      <c r="N1974" s="29"/>
    </row>
    <row r="1975" spans="2:14" x14ac:dyDescent="0.25">
      <c r="B1975" s="27"/>
      <c r="C1975" s="28"/>
      <c r="D1975" s="28"/>
      <c r="E1975" s="27"/>
      <c r="F1975" s="6"/>
      <c r="G1975" s="28"/>
      <c r="H1975" s="28"/>
      <c r="I1975" s="98"/>
      <c r="J1975" s="27"/>
      <c r="K1975" s="29"/>
      <c r="L1975" s="29"/>
      <c r="M1975" s="29"/>
      <c r="N1975" s="29"/>
    </row>
    <row r="1976" spans="2:14" x14ac:dyDescent="0.25">
      <c r="B1976" s="27"/>
      <c r="C1976" s="28"/>
      <c r="D1976" s="28"/>
      <c r="E1976" s="27"/>
      <c r="F1976" s="6"/>
      <c r="G1976" s="28"/>
      <c r="H1976" s="28"/>
      <c r="I1976" s="98"/>
      <c r="J1976" s="27"/>
      <c r="K1976" s="29"/>
      <c r="L1976" s="29"/>
      <c r="M1976" s="29"/>
      <c r="N1976" s="29"/>
    </row>
    <row r="1977" spans="2:14" x14ac:dyDescent="0.25">
      <c r="B1977" s="27"/>
      <c r="C1977" s="28"/>
      <c r="D1977" s="28"/>
      <c r="E1977" s="27"/>
      <c r="F1977" s="6"/>
      <c r="G1977" s="28"/>
      <c r="H1977" s="28"/>
      <c r="I1977" s="98"/>
      <c r="J1977" s="27"/>
      <c r="K1977" s="29"/>
      <c r="L1977" s="29"/>
      <c r="M1977" s="29"/>
      <c r="N1977" s="29"/>
    </row>
    <row r="1978" spans="2:14" x14ac:dyDescent="0.25">
      <c r="B1978" s="27"/>
      <c r="C1978" s="28"/>
      <c r="D1978" s="28"/>
      <c r="E1978" s="27"/>
      <c r="F1978" s="6"/>
      <c r="G1978" s="28"/>
      <c r="H1978" s="28"/>
      <c r="I1978" s="98"/>
      <c r="J1978" s="27"/>
      <c r="K1978" s="29"/>
      <c r="L1978" s="29"/>
      <c r="M1978" s="29"/>
      <c r="N1978" s="29"/>
    </row>
    <row r="1979" spans="2:14" x14ac:dyDescent="0.25">
      <c r="B1979" s="27"/>
      <c r="C1979" s="28"/>
      <c r="D1979" s="28"/>
      <c r="E1979" s="27"/>
      <c r="F1979" s="6"/>
      <c r="G1979" s="28"/>
      <c r="H1979" s="28"/>
      <c r="I1979" s="98"/>
      <c r="J1979" s="27"/>
      <c r="K1979" s="29"/>
      <c r="L1979" s="29"/>
      <c r="M1979" s="29"/>
      <c r="N1979" s="29"/>
    </row>
    <row r="1980" spans="2:14" x14ac:dyDescent="0.25">
      <c r="B1980" s="27"/>
      <c r="C1980" s="28"/>
      <c r="D1980" s="28"/>
      <c r="E1980" s="27"/>
      <c r="F1980" s="6"/>
      <c r="G1980" s="28"/>
      <c r="H1980" s="28"/>
      <c r="I1980" s="98"/>
      <c r="J1980" s="27"/>
      <c r="K1980" s="29"/>
      <c r="L1980" s="29"/>
      <c r="M1980" s="29"/>
      <c r="N1980" s="29"/>
    </row>
    <row r="1981" spans="2:14" x14ac:dyDescent="0.25">
      <c r="B1981" s="27"/>
      <c r="C1981" s="28"/>
      <c r="D1981" s="28"/>
      <c r="E1981" s="27"/>
      <c r="F1981" s="6"/>
      <c r="G1981" s="28"/>
      <c r="H1981" s="28"/>
      <c r="I1981" s="98"/>
      <c r="J1981" s="27"/>
      <c r="K1981" s="29"/>
      <c r="L1981" s="29"/>
      <c r="M1981" s="29"/>
      <c r="N1981" s="29"/>
    </row>
    <row r="1982" spans="2:14" x14ac:dyDescent="0.25">
      <c r="B1982" s="27"/>
      <c r="C1982" s="28"/>
      <c r="D1982" s="28"/>
      <c r="E1982" s="27"/>
      <c r="F1982" s="6"/>
      <c r="G1982" s="28"/>
      <c r="H1982" s="28"/>
      <c r="I1982" s="98"/>
      <c r="J1982" s="27"/>
      <c r="K1982" s="29"/>
      <c r="L1982" s="29"/>
      <c r="M1982" s="29"/>
      <c r="N1982" s="29"/>
    </row>
    <row r="1983" spans="2:14" x14ac:dyDescent="0.25">
      <c r="B1983" s="27"/>
      <c r="C1983" s="28"/>
      <c r="D1983" s="28"/>
      <c r="E1983" s="27"/>
      <c r="F1983" s="6"/>
      <c r="G1983" s="28"/>
      <c r="H1983" s="28"/>
      <c r="I1983" s="98"/>
      <c r="J1983" s="27"/>
      <c r="K1983" s="29"/>
      <c r="L1983" s="29"/>
      <c r="M1983" s="29"/>
      <c r="N1983" s="29"/>
    </row>
    <row r="1984" spans="2:14" x14ac:dyDescent="0.25">
      <c r="B1984" s="27"/>
      <c r="C1984" s="28"/>
      <c r="D1984" s="28"/>
      <c r="E1984" s="27"/>
      <c r="F1984" s="6"/>
      <c r="G1984" s="28"/>
      <c r="H1984" s="28"/>
      <c r="I1984" s="98"/>
      <c r="J1984" s="27"/>
      <c r="K1984" s="29"/>
      <c r="L1984" s="29"/>
      <c r="M1984" s="29"/>
      <c r="N1984" s="29"/>
    </row>
    <row r="1985" spans="2:14" x14ac:dyDescent="0.25">
      <c r="B1985" s="27"/>
      <c r="C1985" s="28"/>
      <c r="D1985" s="28"/>
      <c r="E1985" s="27"/>
      <c r="F1985" s="6"/>
      <c r="G1985" s="28"/>
      <c r="H1985" s="28"/>
      <c r="I1985" s="98"/>
      <c r="J1985" s="27"/>
      <c r="K1985" s="29"/>
      <c r="L1985" s="29"/>
      <c r="M1985" s="29"/>
      <c r="N1985" s="29"/>
    </row>
    <row r="1986" spans="2:14" x14ac:dyDescent="0.25">
      <c r="B1986" s="27"/>
      <c r="C1986" s="28"/>
      <c r="D1986" s="28"/>
      <c r="E1986" s="27"/>
      <c r="F1986" s="6"/>
      <c r="G1986" s="28"/>
      <c r="H1986" s="28"/>
      <c r="I1986" s="98"/>
      <c r="J1986" s="27"/>
      <c r="K1986" s="29"/>
      <c r="L1986" s="29"/>
      <c r="M1986" s="29"/>
      <c r="N1986" s="29"/>
    </row>
    <row r="1987" spans="2:14" x14ac:dyDescent="0.25">
      <c r="B1987" s="27"/>
      <c r="C1987" s="28"/>
      <c r="D1987" s="28"/>
      <c r="E1987" s="27"/>
      <c r="F1987" s="6"/>
      <c r="G1987" s="28"/>
      <c r="H1987" s="28"/>
      <c r="I1987" s="98"/>
      <c r="J1987" s="27"/>
      <c r="K1987" s="29"/>
      <c r="L1987" s="29"/>
      <c r="M1987" s="29"/>
      <c r="N1987" s="29"/>
    </row>
    <row r="1988" spans="2:14" x14ac:dyDescent="0.25">
      <c r="B1988" s="27"/>
      <c r="C1988" s="28"/>
      <c r="D1988" s="28"/>
      <c r="E1988" s="27"/>
      <c r="F1988" s="6"/>
      <c r="G1988" s="28"/>
      <c r="H1988" s="28"/>
      <c r="I1988" s="98"/>
      <c r="J1988" s="27"/>
      <c r="K1988" s="29"/>
      <c r="L1988" s="29"/>
      <c r="M1988" s="29"/>
      <c r="N1988" s="29"/>
    </row>
    <row r="1989" spans="2:14" x14ac:dyDescent="0.25">
      <c r="B1989" s="27"/>
      <c r="C1989" s="28"/>
      <c r="D1989" s="28"/>
      <c r="E1989" s="27"/>
      <c r="F1989" s="6"/>
      <c r="G1989" s="28"/>
      <c r="H1989" s="28"/>
      <c r="I1989" s="98"/>
      <c r="J1989" s="27"/>
      <c r="K1989" s="29"/>
      <c r="L1989" s="29"/>
      <c r="M1989" s="29"/>
      <c r="N1989" s="29"/>
    </row>
    <row r="1990" spans="2:14" x14ac:dyDescent="0.25">
      <c r="B1990" s="27"/>
      <c r="C1990" s="28"/>
      <c r="D1990" s="28"/>
      <c r="E1990" s="27"/>
      <c r="F1990" s="6"/>
      <c r="G1990" s="28"/>
      <c r="H1990" s="28"/>
      <c r="I1990" s="98"/>
      <c r="J1990" s="27"/>
      <c r="K1990" s="29"/>
      <c r="L1990" s="29"/>
      <c r="M1990" s="29"/>
      <c r="N1990" s="29"/>
    </row>
    <row r="1991" spans="2:14" x14ac:dyDescent="0.25">
      <c r="B1991" s="27"/>
      <c r="C1991" s="28"/>
      <c r="D1991" s="28"/>
      <c r="E1991" s="27"/>
      <c r="F1991" s="6"/>
      <c r="G1991" s="28"/>
      <c r="H1991" s="28"/>
      <c r="I1991" s="98"/>
      <c r="J1991" s="27"/>
      <c r="K1991" s="29"/>
      <c r="L1991" s="29"/>
      <c r="M1991" s="29"/>
      <c r="N1991" s="29"/>
    </row>
    <row r="1992" spans="2:14" x14ac:dyDescent="0.25">
      <c r="B1992" s="27"/>
      <c r="C1992" s="28"/>
      <c r="D1992" s="28"/>
      <c r="E1992" s="27"/>
      <c r="F1992" s="6"/>
      <c r="G1992" s="28"/>
      <c r="H1992" s="28"/>
      <c r="I1992" s="98"/>
      <c r="J1992" s="27"/>
      <c r="K1992" s="29"/>
      <c r="L1992" s="29"/>
      <c r="M1992" s="29"/>
      <c r="N1992" s="29"/>
    </row>
    <row r="1993" spans="2:14" x14ac:dyDescent="0.25">
      <c r="B1993" s="27"/>
      <c r="C1993" s="28"/>
      <c r="D1993" s="28"/>
      <c r="E1993" s="27"/>
      <c r="F1993" s="6"/>
      <c r="G1993" s="28"/>
      <c r="H1993" s="28"/>
      <c r="I1993" s="98"/>
      <c r="J1993" s="27"/>
      <c r="K1993" s="29"/>
      <c r="L1993" s="29"/>
      <c r="M1993" s="29"/>
      <c r="N1993" s="29"/>
    </row>
    <row r="1994" spans="2:14" x14ac:dyDescent="0.25">
      <c r="B1994" s="27"/>
      <c r="C1994" s="28"/>
      <c r="D1994" s="28"/>
      <c r="E1994" s="27"/>
      <c r="F1994" s="6"/>
      <c r="G1994" s="28"/>
      <c r="H1994" s="28"/>
      <c r="I1994" s="98"/>
      <c r="J1994" s="27"/>
      <c r="K1994" s="29"/>
      <c r="L1994" s="29"/>
      <c r="M1994" s="29"/>
      <c r="N1994" s="29"/>
    </row>
    <row r="1995" spans="2:14" x14ac:dyDescent="0.25">
      <c r="B1995" s="27"/>
      <c r="C1995" s="28"/>
      <c r="D1995" s="28"/>
      <c r="E1995" s="27"/>
      <c r="F1995" s="6"/>
      <c r="G1995" s="28"/>
      <c r="H1995" s="28"/>
      <c r="I1995" s="98"/>
      <c r="J1995" s="27"/>
      <c r="K1995" s="29"/>
      <c r="L1995" s="29"/>
      <c r="M1995" s="29"/>
      <c r="N1995" s="29"/>
    </row>
    <row r="1996" spans="2:14" x14ac:dyDescent="0.25">
      <c r="B1996" s="27"/>
      <c r="C1996" s="28"/>
      <c r="D1996" s="28"/>
      <c r="E1996" s="27"/>
      <c r="F1996" s="6"/>
      <c r="G1996" s="28"/>
      <c r="H1996" s="28"/>
      <c r="I1996" s="98"/>
      <c r="J1996" s="27"/>
      <c r="K1996" s="29"/>
      <c r="L1996" s="29"/>
      <c r="M1996" s="29"/>
      <c r="N1996" s="29"/>
    </row>
    <row r="1997" spans="2:14" x14ac:dyDescent="0.25">
      <c r="B1997" s="27"/>
      <c r="C1997" s="28"/>
      <c r="D1997" s="28"/>
      <c r="E1997" s="27"/>
      <c r="F1997" s="6"/>
      <c r="G1997" s="28"/>
      <c r="H1997" s="28"/>
      <c r="I1997" s="98"/>
      <c r="J1997" s="27"/>
      <c r="K1997" s="29"/>
      <c r="L1997" s="29"/>
      <c r="M1997" s="29"/>
      <c r="N1997" s="29"/>
    </row>
    <row r="1998" spans="2:14" x14ac:dyDescent="0.25">
      <c r="B1998" s="27"/>
      <c r="C1998" s="28"/>
      <c r="D1998" s="28"/>
      <c r="E1998" s="27"/>
      <c r="F1998" s="6"/>
      <c r="G1998" s="28"/>
      <c r="H1998" s="28"/>
      <c r="I1998" s="98"/>
      <c r="J1998" s="27"/>
      <c r="K1998" s="29"/>
      <c r="L1998" s="29"/>
      <c r="M1998" s="29"/>
      <c r="N1998" s="29"/>
    </row>
    <row r="1999" spans="2:14" x14ac:dyDescent="0.25">
      <c r="B1999" s="27"/>
      <c r="C1999" s="28"/>
      <c r="D1999" s="28"/>
      <c r="E1999" s="27"/>
      <c r="F1999" s="6"/>
      <c r="G1999" s="28"/>
      <c r="H1999" s="28"/>
      <c r="I1999" s="98"/>
      <c r="J1999" s="27"/>
      <c r="K1999" s="29"/>
      <c r="L1999" s="29"/>
      <c r="M1999" s="29"/>
      <c r="N1999" s="29"/>
    </row>
    <row r="2000" spans="2:14" x14ac:dyDescent="0.25">
      <c r="B2000" s="27"/>
      <c r="C2000" s="28"/>
      <c r="D2000" s="28"/>
      <c r="E2000" s="27"/>
      <c r="F2000" s="6"/>
      <c r="G2000" s="28"/>
      <c r="H2000" s="28"/>
      <c r="I2000" s="98"/>
      <c r="J2000" s="27"/>
      <c r="K2000" s="29"/>
      <c r="L2000" s="29"/>
      <c r="M2000" s="29"/>
      <c r="N2000" s="29"/>
    </row>
    <row r="2001" spans="2:14" x14ac:dyDescent="0.25">
      <c r="B2001" s="27"/>
      <c r="C2001" s="28"/>
      <c r="D2001" s="28"/>
      <c r="E2001" s="27"/>
      <c r="F2001" s="6"/>
      <c r="G2001" s="28"/>
      <c r="H2001" s="28"/>
      <c r="I2001" s="98"/>
      <c r="J2001" s="27"/>
      <c r="K2001" s="29"/>
      <c r="L2001" s="29"/>
      <c r="M2001" s="29"/>
      <c r="N2001" s="29"/>
    </row>
    <row r="2002" spans="2:14" x14ac:dyDescent="0.25">
      <c r="B2002" s="27"/>
      <c r="C2002" s="28"/>
      <c r="D2002" s="28"/>
      <c r="E2002" s="27"/>
      <c r="F2002" s="6"/>
      <c r="G2002" s="28"/>
      <c r="H2002" s="28"/>
      <c r="I2002" s="98"/>
      <c r="J2002" s="27"/>
      <c r="K2002" s="29"/>
      <c r="L2002" s="29"/>
      <c r="M2002" s="29"/>
      <c r="N2002" s="29"/>
    </row>
    <row r="2003" spans="2:14" x14ac:dyDescent="0.25">
      <c r="B2003" s="27"/>
      <c r="C2003" s="28"/>
      <c r="D2003" s="28"/>
      <c r="E2003" s="27"/>
      <c r="F2003" s="6"/>
      <c r="G2003" s="28"/>
      <c r="H2003" s="28"/>
      <c r="I2003" s="98"/>
      <c r="J2003" s="27"/>
      <c r="K2003" s="29"/>
      <c r="L2003" s="29"/>
      <c r="M2003" s="29"/>
      <c r="N2003" s="29"/>
    </row>
    <row r="2004" spans="2:14" x14ac:dyDescent="0.25">
      <c r="B2004" s="27"/>
      <c r="C2004" s="28"/>
      <c r="D2004" s="28"/>
      <c r="E2004" s="27"/>
      <c r="F2004" s="6"/>
      <c r="G2004" s="28"/>
      <c r="H2004" s="28"/>
      <c r="I2004" s="98"/>
      <c r="J2004" s="27"/>
      <c r="K2004" s="29"/>
      <c r="L2004" s="29"/>
      <c r="M2004" s="29"/>
      <c r="N2004" s="29"/>
    </row>
    <row r="2005" spans="2:14" x14ac:dyDescent="0.25">
      <c r="B2005" s="27"/>
      <c r="C2005" s="28"/>
      <c r="D2005" s="28"/>
      <c r="E2005" s="27"/>
      <c r="F2005" s="6"/>
      <c r="G2005" s="28"/>
      <c r="H2005" s="28"/>
      <c r="I2005" s="98"/>
      <c r="J2005" s="27"/>
      <c r="K2005" s="29"/>
      <c r="L2005" s="29"/>
      <c r="M2005" s="29"/>
      <c r="N2005" s="29"/>
    </row>
    <row r="2006" spans="2:14" x14ac:dyDescent="0.25">
      <c r="B2006" s="27"/>
      <c r="C2006" s="28"/>
      <c r="D2006" s="28"/>
      <c r="E2006" s="27"/>
      <c r="F2006" s="6"/>
      <c r="G2006" s="28"/>
      <c r="H2006" s="28"/>
      <c r="I2006" s="98"/>
      <c r="J2006" s="27"/>
      <c r="K2006" s="29"/>
      <c r="L2006" s="29"/>
      <c r="M2006" s="29"/>
      <c r="N2006" s="29"/>
    </row>
    <row r="2007" spans="2:14" x14ac:dyDescent="0.25">
      <c r="B2007" s="27"/>
      <c r="C2007" s="28"/>
      <c r="D2007" s="28"/>
      <c r="E2007" s="27"/>
      <c r="F2007" s="6"/>
      <c r="G2007" s="28"/>
      <c r="H2007" s="28"/>
      <c r="I2007" s="98"/>
      <c r="J2007" s="27"/>
      <c r="K2007" s="29"/>
      <c r="L2007" s="29"/>
      <c r="M2007" s="29"/>
      <c r="N2007" s="29"/>
    </row>
    <row r="2008" spans="2:14" x14ac:dyDescent="0.25">
      <c r="B2008" s="27"/>
      <c r="C2008" s="28"/>
      <c r="D2008" s="28"/>
      <c r="E2008" s="27"/>
      <c r="F2008" s="6"/>
      <c r="G2008" s="28"/>
      <c r="H2008" s="28"/>
      <c r="I2008" s="98"/>
      <c r="J2008" s="27"/>
      <c r="K2008" s="29"/>
      <c r="L2008" s="29"/>
      <c r="M2008" s="29"/>
      <c r="N2008" s="29"/>
    </row>
    <row r="2009" spans="2:14" x14ac:dyDescent="0.25">
      <c r="B2009" s="27"/>
      <c r="C2009" s="28"/>
      <c r="D2009" s="28"/>
      <c r="E2009" s="27"/>
      <c r="F2009" s="6"/>
      <c r="G2009" s="28"/>
      <c r="H2009" s="28"/>
      <c r="I2009" s="98"/>
      <c r="J2009" s="27"/>
      <c r="K2009" s="29"/>
      <c r="L2009" s="29"/>
      <c r="M2009" s="29"/>
      <c r="N2009" s="29"/>
    </row>
    <row r="2010" spans="2:14" x14ac:dyDescent="0.25">
      <c r="B2010" s="27"/>
      <c r="C2010" s="28"/>
      <c r="D2010" s="28"/>
      <c r="E2010" s="27"/>
      <c r="F2010" s="6"/>
      <c r="G2010" s="28"/>
      <c r="H2010" s="28"/>
      <c r="I2010" s="98"/>
      <c r="J2010" s="27"/>
      <c r="K2010" s="29"/>
      <c r="L2010" s="29"/>
      <c r="M2010" s="29"/>
      <c r="N2010" s="29"/>
    </row>
    <row r="2011" spans="2:14" x14ac:dyDescent="0.25">
      <c r="B2011" s="27"/>
      <c r="C2011" s="28"/>
      <c r="D2011" s="28"/>
      <c r="E2011" s="27"/>
      <c r="F2011" s="6"/>
      <c r="G2011" s="28"/>
      <c r="H2011" s="28"/>
      <c r="I2011" s="98"/>
      <c r="J2011" s="27"/>
      <c r="K2011" s="29"/>
      <c r="L2011" s="29"/>
      <c r="M2011" s="29"/>
      <c r="N2011" s="29"/>
    </row>
    <row r="2012" spans="2:14" x14ac:dyDescent="0.25">
      <c r="B2012" s="27"/>
      <c r="C2012" s="28"/>
      <c r="D2012" s="28"/>
      <c r="E2012" s="27"/>
      <c r="F2012" s="6"/>
      <c r="G2012" s="28"/>
      <c r="H2012" s="28"/>
      <c r="I2012" s="98"/>
      <c r="J2012" s="27"/>
      <c r="K2012" s="29"/>
      <c r="L2012" s="29"/>
      <c r="M2012" s="29"/>
      <c r="N2012" s="29"/>
    </row>
    <row r="2013" spans="2:14" x14ac:dyDescent="0.25">
      <c r="B2013" s="27"/>
      <c r="C2013" s="28"/>
      <c r="D2013" s="28"/>
      <c r="E2013" s="27"/>
      <c r="F2013" s="6"/>
      <c r="G2013" s="28"/>
      <c r="H2013" s="28"/>
      <c r="I2013" s="98"/>
      <c r="J2013" s="27"/>
      <c r="K2013" s="29"/>
      <c r="L2013" s="29"/>
      <c r="M2013" s="29"/>
      <c r="N2013" s="29"/>
    </row>
    <row r="2014" spans="2:14" x14ac:dyDescent="0.25">
      <c r="B2014" s="27"/>
      <c r="C2014" s="28"/>
      <c r="D2014" s="28"/>
      <c r="E2014" s="27"/>
      <c r="F2014" s="6"/>
      <c r="G2014" s="28"/>
      <c r="H2014" s="28"/>
      <c r="I2014" s="98"/>
      <c r="J2014" s="27"/>
      <c r="K2014" s="29"/>
      <c r="L2014" s="29"/>
      <c r="M2014" s="29"/>
      <c r="N2014" s="29"/>
    </row>
    <row r="2015" spans="2:14" x14ac:dyDescent="0.25">
      <c r="B2015" s="27"/>
      <c r="C2015" s="28"/>
      <c r="D2015" s="28"/>
      <c r="E2015" s="27"/>
      <c r="F2015" s="6"/>
      <c r="G2015" s="28"/>
      <c r="H2015" s="28"/>
      <c r="I2015" s="98"/>
      <c r="J2015" s="27"/>
      <c r="K2015" s="29"/>
      <c r="L2015" s="29"/>
      <c r="M2015" s="29"/>
      <c r="N2015" s="29"/>
    </row>
    <row r="2016" spans="2:14" x14ac:dyDescent="0.25">
      <c r="B2016" s="27"/>
      <c r="C2016" s="28"/>
      <c r="D2016" s="28"/>
      <c r="E2016" s="27"/>
      <c r="F2016" s="6"/>
      <c r="G2016" s="28"/>
      <c r="H2016" s="28"/>
      <c r="I2016" s="98"/>
      <c r="J2016" s="27"/>
      <c r="K2016" s="29"/>
      <c r="L2016" s="29"/>
      <c r="M2016" s="29"/>
      <c r="N2016" s="29"/>
    </row>
    <row r="2017" spans="2:14" x14ac:dyDescent="0.25">
      <c r="B2017" s="27"/>
      <c r="C2017" s="28"/>
      <c r="D2017" s="28"/>
      <c r="E2017" s="27"/>
      <c r="F2017" s="6"/>
      <c r="G2017" s="28"/>
      <c r="H2017" s="28"/>
      <c r="I2017" s="98"/>
      <c r="J2017" s="27"/>
      <c r="K2017" s="29"/>
      <c r="L2017" s="29"/>
      <c r="M2017" s="29"/>
      <c r="N2017" s="29"/>
    </row>
    <row r="2018" spans="2:14" x14ac:dyDescent="0.25">
      <c r="B2018" s="27"/>
      <c r="C2018" s="28"/>
      <c r="D2018" s="28"/>
      <c r="E2018" s="27"/>
      <c r="F2018" s="6"/>
      <c r="G2018" s="28"/>
      <c r="H2018" s="28"/>
      <c r="I2018" s="98"/>
      <c r="J2018" s="27"/>
      <c r="K2018" s="29"/>
      <c r="L2018" s="29"/>
      <c r="M2018" s="29"/>
      <c r="N2018" s="29"/>
    </row>
    <row r="2019" spans="2:14" x14ac:dyDescent="0.25">
      <c r="B2019" s="27"/>
      <c r="C2019" s="28"/>
      <c r="D2019" s="28"/>
      <c r="E2019" s="27"/>
      <c r="F2019" s="6"/>
      <c r="G2019" s="28"/>
      <c r="H2019" s="28"/>
      <c r="I2019" s="98"/>
      <c r="J2019" s="27"/>
      <c r="K2019" s="29"/>
      <c r="L2019" s="29"/>
      <c r="M2019" s="29"/>
      <c r="N2019" s="29"/>
    </row>
    <row r="2020" spans="2:14" x14ac:dyDescent="0.25">
      <c r="B2020" s="27"/>
      <c r="C2020" s="28"/>
      <c r="D2020" s="28"/>
      <c r="E2020" s="27"/>
      <c r="F2020" s="6"/>
      <c r="G2020" s="28"/>
      <c r="H2020" s="28"/>
      <c r="I2020" s="98"/>
      <c r="J2020" s="27"/>
      <c r="K2020" s="29"/>
      <c r="L2020" s="29"/>
      <c r="M2020" s="29"/>
      <c r="N2020" s="29"/>
    </row>
    <row r="2021" spans="2:14" x14ac:dyDescent="0.25">
      <c r="B2021" s="27"/>
      <c r="C2021" s="28"/>
      <c r="D2021" s="28"/>
      <c r="E2021" s="27"/>
      <c r="F2021" s="6"/>
      <c r="G2021" s="28"/>
      <c r="H2021" s="28"/>
      <c r="I2021" s="98"/>
      <c r="J2021" s="27"/>
      <c r="K2021" s="29"/>
      <c r="L2021" s="29"/>
      <c r="M2021" s="29"/>
      <c r="N2021" s="29"/>
    </row>
    <row r="2022" spans="2:14" x14ac:dyDescent="0.25">
      <c r="B2022" s="27"/>
      <c r="C2022" s="28"/>
      <c r="D2022" s="28"/>
      <c r="E2022" s="27"/>
      <c r="F2022" s="6"/>
      <c r="G2022" s="28"/>
      <c r="H2022" s="28"/>
      <c r="I2022" s="98"/>
      <c r="J2022" s="27"/>
      <c r="K2022" s="29"/>
      <c r="L2022" s="29"/>
      <c r="M2022" s="29"/>
      <c r="N2022" s="29"/>
    </row>
    <row r="2023" spans="2:14" x14ac:dyDescent="0.25">
      <c r="B2023" s="27"/>
      <c r="C2023" s="28"/>
      <c r="D2023" s="28"/>
      <c r="E2023" s="27"/>
      <c r="F2023" s="6"/>
      <c r="G2023" s="28"/>
      <c r="H2023" s="28"/>
      <c r="I2023" s="98"/>
      <c r="J2023" s="27"/>
      <c r="K2023" s="29"/>
      <c r="L2023" s="29"/>
      <c r="M2023" s="29"/>
      <c r="N2023" s="29"/>
    </row>
    <row r="2024" spans="2:14" x14ac:dyDescent="0.25">
      <c r="B2024" s="27"/>
      <c r="C2024" s="28"/>
      <c r="D2024" s="28"/>
      <c r="E2024" s="27"/>
      <c r="F2024" s="6"/>
      <c r="G2024" s="28"/>
      <c r="H2024" s="28"/>
      <c r="I2024" s="98"/>
      <c r="J2024" s="27"/>
      <c r="K2024" s="29"/>
      <c r="L2024" s="29"/>
      <c r="M2024" s="29"/>
      <c r="N2024" s="29"/>
    </row>
    <row r="2025" spans="2:14" x14ac:dyDescent="0.25">
      <c r="B2025" s="27"/>
      <c r="C2025" s="28"/>
      <c r="D2025" s="28"/>
      <c r="E2025" s="27"/>
      <c r="F2025" s="6"/>
      <c r="G2025" s="28"/>
      <c r="H2025" s="28"/>
      <c r="I2025" s="98"/>
      <c r="J2025" s="27"/>
      <c r="K2025" s="29"/>
      <c r="L2025" s="29"/>
      <c r="M2025" s="29"/>
      <c r="N2025" s="29"/>
    </row>
    <row r="2026" spans="2:14" x14ac:dyDescent="0.25">
      <c r="B2026" s="27"/>
      <c r="C2026" s="28"/>
      <c r="D2026" s="28"/>
      <c r="E2026" s="27"/>
      <c r="F2026" s="6"/>
      <c r="G2026" s="28"/>
      <c r="H2026" s="28"/>
      <c r="I2026" s="98"/>
      <c r="J2026" s="27"/>
      <c r="K2026" s="29"/>
      <c r="L2026" s="29"/>
      <c r="M2026" s="29"/>
      <c r="N2026" s="29"/>
    </row>
    <row r="2027" spans="2:14" x14ac:dyDescent="0.25">
      <c r="B2027" s="27"/>
      <c r="C2027" s="28"/>
      <c r="D2027" s="28"/>
      <c r="E2027" s="27"/>
      <c r="F2027" s="6"/>
      <c r="G2027" s="28"/>
      <c r="H2027" s="28"/>
      <c r="I2027" s="98"/>
      <c r="J2027" s="27"/>
      <c r="K2027" s="29"/>
      <c r="L2027" s="29"/>
      <c r="M2027" s="29"/>
      <c r="N2027" s="29"/>
    </row>
    <row r="2028" spans="2:14" x14ac:dyDescent="0.25">
      <c r="B2028" s="27"/>
      <c r="C2028" s="28"/>
      <c r="D2028" s="28"/>
      <c r="E2028" s="27"/>
      <c r="F2028" s="6"/>
      <c r="G2028" s="28"/>
      <c r="H2028" s="28"/>
      <c r="I2028" s="98"/>
      <c r="J2028" s="27"/>
      <c r="K2028" s="29"/>
      <c r="L2028" s="29"/>
      <c r="M2028" s="29"/>
      <c r="N2028" s="29"/>
    </row>
    <row r="2029" spans="2:14" x14ac:dyDescent="0.25">
      <c r="B2029" s="27"/>
      <c r="C2029" s="28"/>
      <c r="D2029" s="28"/>
      <c r="E2029" s="27"/>
      <c r="F2029" s="6"/>
      <c r="G2029" s="28"/>
      <c r="H2029" s="28"/>
      <c r="I2029" s="98"/>
      <c r="J2029" s="27"/>
      <c r="K2029" s="29"/>
      <c r="L2029" s="29"/>
      <c r="M2029" s="29"/>
      <c r="N2029" s="29"/>
    </row>
    <row r="2030" spans="2:14" x14ac:dyDescent="0.25">
      <c r="B2030" s="27"/>
      <c r="C2030" s="28"/>
      <c r="D2030" s="28"/>
      <c r="E2030" s="27"/>
      <c r="F2030" s="6"/>
      <c r="G2030" s="28"/>
      <c r="H2030" s="28"/>
      <c r="I2030" s="98"/>
      <c r="J2030" s="27"/>
      <c r="K2030" s="29"/>
      <c r="L2030" s="29"/>
      <c r="M2030" s="29"/>
      <c r="N2030" s="29"/>
    </row>
    <row r="2031" spans="2:14" x14ac:dyDescent="0.25">
      <c r="B2031" s="27"/>
      <c r="C2031" s="28"/>
      <c r="D2031" s="28"/>
      <c r="E2031" s="27"/>
      <c r="F2031" s="6"/>
      <c r="G2031" s="28"/>
      <c r="H2031" s="28"/>
      <c r="I2031" s="98"/>
      <c r="J2031" s="27"/>
      <c r="K2031" s="29"/>
      <c r="L2031" s="29"/>
      <c r="M2031" s="29"/>
      <c r="N2031" s="29"/>
    </row>
    <row r="2032" spans="2:14" x14ac:dyDescent="0.25">
      <c r="B2032" s="27"/>
      <c r="C2032" s="28"/>
      <c r="D2032" s="28"/>
      <c r="E2032" s="27"/>
      <c r="F2032" s="6"/>
      <c r="G2032" s="28"/>
      <c r="H2032" s="28"/>
      <c r="I2032" s="98"/>
      <c r="J2032" s="27"/>
      <c r="K2032" s="29"/>
      <c r="L2032" s="29"/>
      <c r="M2032" s="29"/>
      <c r="N2032" s="29"/>
    </row>
    <row r="2033" spans="2:14" x14ac:dyDescent="0.25">
      <c r="B2033" s="27"/>
      <c r="C2033" s="28"/>
      <c r="D2033" s="28"/>
      <c r="E2033" s="27"/>
      <c r="F2033" s="6"/>
      <c r="G2033" s="28"/>
      <c r="H2033" s="28"/>
      <c r="I2033" s="98"/>
      <c r="J2033" s="27"/>
      <c r="K2033" s="29"/>
      <c r="L2033" s="29"/>
      <c r="M2033" s="29"/>
      <c r="N2033" s="29"/>
    </row>
    <row r="2034" spans="2:14" x14ac:dyDescent="0.25">
      <c r="B2034" s="27"/>
      <c r="C2034" s="28"/>
      <c r="D2034" s="28"/>
      <c r="E2034" s="27"/>
      <c r="F2034" s="6"/>
      <c r="G2034" s="28"/>
      <c r="H2034" s="28"/>
      <c r="I2034" s="98"/>
      <c r="J2034" s="27"/>
      <c r="K2034" s="29"/>
      <c r="L2034" s="29"/>
      <c r="M2034" s="29"/>
      <c r="N2034" s="29"/>
    </row>
    <row r="2035" spans="2:14" x14ac:dyDescent="0.25">
      <c r="B2035" s="27"/>
      <c r="C2035" s="28"/>
      <c r="D2035" s="28"/>
      <c r="E2035" s="27"/>
      <c r="F2035" s="6"/>
      <c r="G2035" s="28"/>
      <c r="H2035" s="28"/>
      <c r="I2035" s="98"/>
      <c r="J2035" s="27"/>
      <c r="K2035" s="29"/>
      <c r="L2035" s="29"/>
      <c r="M2035" s="29"/>
      <c r="N2035" s="29"/>
    </row>
    <row r="2036" spans="2:14" x14ac:dyDescent="0.25">
      <c r="B2036" s="27"/>
      <c r="C2036" s="28"/>
      <c r="D2036" s="28"/>
      <c r="E2036" s="27"/>
      <c r="F2036" s="6"/>
      <c r="G2036" s="28"/>
      <c r="H2036" s="28"/>
      <c r="I2036" s="98"/>
      <c r="J2036" s="27"/>
      <c r="K2036" s="29"/>
      <c r="L2036" s="29"/>
      <c r="M2036" s="29"/>
      <c r="N2036" s="29"/>
    </row>
    <row r="2037" spans="2:14" x14ac:dyDescent="0.25">
      <c r="B2037" s="27"/>
      <c r="C2037" s="28"/>
      <c r="D2037" s="28"/>
      <c r="E2037" s="27"/>
      <c r="F2037" s="6"/>
      <c r="G2037" s="28"/>
      <c r="H2037" s="28"/>
      <c r="I2037" s="98"/>
      <c r="J2037" s="27"/>
      <c r="K2037" s="29"/>
      <c r="L2037" s="29"/>
      <c r="M2037" s="29"/>
      <c r="N2037" s="29"/>
    </row>
    <row r="2038" spans="2:14" x14ac:dyDescent="0.25">
      <c r="B2038" s="27"/>
      <c r="C2038" s="28"/>
      <c r="D2038" s="28"/>
      <c r="E2038" s="27"/>
      <c r="F2038" s="6"/>
      <c r="G2038" s="28"/>
      <c r="H2038" s="28"/>
      <c r="I2038" s="98"/>
      <c r="J2038" s="27"/>
      <c r="K2038" s="29"/>
      <c r="L2038" s="29"/>
      <c r="M2038" s="29"/>
      <c r="N2038" s="29"/>
    </row>
    <row r="2039" spans="2:14" x14ac:dyDescent="0.25">
      <c r="B2039" s="27"/>
      <c r="C2039" s="28"/>
      <c r="D2039" s="28"/>
      <c r="E2039" s="27"/>
      <c r="F2039" s="6"/>
      <c r="G2039" s="28"/>
      <c r="H2039" s="28"/>
      <c r="I2039" s="98"/>
      <c r="J2039" s="27"/>
      <c r="K2039" s="29"/>
      <c r="L2039" s="29"/>
      <c r="M2039" s="29"/>
      <c r="N2039" s="29"/>
    </row>
    <row r="2040" spans="2:14" x14ac:dyDescent="0.25">
      <c r="B2040" s="27"/>
      <c r="C2040" s="28"/>
      <c r="D2040" s="28"/>
      <c r="E2040" s="27"/>
      <c r="F2040" s="6"/>
      <c r="G2040" s="28"/>
      <c r="H2040" s="28"/>
      <c r="I2040" s="98"/>
      <c r="J2040" s="27"/>
      <c r="K2040" s="29"/>
      <c r="L2040" s="29"/>
      <c r="M2040" s="29"/>
      <c r="N2040" s="29"/>
    </row>
    <row r="2041" spans="2:14" x14ac:dyDescent="0.25">
      <c r="B2041" s="27"/>
      <c r="C2041" s="28"/>
      <c r="D2041" s="28"/>
      <c r="E2041" s="27"/>
      <c r="F2041" s="6"/>
      <c r="G2041" s="28"/>
      <c r="H2041" s="28"/>
      <c r="I2041" s="98"/>
      <c r="J2041" s="27"/>
      <c r="K2041" s="29"/>
      <c r="L2041" s="29"/>
      <c r="M2041" s="29"/>
      <c r="N2041" s="29"/>
    </row>
    <row r="2042" spans="2:14" x14ac:dyDescent="0.25">
      <c r="B2042" s="27"/>
      <c r="C2042" s="28"/>
      <c r="D2042" s="28"/>
      <c r="E2042" s="27"/>
      <c r="F2042" s="6"/>
      <c r="G2042" s="28"/>
      <c r="H2042" s="28"/>
      <c r="I2042" s="98"/>
      <c r="J2042" s="27"/>
      <c r="K2042" s="29"/>
      <c r="L2042" s="29"/>
      <c r="M2042" s="29"/>
      <c r="N2042" s="29"/>
    </row>
    <row r="2043" spans="2:14" x14ac:dyDescent="0.25">
      <c r="B2043" s="27"/>
      <c r="C2043" s="28"/>
      <c r="D2043" s="28"/>
      <c r="E2043" s="27"/>
      <c r="F2043" s="6"/>
      <c r="G2043" s="28"/>
      <c r="H2043" s="28"/>
      <c r="I2043" s="98"/>
      <c r="J2043" s="27"/>
      <c r="K2043" s="29"/>
      <c r="L2043" s="29"/>
      <c r="M2043" s="29"/>
      <c r="N2043" s="29"/>
    </row>
    <row r="2044" spans="2:14" x14ac:dyDescent="0.25">
      <c r="B2044" s="27"/>
      <c r="C2044" s="28"/>
      <c r="D2044" s="28"/>
      <c r="E2044" s="27"/>
      <c r="F2044" s="6"/>
      <c r="G2044" s="28"/>
      <c r="H2044" s="28"/>
      <c r="I2044" s="98"/>
      <c r="J2044" s="27"/>
      <c r="K2044" s="29"/>
      <c r="L2044" s="29"/>
      <c r="M2044" s="29"/>
      <c r="N2044" s="29"/>
    </row>
    <row r="2045" spans="2:14" x14ac:dyDescent="0.25">
      <c r="B2045" s="27"/>
      <c r="C2045" s="28"/>
      <c r="D2045" s="28"/>
      <c r="E2045" s="27"/>
      <c r="F2045" s="6"/>
      <c r="G2045" s="28"/>
      <c r="H2045" s="28"/>
      <c r="I2045" s="98"/>
      <c r="J2045" s="27"/>
      <c r="K2045" s="29"/>
      <c r="L2045" s="29"/>
      <c r="M2045" s="29"/>
      <c r="N2045" s="29"/>
    </row>
    <row r="2046" spans="2:14" x14ac:dyDescent="0.25">
      <c r="B2046" s="27"/>
      <c r="C2046" s="28"/>
      <c r="D2046" s="28"/>
      <c r="E2046" s="27"/>
      <c r="F2046" s="6"/>
      <c r="G2046" s="28"/>
      <c r="H2046" s="28"/>
      <c r="I2046" s="98"/>
      <c r="J2046" s="27"/>
      <c r="K2046" s="29"/>
      <c r="L2046" s="29"/>
      <c r="M2046" s="29"/>
      <c r="N2046" s="29"/>
    </row>
    <row r="2047" spans="2:14" x14ac:dyDescent="0.25">
      <c r="B2047" s="27"/>
      <c r="C2047" s="28"/>
      <c r="D2047" s="28"/>
      <c r="E2047" s="27"/>
      <c r="F2047" s="6"/>
      <c r="G2047" s="28"/>
      <c r="H2047" s="28"/>
      <c r="I2047" s="98"/>
      <c r="J2047" s="27"/>
      <c r="K2047" s="29"/>
      <c r="L2047" s="29"/>
      <c r="M2047" s="29"/>
      <c r="N2047" s="29"/>
    </row>
    <row r="2048" spans="2:14" x14ac:dyDescent="0.25">
      <c r="B2048" s="27"/>
      <c r="C2048" s="28"/>
      <c r="D2048" s="28"/>
      <c r="E2048" s="27"/>
      <c r="F2048" s="6"/>
      <c r="G2048" s="28"/>
      <c r="H2048" s="28"/>
      <c r="I2048" s="98"/>
      <c r="J2048" s="27"/>
      <c r="K2048" s="29"/>
      <c r="L2048" s="29"/>
      <c r="M2048" s="29"/>
      <c r="N2048" s="29"/>
    </row>
    <row r="2049" spans="2:14" x14ac:dyDescent="0.25">
      <c r="B2049" s="27"/>
      <c r="C2049" s="28"/>
      <c r="D2049" s="28"/>
      <c r="E2049" s="27"/>
      <c r="F2049" s="6"/>
      <c r="G2049" s="28"/>
      <c r="H2049" s="28"/>
      <c r="I2049" s="98"/>
      <c r="J2049" s="27"/>
      <c r="K2049" s="29"/>
      <c r="L2049" s="29"/>
      <c r="M2049" s="29"/>
      <c r="N2049" s="29"/>
    </row>
    <row r="1048513" spans="5:8" x14ac:dyDescent="0.25">
      <c r="E1048513" s="27"/>
      <c r="F1048513" s="6"/>
      <c r="H1048513" s="28"/>
    </row>
  </sheetData>
  <autoFilter ref="B12:N1375" xr:uid="{675C9056-4A13-46C3-83CD-9F87262E6A4B}"/>
  <mergeCells count="4">
    <mergeCell ref="B2:N2"/>
    <mergeCell ref="B3:K3"/>
    <mergeCell ref="Q11:S11"/>
    <mergeCell ref="T11:U11"/>
  </mergeCells>
  <dataValidations count="2">
    <dataValidation type="list" allowBlank="1" showInputMessage="1" showErrorMessage="1" sqref="C6" xr:uid="{4DA0F873-6AE1-428B-9C8A-9DF5EC8BC811}">
      <formula1>TipoEvento</formula1>
    </dataValidation>
    <dataValidation type="list" allowBlank="1" showInputMessage="1" showErrorMessage="1" sqref="C7" xr:uid="{E818F069-EF08-41B4-99BF-24174BC740D9}">
      <formula1>INDIRECT(C6)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6BAD8E2-4BB0-4705-97C7-3D308AC1482E}">
          <x14:formula1>
            <xm:f>'Datos base'!$A$3:$A$10</xm:f>
          </x14:formula1>
          <xm:sqref>C4</xm:sqref>
        </x14:dataValidation>
        <x14:dataValidation type="list" allowBlank="1" showInputMessage="1" showErrorMessage="1" xr:uid="{D28457B9-034E-4A65-B3A4-AE6B22115F6E}">
          <x14:formula1>
            <xm:f>'Datos base'!$B$3:$B$33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26531-4C1A-43A6-A283-0F6C277236A7}">
  <dimension ref="A2:U37"/>
  <sheetViews>
    <sheetView zoomScale="80" zoomScaleNormal="80" workbookViewId="0">
      <selection activeCell="C6" sqref="C6"/>
    </sheetView>
  </sheetViews>
  <sheetFormatPr baseColWidth="10" defaultColWidth="10.85546875" defaultRowHeight="12.75" x14ac:dyDescent="0.2"/>
  <cols>
    <col min="1" max="1" width="3.42578125" style="41" customWidth="1"/>
    <col min="2" max="4" width="10.85546875" style="41"/>
    <col min="5" max="5" width="14.42578125" style="41" customWidth="1"/>
    <col min="6" max="6" width="13.5703125" style="41" customWidth="1"/>
    <col min="7" max="7" width="14.85546875" style="41" customWidth="1"/>
    <col min="8" max="14" width="10.85546875" style="41"/>
    <col min="15" max="15" width="7.42578125" style="41" customWidth="1"/>
    <col min="16" max="16" width="13.85546875" style="41" customWidth="1"/>
    <col min="17" max="16384" width="10.85546875" style="41"/>
  </cols>
  <sheetData>
    <row r="2" spans="2:19" ht="13.5" thickBot="1" x14ac:dyDescent="0.25">
      <c r="C2" s="42"/>
      <c r="E2" s="42" t="s">
        <v>740</v>
      </c>
      <c r="K2" s="43" t="s">
        <v>741</v>
      </c>
      <c r="L2" s="43"/>
      <c r="M2" s="44"/>
    </row>
    <row r="3" spans="2:19" x14ac:dyDescent="0.2">
      <c r="B3" s="44"/>
      <c r="C3" s="42" t="s">
        <v>742</v>
      </c>
      <c r="D3" s="42" t="s">
        <v>743</v>
      </c>
      <c r="E3" s="42" t="s">
        <v>744</v>
      </c>
      <c r="F3" s="42" t="s">
        <v>745</v>
      </c>
      <c r="G3" s="45" t="s">
        <v>746</v>
      </c>
      <c r="H3" s="46" t="s">
        <v>747</v>
      </c>
      <c r="K3" s="47" t="s">
        <v>748</v>
      </c>
      <c r="L3" s="48">
        <v>3</v>
      </c>
      <c r="M3" s="49" t="s">
        <v>749</v>
      </c>
      <c r="N3" s="49" t="s">
        <v>743</v>
      </c>
      <c r="P3" s="41" t="s">
        <v>750</v>
      </c>
    </row>
    <row r="4" spans="2:19" ht="13.5" thickBot="1" x14ac:dyDescent="0.25">
      <c r="B4" s="50">
        <v>1000</v>
      </c>
      <c r="C4" s="49">
        <f>+B4*C5</f>
        <v>500</v>
      </c>
      <c r="D4" s="49">
        <f>+B4-C4</f>
        <v>500</v>
      </c>
      <c r="E4" s="49">
        <f>+D4*E5</f>
        <v>100</v>
      </c>
      <c r="F4" s="51">
        <f>+D4-E4</f>
        <v>400</v>
      </c>
      <c r="G4" s="52">
        <f>+F4/B4</f>
        <v>0.4</v>
      </c>
      <c r="H4" s="53">
        <f>100%-G4</f>
        <v>0.6</v>
      </c>
      <c r="I4" s="54"/>
      <c r="J4" s="55"/>
      <c r="K4" s="48">
        <v>150</v>
      </c>
      <c r="L4" s="48">
        <f>+K4*L3</f>
        <v>450</v>
      </c>
      <c r="M4" s="56">
        <f>+L4*0.2</f>
        <v>90</v>
      </c>
      <c r="N4" s="56">
        <f>+L4-M4</f>
        <v>360</v>
      </c>
      <c r="O4" s="41">
        <f>+N4*0.15</f>
        <v>54</v>
      </c>
      <c r="P4" s="56">
        <f>+N4-O4</f>
        <v>306</v>
      </c>
    </row>
    <row r="5" spans="2:19" x14ac:dyDescent="0.2">
      <c r="B5" s="57" t="s">
        <v>751</v>
      </c>
      <c r="C5" s="112">
        <v>0.5</v>
      </c>
      <c r="D5" s="58"/>
      <c r="E5" s="59">
        <v>0.2</v>
      </c>
      <c r="F5" s="60"/>
      <c r="G5" s="61">
        <f>+B4*G4</f>
        <v>400</v>
      </c>
      <c r="H5" s="61"/>
      <c r="I5" s="54"/>
      <c r="J5" s="55"/>
      <c r="L5" s="56"/>
      <c r="M5" s="56"/>
      <c r="N5" s="56"/>
      <c r="P5" s="62">
        <f>+P4/L4</f>
        <v>0.68</v>
      </c>
      <c r="Q5" s="63" t="s">
        <v>746</v>
      </c>
    </row>
    <row r="6" spans="2:19" ht="13.5" thickBot="1" x14ac:dyDescent="0.25">
      <c r="H6" s="41">
        <f>+H4*B4</f>
        <v>600</v>
      </c>
      <c r="I6" s="54" t="s">
        <v>744</v>
      </c>
      <c r="J6" s="64"/>
      <c r="P6" s="65">
        <f>100%-P5</f>
        <v>0.31999999999999995</v>
      </c>
      <c r="Q6" s="66" t="s">
        <v>747</v>
      </c>
      <c r="R6" s="41">
        <f>+L4*P6</f>
        <v>143.99999999999997</v>
      </c>
    </row>
    <row r="7" spans="2:19" x14ac:dyDescent="0.2">
      <c r="B7" s="41">
        <v>100</v>
      </c>
      <c r="C7" s="41">
        <v>24</v>
      </c>
      <c r="D7" s="41">
        <f>+B7*C7</f>
        <v>2400</v>
      </c>
      <c r="G7" s="61">
        <f>+F4+H6</f>
        <v>1000</v>
      </c>
      <c r="I7" s="67"/>
      <c r="J7" s="68"/>
      <c r="Q7" s="56"/>
    </row>
    <row r="8" spans="2:19" x14ac:dyDescent="0.2">
      <c r="B8" s="41">
        <f>200/6</f>
        <v>33.333333333333336</v>
      </c>
      <c r="K8" s="43" t="s">
        <v>752</v>
      </c>
      <c r="L8" s="43"/>
      <c r="M8" s="44"/>
    </row>
    <row r="9" spans="2:19" x14ac:dyDescent="0.2">
      <c r="K9" s="47" t="s">
        <v>748</v>
      </c>
      <c r="L9" s="48">
        <v>6</v>
      </c>
      <c r="M9" s="49" t="s">
        <v>753</v>
      </c>
      <c r="N9" s="49" t="s">
        <v>743</v>
      </c>
      <c r="P9" s="41" t="s">
        <v>750</v>
      </c>
      <c r="R9" s="69">
        <v>0.68</v>
      </c>
      <c r="S9" s="41" t="s">
        <v>746</v>
      </c>
    </row>
    <row r="10" spans="2:19" ht="13.5" thickBot="1" x14ac:dyDescent="0.25">
      <c r="B10" s="41">
        <f>100/4</f>
        <v>25</v>
      </c>
      <c r="K10" s="48">
        <v>100</v>
      </c>
      <c r="L10" s="48">
        <f>+K10*L9</f>
        <v>600</v>
      </c>
      <c r="M10" s="56">
        <f>+L10*0.25</f>
        <v>150</v>
      </c>
      <c r="N10" s="56">
        <f>+L10-M10</f>
        <v>450</v>
      </c>
      <c r="O10" s="41">
        <f>+N10*0.15</f>
        <v>67.5</v>
      </c>
      <c r="P10" s="56">
        <f>+N10-O10</f>
        <v>382.5</v>
      </c>
      <c r="R10" s="69">
        <v>0.31999999999999995</v>
      </c>
      <c r="S10" s="41" t="s">
        <v>747</v>
      </c>
    </row>
    <row r="11" spans="2:19" x14ac:dyDescent="0.2">
      <c r="D11" s="70"/>
      <c r="E11" s="71"/>
      <c r="F11" s="72" t="s">
        <v>788</v>
      </c>
      <c r="G11" s="72" t="s">
        <v>754</v>
      </c>
      <c r="L11" s="56"/>
      <c r="M11" s="56"/>
      <c r="N11" s="56"/>
      <c r="P11" s="62">
        <f>+P10/L10</f>
        <v>0.63749999999999996</v>
      </c>
      <c r="Q11" s="63" t="s">
        <v>746</v>
      </c>
    </row>
    <row r="12" spans="2:19" ht="13.5" thickBot="1" x14ac:dyDescent="0.25">
      <c r="D12" s="73"/>
      <c r="E12" s="74" t="s">
        <v>755</v>
      </c>
      <c r="F12" s="75" t="s">
        <v>755</v>
      </c>
      <c r="G12" s="75" t="s">
        <v>755</v>
      </c>
      <c r="H12" s="74"/>
      <c r="P12" s="65">
        <f>100%-P11</f>
        <v>0.36250000000000004</v>
      </c>
      <c r="Q12" s="66" t="s">
        <v>747</v>
      </c>
    </row>
    <row r="13" spans="2:19" x14ac:dyDescent="0.2">
      <c r="B13" s="41">
        <v>99</v>
      </c>
      <c r="D13" s="70" t="s">
        <v>756</v>
      </c>
      <c r="E13" s="76">
        <v>0.5</v>
      </c>
      <c r="F13" s="77">
        <v>0.57499999999999996</v>
      </c>
      <c r="G13" s="78">
        <v>0.625</v>
      </c>
    </row>
    <row r="14" spans="2:19" x14ac:dyDescent="0.2">
      <c r="B14" s="99">
        <f>+B13*0.6666</f>
        <v>65.993399999999994</v>
      </c>
      <c r="C14" s="41">
        <v>100</v>
      </c>
      <c r="D14" s="79" t="s">
        <v>757</v>
      </c>
      <c r="E14" s="67">
        <v>0.33329999999999999</v>
      </c>
      <c r="F14" s="67">
        <v>0.43330000000000002</v>
      </c>
      <c r="G14" s="80">
        <v>0.49997499999999995</v>
      </c>
      <c r="J14" s="41">
        <f>+J15*0.4</f>
        <v>40</v>
      </c>
      <c r="K14" s="41">
        <f>+J16*0.15</f>
        <v>9</v>
      </c>
      <c r="P14" s="41">
        <f>+L10*P12</f>
        <v>217.50000000000003</v>
      </c>
      <c r="Q14" s="56">
        <f>+L10-P14</f>
        <v>382.5</v>
      </c>
    </row>
    <row r="15" spans="2:19" x14ac:dyDescent="0.2">
      <c r="B15" s="99">
        <f>+B13*0.5667</f>
        <v>56.103299999999997</v>
      </c>
      <c r="C15" s="56">
        <f>100-43.33</f>
        <v>56.67</v>
      </c>
      <c r="D15" s="79" t="s">
        <v>758</v>
      </c>
      <c r="E15" s="67">
        <v>0.16669999999999999</v>
      </c>
      <c r="F15" s="67">
        <v>0.29170000000000001</v>
      </c>
      <c r="G15" s="80">
        <v>0.37502500000000005</v>
      </c>
      <c r="I15" s="41">
        <v>100</v>
      </c>
      <c r="J15" s="41">
        <v>100</v>
      </c>
      <c r="K15" s="41">
        <v>100</v>
      </c>
    </row>
    <row r="16" spans="2:19" x14ac:dyDescent="0.2">
      <c r="D16" s="79" t="s">
        <v>739</v>
      </c>
      <c r="E16" s="67">
        <v>0.25</v>
      </c>
      <c r="F16" s="67">
        <v>0.36249999999999999</v>
      </c>
      <c r="G16" s="80">
        <v>0.4375</v>
      </c>
      <c r="I16" s="44">
        <v>100</v>
      </c>
      <c r="J16" s="44">
        <v>60</v>
      </c>
      <c r="K16" s="44">
        <v>51</v>
      </c>
    </row>
    <row r="17" spans="1:21" x14ac:dyDescent="0.2">
      <c r="D17" s="79" t="s">
        <v>759</v>
      </c>
      <c r="E17" s="81">
        <v>0.5</v>
      </c>
      <c r="F17" s="81">
        <v>0.57499999999999996</v>
      </c>
      <c r="G17" s="80"/>
      <c r="I17" s="41">
        <v>200</v>
      </c>
      <c r="J17" s="41">
        <v>160</v>
      </c>
      <c r="K17" s="41">
        <v>151</v>
      </c>
      <c r="L17" s="69">
        <f>+K17/I17-1</f>
        <v>-0.245</v>
      </c>
      <c r="M17" s="82">
        <f>+J17/I17</f>
        <v>0.8</v>
      </c>
    </row>
    <row r="18" spans="1:21" x14ac:dyDescent="0.2">
      <c r="D18" s="79" t="s">
        <v>760</v>
      </c>
      <c r="E18" s="67">
        <v>0.2</v>
      </c>
      <c r="F18" s="67">
        <v>0.32</v>
      </c>
      <c r="G18" s="80"/>
      <c r="I18" s="83" t="s">
        <v>746</v>
      </c>
      <c r="J18" s="82">
        <f>+J16/I16</f>
        <v>0.6</v>
      </c>
      <c r="K18" s="82">
        <f>+K16/I16</f>
        <v>0.51</v>
      </c>
    </row>
    <row r="19" spans="1:21" x14ac:dyDescent="0.2">
      <c r="B19" s="41">
        <v>329</v>
      </c>
      <c r="D19" s="102" t="s">
        <v>787</v>
      </c>
      <c r="E19" s="104">
        <v>0.35</v>
      </c>
      <c r="F19" s="104">
        <v>0.41499999999999998</v>
      </c>
      <c r="G19" s="106"/>
      <c r="I19" s="83" t="s">
        <v>762</v>
      </c>
      <c r="J19" s="67">
        <f>100%-J18</f>
        <v>0.4</v>
      </c>
      <c r="K19" s="82">
        <f>100%-K18</f>
        <v>0.49</v>
      </c>
      <c r="N19" s="84" t="s">
        <v>763</v>
      </c>
      <c r="O19" s="85" t="s">
        <v>764</v>
      </c>
      <c r="P19" s="75" t="s">
        <v>765</v>
      </c>
      <c r="S19" s="84" t="s">
        <v>763</v>
      </c>
      <c r="T19" s="85" t="s">
        <v>764</v>
      </c>
      <c r="U19" s="75" t="s">
        <v>765</v>
      </c>
    </row>
    <row r="20" spans="1:21" x14ac:dyDescent="0.2">
      <c r="B20" s="41">
        <f>329*0.7</f>
        <v>230.29999999999998</v>
      </c>
      <c r="D20" s="79" t="s">
        <v>761</v>
      </c>
      <c r="E20" s="67">
        <v>0.125</v>
      </c>
      <c r="F20" s="81">
        <v>0.25624999999999998</v>
      </c>
      <c r="G20" s="80"/>
      <c r="M20" s="43" t="s">
        <v>767</v>
      </c>
      <c r="N20" s="86" t="s">
        <v>768</v>
      </c>
      <c r="O20" s="87">
        <v>0.25</v>
      </c>
      <c r="P20" s="42" t="s">
        <v>743</v>
      </c>
      <c r="R20" s="43" t="s">
        <v>767</v>
      </c>
      <c r="S20" s="86" t="s">
        <v>768</v>
      </c>
      <c r="T20" s="87">
        <v>0.15</v>
      </c>
      <c r="U20" s="42" t="s">
        <v>743</v>
      </c>
    </row>
    <row r="21" spans="1:21" x14ac:dyDescent="0.2">
      <c r="D21" s="102" t="s">
        <v>766</v>
      </c>
      <c r="E21" s="103">
        <v>0.15</v>
      </c>
      <c r="F21" s="104">
        <v>0.23499999999999999</v>
      </c>
      <c r="G21" s="105"/>
      <c r="J21" s="81"/>
      <c r="L21" s="67"/>
      <c r="M21" s="41" t="s">
        <v>770</v>
      </c>
      <c r="N21" s="90">
        <v>123</v>
      </c>
      <c r="O21" s="91">
        <f t="shared" ref="O21:O27" si="0">+N21*$O$20</f>
        <v>30.75</v>
      </c>
      <c r="P21" s="41">
        <f t="shared" ref="P21:P27" si="1">+N21-O21</f>
        <v>92.25</v>
      </c>
      <c r="R21" s="41" t="s">
        <v>771</v>
      </c>
      <c r="S21" s="90">
        <v>359</v>
      </c>
      <c r="T21" s="91">
        <f>+S21*$T$20</f>
        <v>53.85</v>
      </c>
      <c r="U21" s="41">
        <f t="shared" ref="U21:U26" si="2">+S21-T21</f>
        <v>305.14999999999998</v>
      </c>
    </row>
    <row r="22" spans="1:21" ht="13.5" thickBot="1" x14ac:dyDescent="0.25">
      <c r="B22" s="41">
        <f>+B19+B20</f>
        <v>559.29999999999995</v>
      </c>
      <c r="D22" s="88" t="s">
        <v>769</v>
      </c>
      <c r="E22" s="100">
        <v>0.15</v>
      </c>
      <c r="F22" s="100">
        <v>0.27750000000000002</v>
      </c>
      <c r="G22" s="101"/>
      <c r="I22" s="41">
        <f t="shared" ref="I22:I27" si="3">+E27*0.1667</f>
        <v>14.169499999999999</v>
      </c>
      <c r="J22" s="55">
        <f t="shared" ref="J22:J27" si="4">+I22-F27</f>
        <v>-10.625000000000004</v>
      </c>
      <c r="L22" s="67"/>
      <c r="M22" s="41" t="s">
        <v>773</v>
      </c>
      <c r="N22" s="41">
        <v>195</v>
      </c>
      <c r="O22" s="92">
        <f t="shared" si="0"/>
        <v>48.75</v>
      </c>
      <c r="P22" s="41">
        <f t="shared" si="1"/>
        <v>146.25</v>
      </c>
      <c r="R22" s="41" t="s">
        <v>774</v>
      </c>
      <c r="S22" s="41">
        <v>319</v>
      </c>
      <c r="T22" s="91">
        <f t="shared" ref="T22:T26" si="5">+S22*$T$20</f>
        <v>47.85</v>
      </c>
      <c r="U22" s="41">
        <f t="shared" si="2"/>
        <v>271.14999999999998</v>
      </c>
    </row>
    <row r="23" spans="1:21" x14ac:dyDescent="0.2">
      <c r="B23" s="41">
        <f>+B22/2</f>
        <v>279.64999999999998</v>
      </c>
      <c r="D23" s="70" t="s">
        <v>772</v>
      </c>
      <c r="E23" s="77">
        <v>0.33329999999999999</v>
      </c>
      <c r="F23" s="77">
        <v>0.43330000000000002</v>
      </c>
      <c r="G23" s="78"/>
      <c r="I23" s="41">
        <f t="shared" si="3"/>
        <v>14.169499999999999</v>
      </c>
      <c r="J23" s="55">
        <f t="shared" si="4"/>
        <v>-10.625000000000004</v>
      </c>
      <c r="L23" s="67"/>
      <c r="M23" s="41" t="s">
        <v>776</v>
      </c>
      <c r="N23" s="41">
        <v>206</v>
      </c>
      <c r="O23" s="93">
        <f t="shared" si="0"/>
        <v>51.5</v>
      </c>
      <c r="P23" s="56">
        <f t="shared" si="1"/>
        <v>154.5</v>
      </c>
      <c r="S23" s="41">
        <v>149</v>
      </c>
      <c r="T23" s="91">
        <f t="shared" si="5"/>
        <v>22.349999999999998</v>
      </c>
      <c r="U23" s="56">
        <f t="shared" si="2"/>
        <v>126.65</v>
      </c>
    </row>
    <row r="24" spans="1:21" x14ac:dyDescent="0.2">
      <c r="D24" s="79" t="s">
        <v>775</v>
      </c>
      <c r="E24" s="81">
        <v>0.16669999999999999</v>
      </c>
      <c r="F24" s="81">
        <v>0.29170000000000001</v>
      </c>
      <c r="G24" s="80"/>
      <c r="I24" s="41">
        <f t="shared" si="3"/>
        <v>14.169499999999999</v>
      </c>
      <c r="J24" s="55">
        <f t="shared" si="4"/>
        <v>-10.625000000000004</v>
      </c>
      <c r="M24" s="41" t="s">
        <v>778</v>
      </c>
      <c r="N24" s="41">
        <v>245</v>
      </c>
      <c r="O24" s="93">
        <f t="shared" si="0"/>
        <v>61.25</v>
      </c>
      <c r="P24" s="56">
        <f t="shared" si="1"/>
        <v>183.75</v>
      </c>
      <c r="T24" s="91">
        <f t="shared" si="5"/>
        <v>0</v>
      </c>
      <c r="U24" s="56">
        <f t="shared" si="2"/>
        <v>0</v>
      </c>
    </row>
    <row r="25" spans="1:21" ht="13.5" thickBot="1" x14ac:dyDescent="0.25">
      <c r="A25" s="83"/>
      <c r="D25" s="88" t="s">
        <v>777</v>
      </c>
      <c r="E25" s="94">
        <v>0.16669999999999999</v>
      </c>
      <c r="F25" s="94">
        <v>0.29170000000000001</v>
      </c>
      <c r="G25" s="89"/>
      <c r="I25" s="41">
        <f t="shared" si="3"/>
        <v>14.169499999999999</v>
      </c>
      <c r="J25" s="55">
        <f t="shared" si="4"/>
        <v>-10.625000000000004</v>
      </c>
      <c r="M25" s="41" t="s">
        <v>779</v>
      </c>
      <c r="N25" s="41">
        <v>382</v>
      </c>
      <c r="O25" s="93">
        <f t="shared" si="0"/>
        <v>95.5</v>
      </c>
      <c r="P25" s="56">
        <f t="shared" si="1"/>
        <v>286.5</v>
      </c>
      <c r="T25" s="91">
        <f t="shared" si="5"/>
        <v>0</v>
      </c>
      <c r="U25" s="56">
        <f t="shared" si="2"/>
        <v>0</v>
      </c>
    </row>
    <row r="26" spans="1:21" x14ac:dyDescent="0.2">
      <c r="I26" s="41">
        <f t="shared" si="3"/>
        <v>14.169499999999999</v>
      </c>
      <c r="J26" s="55">
        <f t="shared" si="4"/>
        <v>-10.625000000000004</v>
      </c>
      <c r="M26" s="41" t="s">
        <v>781</v>
      </c>
      <c r="N26" s="41">
        <v>274</v>
      </c>
      <c r="O26" s="93">
        <f t="shared" si="0"/>
        <v>68.5</v>
      </c>
      <c r="P26" s="56">
        <f t="shared" si="1"/>
        <v>205.5</v>
      </c>
      <c r="T26" s="91">
        <f t="shared" si="5"/>
        <v>0</v>
      </c>
      <c r="U26" s="56">
        <f t="shared" si="2"/>
        <v>0</v>
      </c>
    </row>
    <row r="27" spans="1:21" x14ac:dyDescent="0.2">
      <c r="E27" s="41">
        <v>85</v>
      </c>
      <c r="F27" s="41">
        <f>+E27*0.2917</f>
        <v>24.794500000000003</v>
      </c>
      <c r="G27" s="41" t="s">
        <v>780</v>
      </c>
      <c r="I27" s="41">
        <f t="shared" si="3"/>
        <v>14.169499999999999</v>
      </c>
      <c r="J27" s="55">
        <f t="shared" si="4"/>
        <v>-10.625000000000004</v>
      </c>
      <c r="M27" s="41" t="s">
        <v>786</v>
      </c>
      <c r="N27" s="41">
        <v>110</v>
      </c>
      <c r="O27" s="93">
        <f t="shared" si="0"/>
        <v>27.5</v>
      </c>
      <c r="P27" s="56">
        <f t="shared" si="1"/>
        <v>82.5</v>
      </c>
    </row>
    <row r="28" spans="1:21" x14ac:dyDescent="0.2">
      <c r="E28" s="41">
        <v>85</v>
      </c>
      <c r="F28" s="41">
        <f t="shared" ref="F28:F32" si="6">+E28*0.2917</f>
        <v>24.794500000000003</v>
      </c>
      <c r="G28" s="41" t="s">
        <v>780</v>
      </c>
      <c r="I28" s="41">
        <f>SUM(I22:I27)</f>
        <v>85.016999999999996</v>
      </c>
    </row>
    <row r="29" spans="1:21" x14ac:dyDescent="0.2">
      <c r="E29" s="41">
        <v>85</v>
      </c>
      <c r="F29" s="41">
        <f t="shared" si="6"/>
        <v>24.794500000000003</v>
      </c>
      <c r="G29" s="41" t="s">
        <v>780</v>
      </c>
    </row>
    <row r="30" spans="1:21" x14ac:dyDescent="0.2">
      <c r="E30" s="41">
        <v>85</v>
      </c>
      <c r="F30" s="41">
        <f t="shared" si="6"/>
        <v>24.794500000000003</v>
      </c>
      <c r="G30" s="41" t="s">
        <v>780</v>
      </c>
    </row>
    <row r="31" spans="1:21" ht="30" x14ac:dyDescent="0.2">
      <c r="E31" s="41">
        <v>85</v>
      </c>
      <c r="F31" s="41">
        <f t="shared" si="6"/>
        <v>24.794500000000003</v>
      </c>
      <c r="G31" s="41" t="s">
        <v>780</v>
      </c>
      <c r="I31" s="1" t="s">
        <v>1092</v>
      </c>
      <c r="J31" s="1" t="s">
        <v>1093</v>
      </c>
      <c r="K31" s="1" t="s">
        <v>1094</v>
      </c>
    </row>
    <row r="32" spans="1:21" ht="15" x14ac:dyDescent="0.2">
      <c r="E32" s="44">
        <v>85</v>
      </c>
      <c r="F32" s="44">
        <f t="shared" si="6"/>
        <v>24.794500000000003</v>
      </c>
      <c r="G32" s="41" t="s">
        <v>780</v>
      </c>
      <c r="I32" s="110">
        <v>0.2</v>
      </c>
      <c r="J32" s="110">
        <v>0.2</v>
      </c>
      <c r="K32" s="111">
        <v>0.36</v>
      </c>
    </row>
    <row r="33" spans="4:11" ht="15" x14ac:dyDescent="0.2">
      <c r="D33" s="41" t="s">
        <v>782</v>
      </c>
      <c r="E33" s="41">
        <f>SUM(E27:E32)</f>
        <v>510</v>
      </c>
      <c r="F33" s="74">
        <f>SUM(F27:F32)</f>
        <v>148.76700000000002</v>
      </c>
      <c r="G33" s="74" t="s">
        <v>783</v>
      </c>
      <c r="H33" s="74"/>
      <c r="I33" s="110">
        <v>0.25</v>
      </c>
      <c r="J33" s="110">
        <v>0.2</v>
      </c>
      <c r="K33" s="111">
        <v>0.4</v>
      </c>
    </row>
    <row r="34" spans="4:11" ht="15" x14ac:dyDescent="0.2">
      <c r="D34" s="41" t="s">
        <v>758</v>
      </c>
      <c r="E34" s="41">
        <f>+E33-85</f>
        <v>425</v>
      </c>
      <c r="I34" s="110">
        <v>0.3</v>
      </c>
      <c r="J34" s="110">
        <v>0.2</v>
      </c>
      <c r="K34" s="111">
        <v>0.44</v>
      </c>
    </row>
    <row r="35" spans="4:11" ht="15" x14ac:dyDescent="0.2">
      <c r="E35" s="41">
        <f>+E34*0.15</f>
        <v>63.75</v>
      </c>
      <c r="I35" s="110">
        <v>0.35</v>
      </c>
      <c r="J35" s="110">
        <v>0.2</v>
      </c>
      <c r="K35" s="111">
        <v>0.48</v>
      </c>
    </row>
    <row r="36" spans="4:11" ht="15" x14ac:dyDescent="0.2">
      <c r="D36" s="41" t="s">
        <v>784</v>
      </c>
      <c r="E36" s="41">
        <f>+E34-E35</f>
        <v>361.25</v>
      </c>
      <c r="F36" s="41">
        <v>386</v>
      </c>
      <c r="G36" s="41">
        <f>+F36-E36</f>
        <v>24.75</v>
      </c>
      <c r="I36" s="110">
        <v>0.4</v>
      </c>
      <c r="J36" s="110">
        <v>0.2</v>
      </c>
      <c r="K36" s="111">
        <v>0.52</v>
      </c>
    </row>
    <row r="37" spans="4:11" ht="15" x14ac:dyDescent="0.2">
      <c r="D37" s="74" t="s">
        <v>785</v>
      </c>
      <c r="E37" s="74">
        <f>+E33-E36</f>
        <v>148.75</v>
      </c>
      <c r="I37" s="110">
        <v>0.5</v>
      </c>
      <c r="J37" s="110">
        <v>0.2</v>
      </c>
      <c r="K37" s="111">
        <v>0.6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F5713-522A-49C0-9B6C-398BEB45550B}">
  <dimension ref="B1:U1534"/>
  <sheetViews>
    <sheetView showGridLines="0" topLeftCell="E593" zoomScale="80" zoomScaleNormal="80" workbookViewId="0">
      <selection activeCell="B13" sqref="B13:I619"/>
    </sheetView>
  </sheetViews>
  <sheetFormatPr baseColWidth="10" defaultColWidth="11.42578125" defaultRowHeight="15" x14ac:dyDescent="0.25"/>
  <cols>
    <col min="1" max="1" width="4" customWidth="1"/>
    <col min="2" max="2" width="24.140625" bestFit="1" customWidth="1"/>
    <col min="3" max="3" width="31.28515625" customWidth="1"/>
    <col min="4" max="4" width="47.85546875" bestFit="1" customWidth="1"/>
    <col min="5" max="5" width="25.42578125" style="12" bestFit="1" customWidth="1"/>
    <col min="6" max="6" width="26.42578125" bestFit="1" customWidth="1"/>
    <col min="7" max="7" width="42.140625" bestFit="1" customWidth="1"/>
    <col min="8" max="8" width="16.42578125" customWidth="1"/>
    <col min="9" max="9" width="46.42578125" style="12" customWidth="1"/>
    <col min="10" max="10" width="46.28515625" bestFit="1" customWidth="1"/>
    <col min="11" max="11" width="36.42578125" customWidth="1"/>
    <col min="12" max="12" width="18.7109375" customWidth="1"/>
    <col min="13" max="13" width="20.28515625" customWidth="1"/>
    <col min="14" max="14" width="22.42578125" customWidth="1"/>
    <col min="15" max="21" width="20" hidden="1" customWidth="1"/>
    <col min="22" max="22" width="19.85546875" bestFit="1" customWidth="1"/>
  </cols>
  <sheetData>
    <row r="1" spans="2:21" ht="6.95" customHeight="1" x14ac:dyDescent="0.25"/>
    <row r="2" spans="2:21" ht="15.75" x14ac:dyDescent="0.25">
      <c r="B2" s="117" t="s">
        <v>0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</row>
    <row r="3" spans="2:21" ht="6.4" customHeight="1" x14ac:dyDescent="0.25">
      <c r="B3" s="118"/>
      <c r="C3" s="119"/>
      <c r="D3" s="119"/>
      <c r="E3" s="119"/>
      <c r="F3" s="119"/>
      <c r="G3" s="119"/>
      <c r="H3" s="119"/>
      <c r="I3" s="119"/>
      <c r="J3" s="119"/>
      <c r="K3" s="119"/>
    </row>
    <row r="4" spans="2:21" x14ac:dyDescent="0.25">
      <c r="B4" s="20" t="s">
        <v>1</v>
      </c>
      <c r="C4" s="6" t="s">
        <v>2</v>
      </c>
      <c r="D4" s="7"/>
      <c r="E4" s="18"/>
      <c r="F4" s="7"/>
      <c r="G4" s="7"/>
      <c r="H4" s="7"/>
      <c r="I4" s="18"/>
      <c r="J4" s="7"/>
      <c r="K4" s="7"/>
      <c r="L4" s="7"/>
      <c r="M4" s="7"/>
      <c r="N4" s="7"/>
      <c r="O4" s="7"/>
    </row>
    <row r="5" spans="2:21" x14ac:dyDescent="0.25">
      <c r="B5" s="20" t="s">
        <v>3</v>
      </c>
      <c r="C5" s="6" t="s">
        <v>123</v>
      </c>
      <c r="D5" s="7"/>
      <c r="E5" s="33"/>
      <c r="F5" s="34"/>
      <c r="G5" s="33"/>
      <c r="H5" s="7"/>
      <c r="I5" s="18"/>
      <c r="J5" s="7"/>
      <c r="K5" s="7"/>
      <c r="L5" s="7"/>
      <c r="M5" s="7"/>
      <c r="N5" s="7"/>
      <c r="O5" s="7"/>
    </row>
    <row r="6" spans="2:21" x14ac:dyDescent="0.25">
      <c r="B6" s="21" t="s">
        <v>5</v>
      </c>
      <c r="C6" s="6" t="s">
        <v>6</v>
      </c>
      <c r="D6" s="7"/>
      <c r="E6" s="18"/>
      <c r="F6" s="7"/>
      <c r="G6" s="18"/>
      <c r="H6" s="7"/>
      <c r="I6" s="18"/>
      <c r="J6" s="7"/>
      <c r="K6" s="7"/>
      <c r="L6" s="7"/>
      <c r="M6" s="7"/>
      <c r="N6" s="7"/>
      <c r="O6" s="7"/>
    </row>
    <row r="7" spans="2:21" x14ac:dyDescent="0.25">
      <c r="B7" s="20" t="s">
        <v>7</v>
      </c>
      <c r="C7" s="6" t="s">
        <v>8</v>
      </c>
      <c r="D7" s="7"/>
      <c r="E7" s="18"/>
      <c r="F7" s="7"/>
      <c r="G7" s="18"/>
      <c r="H7" s="7"/>
      <c r="I7" s="18"/>
      <c r="J7" s="7"/>
      <c r="K7" s="7"/>
      <c r="L7" s="7"/>
      <c r="M7" s="7"/>
      <c r="N7" s="7"/>
      <c r="O7" s="7"/>
    </row>
    <row r="8" spans="2:21" x14ac:dyDescent="0.25">
      <c r="B8" s="20" t="s">
        <v>9</v>
      </c>
      <c r="C8" s="6" t="s">
        <v>194</v>
      </c>
      <c r="D8" s="7"/>
      <c r="E8" s="18"/>
      <c r="F8" s="7"/>
      <c r="G8" s="7"/>
      <c r="H8" s="7"/>
      <c r="I8" s="18"/>
      <c r="J8" s="32"/>
      <c r="K8" s="7"/>
      <c r="L8" s="7"/>
      <c r="M8" s="7"/>
      <c r="N8" s="7"/>
      <c r="O8" s="7"/>
    </row>
    <row r="9" spans="2:21" x14ac:dyDescent="0.25">
      <c r="B9" s="22" t="s">
        <v>10</v>
      </c>
      <c r="C9" s="6" t="s">
        <v>11</v>
      </c>
      <c r="D9" s="7"/>
      <c r="E9" s="18"/>
      <c r="F9" s="7"/>
      <c r="G9" s="7"/>
      <c r="H9" s="7"/>
      <c r="I9" s="18"/>
      <c r="J9" s="7"/>
      <c r="K9" s="7"/>
      <c r="L9" s="7"/>
      <c r="M9" s="7"/>
      <c r="N9" s="7"/>
      <c r="O9" s="7"/>
    </row>
    <row r="10" spans="2:21" x14ac:dyDescent="0.25">
      <c r="B10" s="23" t="s">
        <v>125</v>
      </c>
      <c r="C10" s="13">
        <v>45296</v>
      </c>
      <c r="D10" s="7"/>
      <c r="E10" s="18"/>
      <c r="F10" s="7"/>
      <c r="G10" s="7"/>
      <c r="H10" s="35"/>
      <c r="I10" s="18"/>
      <c r="J10" s="7"/>
      <c r="K10" s="7"/>
      <c r="L10" s="7"/>
      <c r="M10" s="7"/>
      <c r="N10" s="7"/>
      <c r="O10" s="7"/>
    </row>
    <row r="11" spans="2:21" ht="15.75" x14ac:dyDescent="0.25">
      <c r="B11" s="23" t="s">
        <v>12</v>
      </c>
      <c r="C11" s="13">
        <v>45301</v>
      </c>
      <c r="D11" s="7"/>
      <c r="E11" s="18"/>
      <c r="F11" s="7"/>
      <c r="G11" s="7"/>
      <c r="H11" s="7"/>
      <c r="I11" s="18"/>
      <c r="J11" s="7"/>
      <c r="K11" s="7"/>
      <c r="L11" s="7"/>
      <c r="M11" s="7"/>
      <c r="N11" s="7"/>
      <c r="O11" s="7"/>
      <c r="P11" s="2" t="s">
        <v>13</v>
      </c>
      <c r="Q11" s="120" t="s">
        <v>14</v>
      </c>
      <c r="R11" s="121"/>
      <c r="S11" s="122"/>
      <c r="T11" s="123" t="s">
        <v>15</v>
      </c>
      <c r="U11" s="124"/>
    </row>
    <row r="12" spans="2:21" ht="75" x14ac:dyDescent="0.25">
      <c r="B12" s="14" t="s">
        <v>16</v>
      </c>
      <c r="C12" s="14" t="s">
        <v>17</v>
      </c>
      <c r="D12" s="14" t="s">
        <v>18</v>
      </c>
      <c r="E12" s="19" t="s">
        <v>19</v>
      </c>
      <c r="F12" s="19" t="s">
        <v>20</v>
      </c>
      <c r="G12" s="19" t="s">
        <v>21</v>
      </c>
      <c r="H12" s="19" t="s">
        <v>128</v>
      </c>
      <c r="I12" s="14" t="s">
        <v>22</v>
      </c>
      <c r="J12" s="14" t="s">
        <v>23</v>
      </c>
      <c r="K12" s="14" t="s">
        <v>24</v>
      </c>
      <c r="L12" s="19" t="s">
        <v>25</v>
      </c>
      <c r="M12" s="19" t="s">
        <v>26</v>
      </c>
      <c r="N12" s="19" t="s">
        <v>27</v>
      </c>
      <c r="O12" s="3" t="s">
        <v>28</v>
      </c>
      <c r="P12" s="4" t="s">
        <v>29</v>
      </c>
      <c r="Q12" s="4" t="s">
        <v>30</v>
      </c>
      <c r="R12" s="4" t="s">
        <v>31</v>
      </c>
      <c r="S12" s="5" t="s">
        <v>30</v>
      </c>
      <c r="T12" s="5" t="s">
        <v>31</v>
      </c>
    </row>
    <row r="13" spans="2:21" x14ac:dyDescent="0.25">
      <c r="B13" s="27" t="s">
        <v>123</v>
      </c>
      <c r="C13" s="28">
        <v>530915</v>
      </c>
      <c r="D13" s="28" t="s">
        <v>195</v>
      </c>
      <c r="E13" s="27" t="s">
        <v>32</v>
      </c>
      <c r="F13" s="27" t="s">
        <v>194</v>
      </c>
      <c r="G13" s="28" t="s">
        <v>66</v>
      </c>
      <c r="H13" s="28" t="s">
        <v>129</v>
      </c>
      <c r="I13" s="36">
        <v>1790</v>
      </c>
      <c r="J13" s="27"/>
      <c r="K13" s="29"/>
      <c r="L13" s="29" t="s">
        <v>126</v>
      </c>
      <c r="M13" s="29" t="s">
        <v>126</v>
      </c>
      <c r="N13" s="29" t="s">
        <v>126</v>
      </c>
    </row>
    <row r="14" spans="2:21" x14ac:dyDescent="0.25">
      <c r="B14" s="27" t="s">
        <v>123</v>
      </c>
      <c r="C14" s="28">
        <v>530917</v>
      </c>
      <c r="D14" s="28" t="s">
        <v>196</v>
      </c>
      <c r="E14" s="27" t="s">
        <v>32</v>
      </c>
      <c r="F14" s="27" t="s">
        <v>194</v>
      </c>
      <c r="G14" s="28" t="s">
        <v>66</v>
      </c>
      <c r="H14" s="28" t="s">
        <v>129</v>
      </c>
      <c r="I14" s="36">
        <v>690</v>
      </c>
      <c r="J14" s="27"/>
      <c r="K14" s="29"/>
      <c r="L14" s="29"/>
      <c r="M14" s="29"/>
      <c r="N14" s="29"/>
    </row>
    <row r="15" spans="2:21" x14ac:dyDescent="0.25">
      <c r="B15" s="27" t="s">
        <v>123</v>
      </c>
      <c r="C15" s="28">
        <v>508118</v>
      </c>
      <c r="D15" s="28" t="s">
        <v>197</v>
      </c>
      <c r="E15" s="27" t="s">
        <v>32</v>
      </c>
      <c r="F15" s="27" t="s">
        <v>194</v>
      </c>
      <c r="G15" s="28" t="s">
        <v>66</v>
      </c>
      <c r="H15" s="28" t="s">
        <v>129</v>
      </c>
      <c r="I15" s="36">
        <v>1490</v>
      </c>
      <c r="J15" s="27"/>
      <c r="K15" s="29"/>
      <c r="L15" s="29"/>
      <c r="M15" s="29"/>
      <c r="N15" s="29"/>
    </row>
    <row r="16" spans="2:21" x14ac:dyDescent="0.25">
      <c r="B16" s="27" t="s">
        <v>123</v>
      </c>
      <c r="C16" s="28">
        <v>551755</v>
      </c>
      <c r="D16" s="28" t="s">
        <v>198</v>
      </c>
      <c r="E16" s="27" t="s">
        <v>32</v>
      </c>
      <c r="F16" s="27" t="s">
        <v>194</v>
      </c>
      <c r="G16" s="28" t="s">
        <v>66</v>
      </c>
      <c r="H16" s="28" t="s">
        <v>129</v>
      </c>
      <c r="I16" s="36">
        <v>1745</v>
      </c>
      <c r="J16" s="27"/>
      <c r="K16" s="29"/>
      <c r="L16" s="29"/>
      <c r="M16" s="29"/>
      <c r="N16" s="29"/>
    </row>
    <row r="17" spans="2:14" x14ac:dyDescent="0.25">
      <c r="B17" s="27" t="s">
        <v>123</v>
      </c>
      <c r="C17" s="28">
        <v>323806</v>
      </c>
      <c r="D17" s="28" t="s">
        <v>199</v>
      </c>
      <c r="E17" s="27" t="s">
        <v>32</v>
      </c>
      <c r="F17" s="27" t="s">
        <v>194</v>
      </c>
      <c r="G17" s="28" t="s">
        <v>66</v>
      </c>
      <c r="H17" s="28" t="s">
        <v>129</v>
      </c>
      <c r="I17" s="36">
        <v>690</v>
      </c>
      <c r="J17" s="27"/>
      <c r="K17" s="29"/>
      <c r="L17" s="29"/>
      <c r="M17" s="29"/>
      <c r="N17" s="29"/>
    </row>
    <row r="18" spans="2:14" x14ac:dyDescent="0.25">
      <c r="B18" s="27" t="s">
        <v>123</v>
      </c>
      <c r="C18" s="28">
        <v>446490</v>
      </c>
      <c r="D18" s="28" t="s">
        <v>200</v>
      </c>
      <c r="E18" s="27" t="s">
        <v>32</v>
      </c>
      <c r="F18" s="27" t="s">
        <v>194</v>
      </c>
      <c r="G18" s="28" t="s">
        <v>66</v>
      </c>
      <c r="H18" s="28" t="s">
        <v>129</v>
      </c>
      <c r="I18" s="36">
        <v>159</v>
      </c>
      <c r="J18" s="27"/>
      <c r="K18" s="29"/>
      <c r="L18" s="29"/>
      <c r="M18" s="29"/>
      <c r="N18" s="29"/>
    </row>
    <row r="19" spans="2:14" x14ac:dyDescent="0.25">
      <c r="B19" s="27" t="s">
        <v>123</v>
      </c>
      <c r="C19" s="28">
        <v>521130</v>
      </c>
      <c r="D19" s="28" t="s">
        <v>201</v>
      </c>
      <c r="E19" s="27" t="s">
        <v>32</v>
      </c>
      <c r="F19" s="27" t="s">
        <v>194</v>
      </c>
      <c r="G19" s="28" t="s">
        <v>66</v>
      </c>
      <c r="H19" s="28" t="s">
        <v>129</v>
      </c>
      <c r="I19" s="36">
        <v>499</v>
      </c>
      <c r="J19" s="27"/>
      <c r="K19" s="29"/>
      <c r="L19" s="29"/>
      <c r="M19" s="29"/>
      <c r="N19" s="29"/>
    </row>
    <row r="20" spans="2:14" x14ac:dyDescent="0.25">
      <c r="B20" s="27" t="s">
        <v>123</v>
      </c>
      <c r="C20" s="28">
        <v>519906</v>
      </c>
      <c r="D20" s="28" t="s">
        <v>202</v>
      </c>
      <c r="E20" s="27" t="s">
        <v>32</v>
      </c>
      <c r="F20" s="27" t="s">
        <v>194</v>
      </c>
      <c r="G20" s="28" t="s">
        <v>66</v>
      </c>
      <c r="H20" s="28" t="s">
        <v>129</v>
      </c>
      <c r="I20" s="36">
        <v>299</v>
      </c>
      <c r="J20" s="27"/>
      <c r="K20" s="29"/>
      <c r="L20" s="29"/>
      <c r="M20" s="29"/>
      <c r="N20" s="29"/>
    </row>
    <row r="21" spans="2:14" x14ac:dyDescent="0.25">
      <c r="B21" s="27" t="s">
        <v>123</v>
      </c>
      <c r="C21" s="28">
        <v>519908</v>
      </c>
      <c r="D21" s="28" t="s">
        <v>203</v>
      </c>
      <c r="E21" s="27" t="s">
        <v>32</v>
      </c>
      <c r="F21" s="27" t="s">
        <v>194</v>
      </c>
      <c r="G21" s="28" t="s">
        <v>66</v>
      </c>
      <c r="H21" s="28" t="s">
        <v>129</v>
      </c>
      <c r="I21" s="36">
        <v>499</v>
      </c>
      <c r="J21" s="27"/>
      <c r="K21" s="29"/>
      <c r="L21" s="29"/>
      <c r="M21" s="29"/>
      <c r="N21" s="29"/>
    </row>
    <row r="22" spans="2:14" x14ac:dyDescent="0.25">
      <c r="B22" s="27" t="s">
        <v>123</v>
      </c>
      <c r="C22" s="28">
        <v>519921</v>
      </c>
      <c r="D22" s="28" t="s">
        <v>204</v>
      </c>
      <c r="E22" s="27" t="s">
        <v>32</v>
      </c>
      <c r="F22" s="27" t="s">
        <v>194</v>
      </c>
      <c r="G22" s="28" t="s">
        <v>66</v>
      </c>
      <c r="H22" s="28" t="s">
        <v>129</v>
      </c>
      <c r="I22" s="36">
        <v>599</v>
      </c>
      <c r="J22" s="27"/>
      <c r="K22" s="29"/>
      <c r="L22" s="29"/>
      <c r="M22" s="29"/>
      <c r="N22" s="29"/>
    </row>
    <row r="23" spans="2:14" x14ac:dyDescent="0.25">
      <c r="B23" s="27" t="s">
        <v>123</v>
      </c>
      <c r="C23" s="28">
        <v>519922</v>
      </c>
      <c r="D23" s="28" t="s">
        <v>205</v>
      </c>
      <c r="E23" s="27" t="s">
        <v>32</v>
      </c>
      <c r="F23" s="27" t="s">
        <v>194</v>
      </c>
      <c r="G23" s="28" t="s">
        <v>66</v>
      </c>
      <c r="H23" s="28" t="s">
        <v>129</v>
      </c>
      <c r="I23" s="36">
        <v>499</v>
      </c>
      <c r="J23" s="27"/>
      <c r="K23" s="29"/>
      <c r="L23" s="29"/>
      <c r="M23" s="29"/>
      <c r="N23" s="29"/>
    </row>
    <row r="24" spans="2:14" x14ac:dyDescent="0.25">
      <c r="B24" s="27" t="s">
        <v>123</v>
      </c>
      <c r="C24" s="28">
        <v>564083</v>
      </c>
      <c r="D24" s="28" t="s">
        <v>206</v>
      </c>
      <c r="E24" s="27" t="s">
        <v>32</v>
      </c>
      <c r="F24" s="27" t="s">
        <v>194</v>
      </c>
      <c r="G24" s="28" t="s">
        <v>66</v>
      </c>
      <c r="H24" s="28" t="s">
        <v>129</v>
      </c>
      <c r="I24" s="36">
        <v>89</v>
      </c>
      <c r="J24" s="27"/>
      <c r="K24" s="29"/>
      <c r="L24" s="29"/>
      <c r="M24" s="29"/>
      <c r="N24" s="29"/>
    </row>
    <row r="25" spans="2:14" x14ac:dyDescent="0.25">
      <c r="B25" s="27" t="s">
        <v>123</v>
      </c>
      <c r="C25" s="28">
        <v>564085</v>
      </c>
      <c r="D25" s="28" t="s">
        <v>207</v>
      </c>
      <c r="E25" s="27" t="s">
        <v>32</v>
      </c>
      <c r="F25" s="27" t="s">
        <v>194</v>
      </c>
      <c r="G25" s="28" t="s">
        <v>66</v>
      </c>
      <c r="H25" s="28" t="s">
        <v>129</v>
      </c>
      <c r="I25" s="36">
        <v>199</v>
      </c>
      <c r="J25" s="27"/>
      <c r="K25" s="29"/>
      <c r="L25" s="29"/>
      <c r="M25" s="29"/>
      <c r="N25" s="29"/>
    </row>
    <row r="26" spans="2:14" x14ac:dyDescent="0.25">
      <c r="B26" s="27" t="s">
        <v>123</v>
      </c>
      <c r="C26" s="28">
        <v>564087</v>
      </c>
      <c r="D26" s="28" t="s">
        <v>208</v>
      </c>
      <c r="E26" s="27" t="s">
        <v>32</v>
      </c>
      <c r="F26" s="27" t="s">
        <v>194</v>
      </c>
      <c r="G26" s="28" t="s">
        <v>66</v>
      </c>
      <c r="H26" s="28" t="s">
        <v>129</v>
      </c>
      <c r="I26" s="36">
        <v>199</v>
      </c>
      <c r="J26" s="27"/>
      <c r="K26" s="29"/>
      <c r="L26" s="29"/>
      <c r="M26" s="29"/>
      <c r="N26" s="29"/>
    </row>
    <row r="27" spans="2:14" x14ac:dyDescent="0.25">
      <c r="B27" s="27" t="s">
        <v>123</v>
      </c>
      <c r="C27" s="28">
        <v>564088</v>
      </c>
      <c r="D27" s="28" t="s">
        <v>209</v>
      </c>
      <c r="E27" s="27" t="s">
        <v>32</v>
      </c>
      <c r="F27" s="27" t="s">
        <v>194</v>
      </c>
      <c r="G27" s="28" t="s">
        <v>66</v>
      </c>
      <c r="H27" s="28" t="s">
        <v>129</v>
      </c>
      <c r="I27" s="36">
        <v>199</v>
      </c>
      <c r="J27" s="27"/>
      <c r="K27" s="29"/>
      <c r="L27" s="29"/>
      <c r="M27" s="29"/>
      <c r="N27" s="29"/>
    </row>
    <row r="28" spans="2:14" x14ac:dyDescent="0.25">
      <c r="B28" s="27" t="s">
        <v>123</v>
      </c>
      <c r="C28" s="28">
        <v>564084</v>
      </c>
      <c r="D28" s="28" t="s">
        <v>210</v>
      </c>
      <c r="E28" s="27" t="s">
        <v>32</v>
      </c>
      <c r="F28" s="27" t="s">
        <v>194</v>
      </c>
      <c r="G28" s="28" t="s">
        <v>66</v>
      </c>
      <c r="H28" s="28" t="s">
        <v>129</v>
      </c>
      <c r="I28" s="36">
        <v>89</v>
      </c>
      <c r="J28" s="27"/>
      <c r="K28" s="29"/>
      <c r="L28" s="29"/>
      <c r="M28" s="29"/>
      <c r="N28" s="29"/>
    </row>
    <row r="29" spans="2:14" x14ac:dyDescent="0.25">
      <c r="B29" s="27" t="s">
        <v>123</v>
      </c>
      <c r="C29" s="28">
        <v>564086</v>
      </c>
      <c r="D29" s="28" t="s">
        <v>211</v>
      </c>
      <c r="E29" s="27" t="s">
        <v>32</v>
      </c>
      <c r="F29" s="27" t="s">
        <v>194</v>
      </c>
      <c r="G29" s="28" t="s">
        <v>66</v>
      </c>
      <c r="H29" s="28" t="s">
        <v>129</v>
      </c>
      <c r="I29" s="36">
        <v>199</v>
      </c>
      <c r="J29" s="27"/>
      <c r="K29" s="29"/>
      <c r="L29" s="29"/>
      <c r="M29" s="29"/>
      <c r="N29" s="29"/>
    </row>
    <row r="30" spans="2:14" x14ac:dyDescent="0.25">
      <c r="B30" s="27" t="s">
        <v>123</v>
      </c>
      <c r="C30" s="28">
        <v>564080</v>
      </c>
      <c r="D30" s="28" t="s">
        <v>212</v>
      </c>
      <c r="E30" s="27" t="s">
        <v>32</v>
      </c>
      <c r="F30" s="27" t="s">
        <v>194</v>
      </c>
      <c r="G30" s="28" t="s">
        <v>66</v>
      </c>
      <c r="H30" s="28" t="s">
        <v>129</v>
      </c>
      <c r="I30" s="36">
        <v>39</v>
      </c>
      <c r="J30" s="27"/>
      <c r="K30" s="29"/>
      <c r="L30" s="29"/>
      <c r="M30" s="29"/>
      <c r="N30" s="29"/>
    </row>
    <row r="31" spans="2:14" x14ac:dyDescent="0.25">
      <c r="B31" s="27" t="s">
        <v>123</v>
      </c>
      <c r="C31" s="28">
        <v>564093</v>
      </c>
      <c r="D31" s="28" t="s">
        <v>213</v>
      </c>
      <c r="E31" s="27" t="s">
        <v>32</v>
      </c>
      <c r="F31" s="27" t="s">
        <v>194</v>
      </c>
      <c r="G31" s="28" t="s">
        <v>66</v>
      </c>
      <c r="H31" s="28" t="s">
        <v>129</v>
      </c>
      <c r="I31" s="36">
        <v>199</v>
      </c>
      <c r="J31" s="27"/>
      <c r="K31" s="29"/>
      <c r="L31" s="29"/>
      <c r="M31" s="29"/>
      <c r="N31" s="29"/>
    </row>
    <row r="32" spans="2:14" x14ac:dyDescent="0.25">
      <c r="B32" s="27" t="s">
        <v>123</v>
      </c>
      <c r="C32" s="28">
        <v>564094</v>
      </c>
      <c r="D32" s="28" t="s">
        <v>214</v>
      </c>
      <c r="E32" s="27" t="s">
        <v>32</v>
      </c>
      <c r="F32" s="27" t="s">
        <v>194</v>
      </c>
      <c r="G32" s="28" t="s">
        <v>66</v>
      </c>
      <c r="H32" s="28" t="s">
        <v>129</v>
      </c>
      <c r="I32" s="36">
        <v>39</v>
      </c>
      <c r="J32" s="27"/>
      <c r="K32" s="29"/>
      <c r="L32" s="29"/>
      <c r="M32" s="29"/>
      <c r="N32" s="29"/>
    </row>
    <row r="33" spans="2:14" x14ac:dyDescent="0.25">
      <c r="B33" s="27" t="s">
        <v>123</v>
      </c>
      <c r="C33" s="28">
        <v>565903</v>
      </c>
      <c r="D33" s="28" t="s">
        <v>215</v>
      </c>
      <c r="E33" s="27" t="s">
        <v>32</v>
      </c>
      <c r="F33" s="27" t="s">
        <v>194</v>
      </c>
      <c r="G33" s="28" t="s">
        <v>66</v>
      </c>
      <c r="H33" s="28" t="s">
        <v>129</v>
      </c>
      <c r="I33" s="36">
        <v>39</v>
      </c>
      <c r="J33" s="27"/>
      <c r="K33" s="29"/>
      <c r="L33" s="29"/>
      <c r="M33" s="29"/>
      <c r="N33" s="29"/>
    </row>
    <row r="34" spans="2:14" x14ac:dyDescent="0.25">
      <c r="B34" s="27" t="s">
        <v>123</v>
      </c>
      <c r="C34" s="28">
        <v>561583</v>
      </c>
      <c r="D34" s="28" t="s">
        <v>216</v>
      </c>
      <c r="E34" s="27" t="s">
        <v>32</v>
      </c>
      <c r="F34" s="27" t="s">
        <v>194</v>
      </c>
      <c r="G34" s="28" t="s">
        <v>66</v>
      </c>
      <c r="H34" s="28" t="s">
        <v>129</v>
      </c>
      <c r="I34" s="36">
        <v>199</v>
      </c>
      <c r="J34" s="27"/>
      <c r="K34" s="29"/>
      <c r="L34" s="29"/>
      <c r="M34" s="29"/>
      <c r="N34" s="29"/>
    </row>
    <row r="35" spans="2:14" x14ac:dyDescent="0.25">
      <c r="B35" s="27" t="s">
        <v>123</v>
      </c>
      <c r="C35" s="28">
        <v>561582</v>
      </c>
      <c r="D35" s="28" t="s">
        <v>217</v>
      </c>
      <c r="E35" s="27" t="s">
        <v>32</v>
      </c>
      <c r="F35" s="27" t="s">
        <v>194</v>
      </c>
      <c r="G35" s="28" t="s">
        <v>66</v>
      </c>
      <c r="H35" s="28" t="s">
        <v>129</v>
      </c>
      <c r="I35" s="36">
        <v>89</v>
      </c>
      <c r="J35" s="27"/>
      <c r="K35" s="29"/>
      <c r="L35" s="29"/>
      <c r="M35" s="29"/>
      <c r="N35" s="29"/>
    </row>
    <row r="36" spans="2:14" x14ac:dyDescent="0.25">
      <c r="B36" s="27" t="s">
        <v>123</v>
      </c>
      <c r="C36" s="28">
        <v>557990</v>
      </c>
      <c r="D36" s="28" t="s">
        <v>218</v>
      </c>
      <c r="E36" s="27" t="s">
        <v>32</v>
      </c>
      <c r="F36" s="27" t="s">
        <v>194</v>
      </c>
      <c r="G36" s="28" t="s">
        <v>66</v>
      </c>
      <c r="H36" s="28" t="s">
        <v>129</v>
      </c>
      <c r="I36" s="36">
        <v>39</v>
      </c>
      <c r="J36" s="27"/>
      <c r="K36" s="29"/>
      <c r="L36" s="29"/>
      <c r="M36" s="29"/>
      <c r="N36" s="29"/>
    </row>
    <row r="37" spans="2:14" x14ac:dyDescent="0.25">
      <c r="B37" s="27" t="s">
        <v>123</v>
      </c>
      <c r="C37" s="28">
        <v>550230</v>
      </c>
      <c r="D37" s="28" t="s">
        <v>219</v>
      </c>
      <c r="E37" s="27" t="s">
        <v>32</v>
      </c>
      <c r="F37" s="27" t="s">
        <v>194</v>
      </c>
      <c r="G37" s="28" t="s">
        <v>66</v>
      </c>
      <c r="H37" s="28" t="s">
        <v>129</v>
      </c>
      <c r="I37" s="36">
        <v>99</v>
      </c>
      <c r="J37" s="27"/>
      <c r="K37" s="29"/>
      <c r="L37" s="29"/>
      <c r="M37" s="29"/>
      <c r="N37" s="29"/>
    </row>
    <row r="38" spans="2:14" x14ac:dyDescent="0.25">
      <c r="B38" s="27" t="s">
        <v>123</v>
      </c>
      <c r="C38" s="28">
        <v>550231</v>
      </c>
      <c r="D38" s="28" t="s">
        <v>220</v>
      </c>
      <c r="E38" s="27" t="s">
        <v>32</v>
      </c>
      <c r="F38" s="27" t="s">
        <v>194</v>
      </c>
      <c r="G38" s="28" t="s">
        <v>66</v>
      </c>
      <c r="H38" s="28" t="s">
        <v>129</v>
      </c>
      <c r="I38" s="36">
        <v>159</v>
      </c>
      <c r="J38" s="27"/>
      <c r="K38" s="29"/>
      <c r="L38" s="29"/>
      <c r="M38" s="29"/>
      <c r="N38" s="29"/>
    </row>
    <row r="39" spans="2:14" x14ac:dyDescent="0.25">
      <c r="B39" s="27" t="s">
        <v>123</v>
      </c>
      <c r="C39" s="28">
        <v>550233</v>
      </c>
      <c r="D39" s="28" t="s">
        <v>221</v>
      </c>
      <c r="E39" s="27" t="s">
        <v>32</v>
      </c>
      <c r="F39" s="27" t="s">
        <v>194</v>
      </c>
      <c r="G39" s="28" t="s">
        <v>66</v>
      </c>
      <c r="H39" s="28" t="s">
        <v>129</v>
      </c>
      <c r="I39" s="36">
        <v>99</v>
      </c>
      <c r="J39" s="27"/>
      <c r="K39" s="29"/>
      <c r="L39" s="29"/>
      <c r="M39" s="29"/>
      <c r="N39" s="29"/>
    </row>
    <row r="40" spans="2:14" x14ac:dyDescent="0.25">
      <c r="B40" s="27" t="s">
        <v>123</v>
      </c>
      <c r="C40" s="28">
        <v>519911</v>
      </c>
      <c r="D40" s="28" t="s">
        <v>222</v>
      </c>
      <c r="E40" s="27" t="s">
        <v>32</v>
      </c>
      <c r="F40" s="27" t="s">
        <v>194</v>
      </c>
      <c r="G40" s="28" t="s">
        <v>66</v>
      </c>
      <c r="H40" s="28" t="s">
        <v>129</v>
      </c>
      <c r="I40" s="36">
        <v>89</v>
      </c>
      <c r="J40" s="27"/>
      <c r="K40" s="29"/>
      <c r="L40" s="29"/>
      <c r="M40" s="29"/>
      <c r="N40" s="29"/>
    </row>
    <row r="41" spans="2:14" x14ac:dyDescent="0.25">
      <c r="B41" s="27" t="s">
        <v>123</v>
      </c>
      <c r="C41" s="28">
        <v>492966</v>
      </c>
      <c r="D41" s="28" t="s">
        <v>223</v>
      </c>
      <c r="E41" s="27" t="s">
        <v>32</v>
      </c>
      <c r="F41" s="27" t="s">
        <v>194</v>
      </c>
      <c r="G41" s="28" t="s">
        <v>66</v>
      </c>
      <c r="H41" s="28" t="s">
        <v>129</v>
      </c>
      <c r="I41" s="36">
        <v>1490</v>
      </c>
      <c r="J41" s="27"/>
      <c r="K41" s="29"/>
      <c r="L41" s="29"/>
      <c r="M41" s="29"/>
      <c r="N41" s="29"/>
    </row>
    <row r="42" spans="2:14" x14ac:dyDescent="0.25">
      <c r="B42" s="27" t="s">
        <v>123</v>
      </c>
      <c r="C42" s="28">
        <v>492956</v>
      </c>
      <c r="D42" s="28" t="s">
        <v>224</v>
      </c>
      <c r="E42" s="27" t="s">
        <v>32</v>
      </c>
      <c r="F42" s="27" t="s">
        <v>194</v>
      </c>
      <c r="G42" s="28" t="s">
        <v>66</v>
      </c>
      <c r="H42" s="28" t="s">
        <v>129</v>
      </c>
      <c r="I42" s="36">
        <v>899</v>
      </c>
      <c r="J42" s="27"/>
      <c r="K42" s="29"/>
      <c r="L42" s="29"/>
      <c r="M42" s="29"/>
      <c r="N42" s="29"/>
    </row>
    <row r="43" spans="2:14" x14ac:dyDescent="0.25">
      <c r="B43" s="27" t="s">
        <v>123</v>
      </c>
      <c r="C43" s="28">
        <v>492970</v>
      </c>
      <c r="D43" s="28" t="s">
        <v>225</v>
      </c>
      <c r="E43" s="27" t="s">
        <v>32</v>
      </c>
      <c r="F43" s="27" t="s">
        <v>194</v>
      </c>
      <c r="G43" s="28" t="s">
        <v>66</v>
      </c>
      <c r="H43" s="28" t="s">
        <v>129</v>
      </c>
      <c r="I43" s="36">
        <v>1790</v>
      </c>
      <c r="J43" s="27"/>
      <c r="K43" s="29"/>
      <c r="L43" s="29"/>
      <c r="M43" s="29"/>
      <c r="N43" s="29"/>
    </row>
    <row r="44" spans="2:14" x14ac:dyDescent="0.25">
      <c r="B44" s="27" t="s">
        <v>123</v>
      </c>
      <c r="C44" s="28">
        <v>172817</v>
      </c>
      <c r="D44" s="28" t="s">
        <v>226</v>
      </c>
      <c r="E44" s="27" t="s">
        <v>32</v>
      </c>
      <c r="F44" s="27" t="s">
        <v>194</v>
      </c>
      <c r="G44" s="28" t="s">
        <v>66</v>
      </c>
      <c r="H44" s="28" t="s">
        <v>129</v>
      </c>
      <c r="I44" s="36">
        <v>119</v>
      </c>
      <c r="J44" s="27"/>
      <c r="K44" s="29"/>
      <c r="L44" s="29"/>
      <c r="M44" s="29"/>
      <c r="N44" s="29"/>
    </row>
    <row r="45" spans="2:14" x14ac:dyDescent="0.25">
      <c r="B45" s="27" t="s">
        <v>123</v>
      </c>
      <c r="C45" s="28">
        <v>172809</v>
      </c>
      <c r="D45" s="28" t="s">
        <v>227</v>
      </c>
      <c r="E45" s="27" t="s">
        <v>32</v>
      </c>
      <c r="F45" s="27" t="s">
        <v>194</v>
      </c>
      <c r="G45" s="28" t="s">
        <v>66</v>
      </c>
      <c r="H45" s="28" t="s">
        <v>129</v>
      </c>
      <c r="I45" s="36">
        <v>59</v>
      </c>
      <c r="J45" s="27"/>
      <c r="K45" s="29"/>
      <c r="L45" s="29"/>
      <c r="M45" s="29"/>
      <c r="N45" s="29"/>
    </row>
    <row r="46" spans="2:14" x14ac:dyDescent="0.25">
      <c r="B46" s="27" t="s">
        <v>123</v>
      </c>
      <c r="C46" s="28">
        <v>488963</v>
      </c>
      <c r="D46" s="28" t="s">
        <v>228</v>
      </c>
      <c r="E46" s="27" t="s">
        <v>32</v>
      </c>
      <c r="F46" s="27" t="s">
        <v>194</v>
      </c>
      <c r="G46" s="28" t="s">
        <v>66</v>
      </c>
      <c r="H46" s="28" t="s">
        <v>129</v>
      </c>
      <c r="I46" s="36">
        <v>1190</v>
      </c>
      <c r="J46" s="27"/>
      <c r="K46" s="29"/>
      <c r="L46" s="29"/>
      <c r="M46" s="29"/>
      <c r="N46" s="29"/>
    </row>
    <row r="47" spans="2:14" x14ac:dyDescent="0.25">
      <c r="B47" s="27" t="s">
        <v>123</v>
      </c>
      <c r="C47" s="28">
        <v>488962</v>
      </c>
      <c r="D47" s="28" t="s">
        <v>229</v>
      </c>
      <c r="E47" s="27" t="s">
        <v>32</v>
      </c>
      <c r="F47" s="27" t="s">
        <v>194</v>
      </c>
      <c r="G47" s="28" t="s">
        <v>66</v>
      </c>
      <c r="H47" s="28" t="s">
        <v>129</v>
      </c>
      <c r="I47" s="36">
        <v>890</v>
      </c>
      <c r="J47" s="27"/>
      <c r="K47" s="29"/>
      <c r="L47" s="29"/>
      <c r="M47" s="29"/>
      <c r="N47" s="29"/>
    </row>
    <row r="48" spans="2:14" x14ac:dyDescent="0.25">
      <c r="B48" s="27" t="s">
        <v>123</v>
      </c>
      <c r="C48" s="28">
        <v>557673</v>
      </c>
      <c r="D48" s="28" t="s">
        <v>230</v>
      </c>
      <c r="E48" s="27" t="s">
        <v>32</v>
      </c>
      <c r="F48" s="27" t="s">
        <v>194</v>
      </c>
      <c r="G48" s="28" t="s">
        <v>66</v>
      </c>
      <c r="H48" s="28" t="s">
        <v>129</v>
      </c>
      <c r="I48" s="36">
        <v>699</v>
      </c>
      <c r="J48" s="27"/>
      <c r="K48" s="29"/>
      <c r="L48" s="29"/>
      <c r="M48" s="29"/>
      <c r="N48" s="29"/>
    </row>
    <row r="49" spans="2:14" x14ac:dyDescent="0.25">
      <c r="B49" s="27" t="s">
        <v>123</v>
      </c>
      <c r="C49" s="28">
        <v>531517</v>
      </c>
      <c r="D49" s="28" t="s">
        <v>231</v>
      </c>
      <c r="E49" s="27" t="s">
        <v>32</v>
      </c>
      <c r="F49" s="27" t="s">
        <v>194</v>
      </c>
      <c r="G49" s="28" t="s">
        <v>66</v>
      </c>
      <c r="H49" s="28" t="s">
        <v>129</v>
      </c>
      <c r="I49" s="36">
        <v>899</v>
      </c>
      <c r="J49" s="27"/>
      <c r="K49" s="29"/>
      <c r="L49" s="29"/>
      <c r="M49" s="29"/>
      <c r="N49" s="29"/>
    </row>
    <row r="50" spans="2:14" x14ac:dyDescent="0.25">
      <c r="B50" s="27" t="s">
        <v>123</v>
      </c>
      <c r="C50" s="28">
        <v>546108</v>
      </c>
      <c r="D50" s="28" t="s">
        <v>232</v>
      </c>
      <c r="E50" s="27" t="s">
        <v>32</v>
      </c>
      <c r="F50" s="27" t="s">
        <v>194</v>
      </c>
      <c r="G50" s="28" t="s">
        <v>66</v>
      </c>
      <c r="H50" s="28" t="s">
        <v>129</v>
      </c>
      <c r="I50" s="36">
        <v>3290</v>
      </c>
      <c r="J50" s="27"/>
      <c r="K50" s="29"/>
      <c r="L50" s="29"/>
      <c r="M50" s="29"/>
      <c r="N50" s="29"/>
    </row>
    <row r="51" spans="2:14" x14ac:dyDescent="0.25">
      <c r="B51" s="27" t="s">
        <v>123</v>
      </c>
      <c r="C51" s="28">
        <v>557039</v>
      </c>
      <c r="D51" s="28" t="s">
        <v>233</v>
      </c>
      <c r="E51" s="27" t="s">
        <v>32</v>
      </c>
      <c r="F51" s="27" t="s">
        <v>194</v>
      </c>
      <c r="G51" s="28" t="s">
        <v>66</v>
      </c>
      <c r="H51" s="28" t="s">
        <v>129</v>
      </c>
      <c r="I51" s="36">
        <v>1490</v>
      </c>
      <c r="J51" s="27"/>
      <c r="K51" s="29"/>
      <c r="L51" s="29"/>
      <c r="M51" s="29"/>
      <c r="N51" s="29"/>
    </row>
    <row r="52" spans="2:14" x14ac:dyDescent="0.25">
      <c r="B52" s="27" t="s">
        <v>123</v>
      </c>
      <c r="C52" s="28">
        <v>391365</v>
      </c>
      <c r="D52" s="28" t="s">
        <v>234</v>
      </c>
      <c r="E52" s="27" t="s">
        <v>32</v>
      </c>
      <c r="F52" s="27" t="s">
        <v>194</v>
      </c>
      <c r="G52" s="28" t="s">
        <v>66</v>
      </c>
      <c r="H52" s="28" t="s">
        <v>129</v>
      </c>
      <c r="I52" s="36">
        <v>590</v>
      </c>
      <c r="J52" s="27"/>
      <c r="K52" s="29"/>
      <c r="L52" s="29"/>
      <c r="M52" s="29"/>
      <c r="N52" s="29"/>
    </row>
    <row r="53" spans="2:14" x14ac:dyDescent="0.25">
      <c r="B53" s="27" t="s">
        <v>123</v>
      </c>
      <c r="C53" s="28">
        <v>551756</v>
      </c>
      <c r="D53" s="28" t="s">
        <v>235</v>
      </c>
      <c r="E53" s="27" t="s">
        <v>32</v>
      </c>
      <c r="F53" s="27" t="s">
        <v>194</v>
      </c>
      <c r="G53" s="28" t="s">
        <v>66</v>
      </c>
      <c r="H53" s="28" t="s">
        <v>129</v>
      </c>
      <c r="I53" s="36">
        <v>2990</v>
      </c>
      <c r="J53" s="27"/>
      <c r="K53" s="29"/>
      <c r="L53" s="29"/>
      <c r="M53" s="29"/>
      <c r="N53" s="29"/>
    </row>
    <row r="54" spans="2:14" x14ac:dyDescent="0.25">
      <c r="B54" s="27" t="s">
        <v>123</v>
      </c>
      <c r="C54" s="28">
        <v>503079</v>
      </c>
      <c r="D54" s="28" t="s">
        <v>236</v>
      </c>
      <c r="E54" s="27" t="s">
        <v>32</v>
      </c>
      <c r="F54" s="27" t="s">
        <v>194</v>
      </c>
      <c r="G54" s="28" t="s">
        <v>66</v>
      </c>
      <c r="H54" s="28" t="s">
        <v>129</v>
      </c>
      <c r="I54" s="36">
        <v>159</v>
      </c>
      <c r="J54" s="27"/>
      <c r="K54" s="29"/>
      <c r="L54" s="29"/>
      <c r="M54" s="29"/>
      <c r="N54" s="29"/>
    </row>
    <row r="55" spans="2:14" x14ac:dyDescent="0.25">
      <c r="B55" s="27" t="s">
        <v>123</v>
      </c>
      <c r="C55" s="28">
        <v>552082</v>
      </c>
      <c r="D55" s="28" t="s">
        <v>237</v>
      </c>
      <c r="E55" s="27" t="s">
        <v>32</v>
      </c>
      <c r="F55" s="27" t="s">
        <v>194</v>
      </c>
      <c r="G55" s="28" t="s">
        <v>66</v>
      </c>
      <c r="H55" s="28" t="s">
        <v>129</v>
      </c>
      <c r="I55" s="36">
        <v>15990</v>
      </c>
      <c r="J55" s="27"/>
      <c r="K55" s="29"/>
      <c r="L55" s="29"/>
      <c r="M55" s="29"/>
      <c r="N55" s="29"/>
    </row>
    <row r="56" spans="2:14" x14ac:dyDescent="0.25">
      <c r="B56" s="27" t="s">
        <v>123</v>
      </c>
      <c r="C56" s="28">
        <v>475326</v>
      </c>
      <c r="D56" s="28" t="s">
        <v>238</v>
      </c>
      <c r="E56" s="27" t="s">
        <v>32</v>
      </c>
      <c r="F56" s="27" t="s">
        <v>194</v>
      </c>
      <c r="G56" s="28" t="s">
        <v>66</v>
      </c>
      <c r="H56" s="28" t="s">
        <v>129</v>
      </c>
      <c r="I56" s="36">
        <v>89</v>
      </c>
      <c r="J56" s="27"/>
      <c r="K56" s="29"/>
      <c r="L56" s="29"/>
      <c r="M56" s="29"/>
      <c r="N56" s="29"/>
    </row>
    <row r="57" spans="2:14" x14ac:dyDescent="0.25">
      <c r="B57" s="27" t="s">
        <v>123</v>
      </c>
      <c r="C57" s="28">
        <v>552275</v>
      </c>
      <c r="D57" s="28" t="s">
        <v>239</v>
      </c>
      <c r="E57" s="27" t="s">
        <v>32</v>
      </c>
      <c r="F57" s="27" t="s">
        <v>194</v>
      </c>
      <c r="G57" s="28" t="s">
        <v>66</v>
      </c>
      <c r="H57" s="28" t="s">
        <v>129</v>
      </c>
      <c r="I57" s="36">
        <v>4490</v>
      </c>
      <c r="J57" s="27"/>
      <c r="K57" s="29"/>
      <c r="L57" s="29"/>
      <c r="M57" s="29"/>
      <c r="N57" s="29"/>
    </row>
    <row r="58" spans="2:14" x14ac:dyDescent="0.25">
      <c r="B58" s="27" t="s">
        <v>123</v>
      </c>
      <c r="C58" s="28">
        <v>510782</v>
      </c>
      <c r="D58" s="28" t="s">
        <v>240</v>
      </c>
      <c r="E58" s="27" t="s">
        <v>32</v>
      </c>
      <c r="F58" s="27" t="s">
        <v>194</v>
      </c>
      <c r="G58" s="28" t="s">
        <v>66</v>
      </c>
      <c r="H58" s="28" t="s">
        <v>129</v>
      </c>
      <c r="I58" s="36">
        <v>1590</v>
      </c>
      <c r="J58" s="27"/>
      <c r="K58" s="29"/>
      <c r="L58" s="29"/>
      <c r="M58" s="29"/>
      <c r="N58" s="29"/>
    </row>
    <row r="59" spans="2:14" x14ac:dyDescent="0.25">
      <c r="B59" s="27" t="s">
        <v>123</v>
      </c>
      <c r="C59" s="28">
        <v>492955</v>
      </c>
      <c r="D59" s="28" t="s">
        <v>241</v>
      </c>
      <c r="E59" s="27" t="s">
        <v>32</v>
      </c>
      <c r="F59" s="27" t="s">
        <v>194</v>
      </c>
      <c r="G59" s="28" t="s">
        <v>66</v>
      </c>
      <c r="H59" s="28" t="s">
        <v>129</v>
      </c>
      <c r="I59" s="36">
        <v>3190</v>
      </c>
      <c r="J59" s="27"/>
      <c r="K59" s="29"/>
      <c r="L59" s="29"/>
      <c r="M59" s="29"/>
      <c r="N59" s="29"/>
    </row>
    <row r="60" spans="2:14" x14ac:dyDescent="0.25">
      <c r="B60" s="27" t="s">
        <v>123</v>
      </c>
      <c r="C60" s="28">
        <v>472251</v>
      </c>
      <c r="D60" s="28" t="s">
        <v>242</v>
      </c>
      <c r="E60" s="27" t="s">
        <v>32</v>
      </c>
      <c r="F60" s="27" t="s">
        <v>194</v>
      </c>
      <c r="G60" s="28" t="s">
        <v>66</v>
      </c>
      <c r="H60" s="28" t="s">
        <v>129</v>
      </c>
      <c r="I60" s="36">
        <v>1790</v>
      </c>
      <c r="J60" s="27"/>
      <c r="K60" s="29"/>
      <c r="L60" s="29"/>
      <c r="M60" s="29"/>
      <c r="N60" s="29"/>
    </row>
    <row r="61" spans="2:14" x14ac:dyDescent="0.25">
      <c r="B61" s="27" t="s">
        <v>123</v>
      </c>
      <c r="C61" s="28">
        <v>492953</v>
      </c>
      <c r="D61" s="28" t="s">
        <v>243</v>
      </c>
      <c r="E61" s="27" t="s">
        <v>32</v>
      </c>
      <c r="F61" s="27" t="s">
        <v>194</v>
      </c>
      <c r="G61" s="28" t="s">
        <v>66</v>
      </c>
      <c r="H61" s="28" t="s">
        <v>129</v>
      </c>
      <c r="I61" s="36">
        <v>4390</v>
      </c>
      <c r="J61" s="27"/>
      <c r="K61" s="29"/>
      <c r="L61" s="29"/>
      <c r="M61" s="29"/>
      <c r="N61" s="29"/>
    </row>
    <row r="62" spans="2:14" x14ac:dyDescent="0.25">
      <c r="B62" s="27" t="s">
        <v>123</v>
      </c>
      <c r="C62" s="28">
        <v>510783</v>
      </c>
      <c r="D62" s="28" t="s">
        <v>244</v>
      </c>
      <c r="E62" s="27" t="s">
        <v>32</v>
      </c>
      <c r="F62" s="27" t="s">
        <v>194</v>
      </c>
      <c r="G62" s="28" t="s">
        <v>66</v>
      </c>
      <c r="H62" s="28" t="s">
        <v>129</v>
      </c>
      <c r="I62" s="36">
        <v>4390</v>
      </c>
      <c r="J62" s="27"/>
      <c r="K62" s="29"/>
      <c r="L62" s="29"/>
      <c r="M62" s="29"/>
      <c r="N62" s="29"/>
    </row>
    <row r="63" spans="2:14" x14ac:dyDescent="0.25">
      <c r="B63" s="27" t="s">
        <v>123</v>
      </c>
      <c r="C63" s="28">
        <v>542576</v>
      </c>
      <c r="D63" s="28" t="s">
        <v>244</v>
      </c>
      <c r="E63" s="27" t="s">
        <v>32</v>
      </c>
      <c r="F63" s="27" t="s">
        <v>194</v>
      </c>
      <c r="G63" s="28" t="s">
        <v>66</v>
      </c>
      <c r="H63" s="28" t="s">
        <v>129</v>
      </c>
      <c r="I63" s="36">
        <v>4990</v>
      </c>
      <c r="J63" s="27"/>
      <c r="K63" s="29"/>
      <c r="L63" s="29"/>
      <c r="M63" s="29"/>
      <c r="N63" s="29"/>
    </row>
    <row r="64" spans="2:14" x14ac:dyDescent="0.25">
      <c r="B64" s="27" t="s">
        <v>123</v>
      </c>
      <c r="C64" s="28">
        <v>530918</v>
      </c>
      <c r="D64" s="28" t="s">
        <v>245</v>
      </c>
      <c r="E64" s="27" t="s">
        <v>32</v>
      </c>
      <c r="F64" s="27" t="s">
        <v>194</v>
      </c>
      <c r="G64" s="28" t="s">
        <v>66</v>
      </c>
      <c r="H64" s="28" t="s">
        <v>129</v>
      </c>
      <c r="I64" s="36">
        <v>2490</v>
      </c>
      <c r="J64" s="27"/>
      <c r="K64" s="29"/>
      <c r="L64" s="29"/>
      <c r="M64" s="29"/>
      <c r="N64" s="29"/>
    </row>
    <row r="65" spans="2:14" x14ac:dyDescent="0.25">
      <c r="B65" s="27" t="s">
        <v>123</v>
      </c>
      <c r="C65" s="28">
        <v>561400</v>
      </c>
      <c r="D65" s="28" t="s">
        <v>190</v>
      </c>
      <c r="E65" s="27" t="s">
        <v>32</v>
      </c>
      <c r="F65" s="27" t="s">
        <v>194</v>
      </c>
      <c r="G65" s="28" t="s">
        <v>66</v>
      </c>
      <c r="H65" s="28" t="s">
        <v>129</v>
      </c>
      <c r="I65" s="36">
        <v>21990</v>
      </c>
      <c r="J65" s="27"/>
      <c r="K65" s="29"/>
      <c r="L65" s="29"/>
      <c r="M65" s="29"/>
      <c r="N65" s="29"/>
    </row>
    <row r="66" spans="2:14" x14ac:dyDescent="0.25">
      <c r="B66" s="27" t="s">
        <v>123</v>
      </c>
      <c r="C66" s="28">
        <v>550836</v>
      </c>
      <c r="D66" s="28" t="s">
        <v>246</v>
      </c>
      <c r="E66" s="27" t="s">
        <v>32</v>
      </c>
      <c r="F66" s="27" t="s">
        <v>194</v>
      </c>
      <c r="G66" s="28" t="s">
        <v>66</v>
      </c>
      <c r="H66" s="28" t="s">
        <v>129</v>
      </c>
      <c r="I66" s="36">
        <v>319</v>
      </c>
      <c r="J66" s="27"/>
      <c r="K66" s="29"/>
      <c r="L66" s="29"/>
      <c r="M66" s="29"/>
      <c r="N66" s="29"/>
    </row>
    <row r="67" spans="2:14" x14ac:dyDescent="0.25">
      <c r="B67" s="27" t="s">
        <v>123</v>
      </c>
      <c r="C67" s="28">
        <v>510067</v>
      </c>
      <c r="D67" s="28" t="s">
        <v>247</v>
      </c>
      <c r="E67" s="27" t="s">
        <v>32</v>
      </c>
      <c r="F67" s="27" t="s">
        <v>194</v>
      </c>
      <c r="G67" s="28" t="s">
        <v>66</v>
      </c>
      <c r="H67" s="28" t="s">
        <v>129</v>
      </c>
      <c r="I67" s="36">
        <v>549</v>
      </c>
      <c r="J67" s="27"/>
      <c r="K67" s="29"/>
      <c r="L67" s="29"/>
      <c r="M67" s="29"/>
      <c r="N67" s="29"/>
    </row>
    <row r="68" spans="2:14" x14ac:dyDescent="0.25">
      <c r="B68" s="27" t="s">
        <v>123</v>
      </c>
      <c r="C68" s="28">
        <v>484501</v>
      </c>
      <c r="D68" s="28" t="s">
        <v>248</v>
      </c>
      <c r="E68" s="27" t="s">
        <v>32</v>
      </c>
      <c r="F68" s="27" t="s">
        <v>194</v>
      </c>
      <c r="G68" s="28" t="s">
        <v>66</v>
      </c>
      <c r="H68" s="28" t="s">
        <v>129</v>
      </c>
      <c r="I68" s="36">
        <v>99</v>
      </c>
      <c r="J68" s="27"/>
      <c r="K68" s="29"/>
      <c r="L68" s="29"/>
      <c r="M68" s="29"/>
      <c r="N68" s="29"/>
    </row>
    <row r="69" spans="2:14" x14ac:dyDescent="0.25">
      <c r="B69" s="27" t="s">
        <v>123</v>
      </c>
      <c r="C69" s="28">
        <v>491115</v>
      </c>
      <c r="D69" s="28" t="s">
        <v>249</v>
      </c>
      <c r="E69" s="27" t="s">
        <v>32</v>
      </c>
      <c r="F69" s="27" t="s">
        <v>194</v>
      </c>
      <c r="G69" s="28" t="s">
        <v>66</v>
      </c>
      <c r="H69" s="28" t="s">
        <v>129</v>
      </c>
      <c r="I69" s="36">
        <v>109</v>
      </c>
      <c r="J69" s="27"/>
      <c r="K69" s="29"/>
      <c r="L69" s="29"/>
      <c r="M69" s="29"/>
      <c r="N69" s="29"/>
    </row>
    <row r="70" spans="2:14" x14ac:dyDescent="0.25">
      <c r="B70" s="27" t="s">
        <v>123</v>
      </c>
      <c r="C70" s="28">
        <v>279929</v>
      </c>
      <c r="D70" s="28" t="s">
        <v>250</v>
      </c>
      <c r="E70" s="27" t="s">
        <v>32</v>
      </c>
      <c r="F70" s="27" t="s">
        <v>194</v>
      </c>
      <c r="G70" s="28" t="s">
        <v>66</v>
      </c>
      <c r="H70" s="28" t="s">
        <v>129</v>
      </c>
      <c r="I70" s="36">
        <v>169</v>
      </c>
      <c r="J70" s="27"/>
      <c r="K70" s="29"/>
      <c r="L70" s="29"/>
      <c r="M70" s="29"/>
      <c r="N70" s="29"/>
    </row>
    <row r="71" spans="2:14" x14ac:dyDescent="0.25">
      <c r="B71" s="27" t="s">
        <v>123</v>
      </c>
      <c r="C71" s="28">
        <v>279931</v>
      </c>
      <c r="D71" s="28" t="s">
        <v>251</v>
      </c>
      <c r="E71" s="27" t="s">
        <v>32</v>
      </c>
      <c r="F71" s="27" t="s">
        <v>194</v>
      </c>
      <c r="G71" s="28" t="s">
        <v>66</v>
      </c>
      <c r="H71" s="28" t="s">
        <v>129</v>
      </c>
      <c r="I71" s="36">
        <v>239</v>
      </c>
      <c r="J71" s="27"/>
      <c r="K71" s="29"/>
      <c r="L71" s="29"/>
      <c r="M71" s="29"/>
      <c r="N71" s="29"/>
    </row>
    <row r="72" spans="2:14" x14ac:dyDescent="0.25">
      <c r="B72" s="27" t="s">
        <v>123</v>
      </c>
      <c r="C72" s="28">
        <v>491118</v>
      </c>
      <c r="D72" s="28" t="s">
        <v>252</v>
      </c>
      <c r="E72" s="27" t="s">
        <v>32</v>
      </c>
      <c r="F72" s="27" t="s">
        <v>194</v>
      </c>
      <c r="G72" s="28" t="s">
        <v>66</v>
      </c>
      <c r="H72" s="28" t="s">
        <v>129</v>
      </c>
      <c r="I72" s="36">
        <v>569</v>
      </c>
      <c r="J72" s="27"/>
      <c r="K72" s="29"/>
      <c r="L72" s="29"/>
      <c r="M72" s="29"/>
      <c r="N72" s="29"/>
    </row>
    <row r="73" spans="2:14" x14ac:dyDescent="0.25">
      <c r="B73" s="27" t="s">
        <v>123</v>
      </c>
      <c r="C73" s="28">
        <v>279932</v>
      </c>
      <c r="D73" s="28" t="s">
        <v>253</v>
      </c>
      <c r="E73" s="27" t="s">
        <v>32</v>
      </c>
      <c r="F73" s="27" t="s">
        <v>194</v>
      </c>
      <c r="G73" s="28" t="s">
        <v>66</v>
      </c>
      <c r="H73" s="28" t="s">
        <v>129</v>
      </c>
      <c r="I73" s="36">
        <v>299</v>
      </c>
      <c r="J73" s="27"/>
      <c r="K73" s="29"/>
      <c r="L73" s="29"/>
      <c r="M73" s="29"/>
      <c r="N73" s="29"/>
    </row>
    <row r="74" spans="2:14" x14ac:dyDescent="0.25">
      <c r="B74" s="27" t="s">
        <v>123</v>
      </c>
      <c r="C74" s="28">
        <v>484499</v>
      </c>
      <c r="D74" s="28" t="s">
        <v>254</v>
      </c>
      <c r="E74" s="27" t="s">
        <v>32</v>
      </c>
      <c r="F74" s="27" t="s">
        <v>194</v>
      </c>
      <c r="G74" s="28" t="s">
        <v>66</v>
      </c>
      <c r="H74" s="28" t="s">
        <v>129</v>
      </c>
      <c r="I74" s="36">
        <v>49</v>
      </c>
      <c r="J74" s="27"/>
      <c r="K74" s="29"/>
      <c r="L74" s="29"/>
      <c r="M74" s="29"/>
      <c r="N74" s="29"/>
    </row>
    <row r="75" spans="2:14" x14ac:dyDescent="0.25">
      <c r="B75" s="27" t="s">
        <v>123</v>
      </c>
      <c r="C75" s="28">
        <v>484500</v>
      </c>
      <c r="D75" s="28" t="s">
        <v>255</v>
      </c>
      <c r="E75" s="27" t="s">
        <v>32</v>
      </c>
      <c r="F75" s="27" t="s">
        <v>194</v>
      </c>
      <c r="G75" s="28" t="s">
        <v>66</v>
      </c>
      <c r="H75" s="28" t="s">
        <v>129</v>
      </c>
      <c r="I75" s="36">
        <v>99</v>
      </c>
      <c r="J75" s="27"/>
      <c r="K75" s="29"/>
      <c r="L75" s="29"/>
      <c r="M75" s="29"/>
      <c r="N75" s="29"/>
    </row>
    <row r="76" spans="2:14" x14ac:dyDescent="0.25">
      <c r="B76" s="27" t="s">
        <v>123</v>
      </c>
      <c r="C76" s="28">
        <v>510075</v>
      </c>
      <c r="D76" s="28" t="s">
        <v>256</v>
      </c>
      <c r="E76" s="27" t="s">
        <v>32</v>
      </c>
      <c r="F76" s="27" t="s">
        <v>194</v>
      </c>
      <c r="G76" s="28" t="s">
        <v>66</v>
      </c>
      <c r="H76" s="28" t="s">
        <v>129</v>
      </c>
      <c r="I76" s="36">
        <v>249</v>
      </c>
      <c r="J76" s="27"/>
      <c r="K76" s="29"/>
      <c r="L76" s="29"/>
      <c r="M76" s="29"/>
      <c r="N76" s="29"/>
    </row>
    <row r="77" spans="2:14" x14ac:dyDescent="0.25">
      <c r="B77" s="27" t="s">
        <v>123</v>
      </c>
      <c r="C77" s="28">
        <v>510073</v>
      </c>
      <c r="D77" s="28" t="s">
        <v>257</v>
      </c>
      <c r="E77" s="27" t="s">
        <v>32</v>
      </c>
      <c r="F77" s="27" t="s">
        <v>194</v>
      </c>
      <c r="G77" s="28" t="s">
        <v>66</v>
      </c>
      <c r="H77" s="28" t="s">
        <v>129</v>
      </c>
      <c r="I77" s="36">
        <v>549</v>
      </c>
      <c r="J77" s="27"/>
      <c r="K77" s="29"/>
      <c r="L77" s="29"/>
      <c r="M77" s="29"/>
      <c r="N77" s="29"/>
    </row>
    <row r="78" spans="2:14" x14ac:dyDescent="0.25">
      <c r="B78" s="27" t="s">
        <v>123</v>
      </c>
      <c r="C78" s="28">
        <v>510074</v>
      </c>
      <c r="D78" s="28" t="s">
        <v>258</v>
      </c>
      <c r="E78" s="27" t="s">
        <v>32</v>
      </c>
      <c r="F78" s="27" t="s">
        <v>194</v>
      </c>
      <c r="G78" s="28" t="s">
        <v>66</v>
      </c>
      <c r="H78" s="28" t="s">
        <v>129</v>
      </c>
      <c r="I78" s="36">
        <v>429</v>
      </c>
      <c r="J78" s="27"/>
      <c r="K78" s="29"/>
      <c r="L78" s="29"/>
      <c r="M78" s="29"/>
      <c r="N78" s="29"/>
    </row>
    <row r="79" spans="2:14" x14ac:dyDescent="0.25">
      <c r="B79" s="27" t="s">
        <v>123</v>
      </c>
      <c r="C79" s="28">
        <v>510036</v>
      </c>
      <c r="D79" s="28" t="s">
        <v>259</v>
      </c>
      <c r="E79" s="27" t="s">
        <v>32</v>
      </c>
      <c r="F79" s="27" t="s">
        <v>194</v>
      </c>
      <c r="G79" s="28" t="s">
        <v>66</v>
      </c>
      <c r="H79" s="28" t="s">
        <v>129</v>
      </c>
      <c r="I79" s="36">
        <v>549</v>
      </c>
      <c r="J79" s="27"/>
      <c r="K79" s="29"/>
      <c r="L79" s="29"/>
      <c r="M79" s="29"/>
      <c r="N79" s="29"/>
    </row>
    <row r="80" spans="2:14" x14ac:dyDescent="0.25">
      <c r="B80" s="27" t="s">
        <v>123</v>
      </c>
      <c r="C80" s="28">
        <v>510039</v>
      </c>
      <c r="D80" s="28" t="s">
        <v>260</v>
      </c>
      <c r="E80" s="27" t="s">
        <v>32</v>
      </c>
      <c r="F80" s="27" t="s">
        <v>194</v>
      </c>
      <c r="G80" s="28" t="s">
        <v>66</v>
      </c>
      <c r="H80" s="28" t="s">
        <v>129</v>
      </c>
      <c r="I80" s="36">
        <v>429</v>
      </c>
      <c r="J80" s="27"/>
      <c r="K80" s="29"/>
      <c r="L80" s="29"/>
      <c r="M80" s="29"/>
      <c r="N80" s="29"/>
    </row>
    <row r="81" spans="2:14" x14ac:dyDescent="0.25">
      <c r="B81" s="27" t="s">
        <v>123</v>
      </c>
      <c r="C81" s="28">
        <v>512146</v>
      </c>
      <c r="D81" s="28" t="s">
        <v>261</v>
      </c>
      <c r="E81" s="27" t="s">
        <v>32</v>
      </c>
      <c r="F81" s="27" t="s">
        <v>194</v>
      </c>
      <c r="G81" s="28" t="s">
        <v>66</v>
      </c>
      <c r="H81" s="28" t="s">
        <v>129</v>
      </c>
      <c r="I81" s="36">
        <v>299</v>
      </c>
      <c r="J81" s="27"/>
      <c r="K81" s="29"/>
      <c r="L81" s="29"/>
      <c r="M81" s="29"/>
      <c r="N81" s="29"/>
    </row>
    <row r="82" spans="2:14" x14ac:dyDescent="0.25">
      <c r="B82" s="27" t="s">
        <v>123</v>
      </c>
      <c r="C82" s="28">
        <v>534562</v>
      </c>
      <c r="D82" s="28" t="s">
        <v>262</v>
      </c>
      <c r="E82" s="27" t="s">
        <v>32</v>
      </c>
      <c r="F82" s="27" t="s">
        <v>194</v>
      </c>
      <c r="G82" s="28" t="s">
        <v>66</v>
      </c>
      <c r="H82" s="28" t="s">
        <v>129</v>
      </c>
      <c r="I82" s="36">
        <v>219</v>
      </c>
      <c r="J82" s="27"/>
      <c r="K82" s="29"/>
      <c r="L82" s="29"/>
      <c r="M82" s="29"/>
      <c r="N82" s="29"/>
    </row>
    <row r="83" spans="2:14" x14ac:dyDescent="0.25">
      <c r="B83" s="27" t="s">
        <v>123</v>
      </c>
      <c r="C83" s="28">
        <v>554679</v>
      </c>
      <c r="D83" s="28" t="s">
        <v>263</v>
      </c>
      <c r="E83" s="27" t="s">
        <v>32</v>
      </c>
      <c r="F83" s="27" t="s">
        <v>194</v>
      </c>
      <c r="G83" s="28" t="s">
        <v>66</v>
      </c>
      <c r="H83" s="28" t="s">
        <v>129</v>
      </c>
      <c r="I83" s="36">
        <v>69</v>
      </c>
      <c r="J83" s="27"/>
      <c r="K83" s="29"/>
      <c r="L83" s="29"/>
      <c r="M83" s="29"/>
      <c r="N83" s="29"/>
    </row>
    <row r="84" spans="2:14" x14ac:dyDescent="0.25">
      <c r="B84" s="27" t="s">
        <v>123</v>
      </c>
      <c r="C84" s="28">
        <v>554680</v>
      </c>
      <c r="D84" s="28" t="s">
        <v>264</v>
      </c>
      <c r="E84" s="27" t="s">
        <v>32</v>
      </c>
      <c r="F84" s="27" t="s">
        <v>194</v>
      </c>
      <c r="G84" s="28" t="s">
        <v>66</v>
      </c>
      <c r="H84" s="28" t="s">
        <v>129</v>
      </c>
      <c r="I84" s="36">
        <v>129</v>
      </c>
      <c r="J84" s="27"/>
      <c r="K84" s="29"/>
      <c r="L84" s="29"/>
      <c r="M84" s="29"/>
      <c r="N84" s="29"/>
    </row>
    <row r="85" spans="2:14" x14ac:dyDescent="0.25">
      <c r="B85" s="27" t="s">
        <v>123</v>
      </c>
      <c r="C85" s="28">
        <v>554713</v>
      </c>
      <c r="D85" s="28" t="s">
        <v>265</v>
      </c>
      <c r="E85" s="27" t="s">
        <v>32</v>
      </c>
      <c r="F85" s="27" t="s">
        <v>194</v>
      </c>
      <c r="G85" s="28" t="s">
        <v>66</v>
      </c>
      <c r="H85" s="28" t="s">
        <v>129</v>
      </c>
      <c r="I85" s="36">
        <v>99</v>
      </c>
      <c r="J85" s="27"/>
      <c r="K85" s="29"/>
      <c r="L85" s="29"/>
      <c r="M85" s="29"/>
      <c r="N85" s="29"/>
    </row>
    <row r="86" spans="2:14" x14ac:dyDescent="0.25">
      <c r="B86" s="27" t="s">
        <v>123</v>
      </c>
      <c r="C86" s="28">
        <v>554693</v>
      </c>
      <c r="D86" s="28" t="s">
        <v>266</v>
      </c>
      <c r="E86" s="27" t="s">
        <v>32</v>
      </c>
      <c r="F86" s="27" t="s">
        <v>194</v>
      </c>
      <c r="G86" s="28" t="s">
        <v>66</v>
      </c>
      <c r="H86" s="28" t="s">
        <v>129</v>
      </c>
      <c r="I86" s="36">
        <v>19</v>
      </c>
      <c r="J86" s="27"/>
      <c r="K86" s="29"/>
      <c r="L86" s="29"/>
      <c r="M86" s="29"/>
      <c r="N86" s="29"/>
    </row>
    <row r="87" spans="2:14" x14ac:dyDescent="0.25">
      <c r="B87" s="27" t="s">
        <v>123</v>
      </c>
      <c r="C87" s="28">
        <v>554694</v>
      </c>
      <c r="D87" s="28" t="s">
        <v>267</v>
      </c>
      <c r="E87" s="27" t="s">
        <v>32</v>
      </c>
      <c r="F87" s="27" t="s">
        <v>194</v>
      </c>
      <c r="G87" s="28" t="s">
        <v>66</v>
      </c>
      <c r="H87" s="28" t="s">
        <v>129</v>
      </c>
      <c r="I87" s="36">
        <v>49</v>
      </c>
      <c r="J87" s="27"/>
      <c r="K87" s="29"/>
      <c r="L87" s="29"/>
      <c r="M87" s="29"/>
      <c r="N87" s="29"/>
    </row>
    <row r="88" spans="2:14" x14ac:dyDescent="0.25">
      <c r="B88" s="27" t="s">
        <v>123</v>
      </c>
      <c r="C88" s="28">
        <v>554695</v>
      </c>
      <c r="D88" s="28" t="s">
        <v>268</v>
      </c>
      <c r="E88" s="27" t="s">
        <v>32</v>
      </c>
      <c r="F88" s="27" t="s">
        <v>194</v>
      </c>
      <c r="G88" s="28" t="s">
        <v>66</v>
      </c>
      <c r="H88" s="28" t="s">
        <v>129</v>
      </c>
      <c r="I88" s="36">
        <v>69</v>
      </c>
      <c r="J88" s="27"/>
      <c r="K88" s="29"/>
      <c r="L88" s="29"/>
      <c r="M88" s="29"/>
      <c r="N88" s="29"/>
    </row>
    <row r="89" spans="2:14" x14ac:dyDescent="0.25">
      <c r="B89" s="27" t="s">
        <v>123</v>
      </c>
      <c r="C89" s="28">
        <v>554696</v>
      </c>
      <c r="D89" s="28" t="s">
        <v>269</v>
      </c>
      <c r="E89" s="27" t="s">
        <v>32</v>
      </c>
      <c r="F89" s="27" t="s">
        <v>194</v>
      </c>
      <c r="G89" s="28" t="s">
        <v>66</v>
      </c>
      <c r="H89" s="28" t="s">
        <v>129</v>
      </c>
      <c r="I89" s="36">
        <v>99</v>
      </c>
      <c r="J89" s="27"/>
      <c r="K89" s="29"/>
      <c r="L89" s="29"/>
      <c r="M89" s="29"/>
      <c r="N89" s="29"/>
    </row>
    <row r="90" spans="2:14" x14ac:dyDescent="0.25">
      <c r="B90" s="27" t="s">
        <v>123</v>
      </c>
      <c r="C90" s="28">
        <v>554697</v>
      </c>
      <c r="D90" s="28" t="s">
        <v>270</v>
      </c>
      <c r="E90" s="27" t="s">
        <v>32</v>
      </c>
      <c r="F90" s="27" t="s">
        <v>194</v>
      </c>
      <c r="G90" s="28" t="s">
        <v>66</v>
      </c>
      <c r="H90" s="28" t="s">
        <v>129</v>
      </c>
      <c r="I90" s="36">
        <v>149</v>
      </c>
      <c r="J90" s="27"/>
      <c r="K90" s="29"/>
      <c r="L90" s="29"/>
      <c r="M90" s="29"/>
      <c r="N90" s="29"/>
    </row>
    <row r="91" spans="2:14" x14ac:dyDescent="0.25">
      <c r="B91" s="27" t="s">
        <v>123</v>
      </c>
      <c r="C91" s="28">
        <v>511351</v>
      </c>
      <c r="D91" s="28" t="s">
        <v>271</v>
      </c>
      <c r="E91" s="27" t="s">
        <v>32</v>
      </c>
      <c r="F91" s="27" t="s">
        <v>194</v>
      </c>
      <c r="G91" s="28" t="s">
        <v>66</v>
      </c>
      <c r="H91" s="28" t="s">
        <v>129</v>
      </c>
      <c r="I91" s="36">
        <v>629</v>
      </c>
      <c r="J91" s="27"/>
      <c r="K91" s="29"/>
      <c r="L91" s="29"/>
      <c r="M91" s="29"/>
      <c r="N91" s="29"/>
    </row>
    <row r="92" spans="2:14" x14ac:dyDescent="0.25">
      <c r="B92" s="27" t="s">
        <v>123</v>
      </c>
      <c r="C92" s="28">
        <v>511348</v>
      </c>
      <c r="D92" s="28" t="s">
        <v>272</v>
      </c>
      <c r="E92" s="27" t="s">
        <v>32</v>
      </c>
      <c r="F92" s="27" t="s">
        <v>194</v>
      </c>
      <c r="G92" s="28" t="s">
        <v>66</v>
      </c>
      <c r="H92" s="28" t="s">
        <v>129</v>
      </c>
      <c r="I92" s="36">
        <v>489</v>
      </c>
      <c r="J92" s="27"/>
      <c r="K92" s="29"/>
      <c r="L92" s="29"/>
      <c r="M92" s="29"/>
      <c r="N92" s="29"/>
    </row>
    <row r="93" spans="2:14" x14ac:dyDescent="0.25">
      <c r="B93" s="27" t="s">
        <v>123</v>
      </c>
      <c r="C93" s="28">
        <v>511349</v>
      </c>
      <c r="D93" s="28" t="s">
        <v>273</v>
      </c>
      <c r="E93" s="27" t="s">
        <v>32</v>
      </c>
      <c r="F93" s="27" t="s">
        <v>194</v>
      </c>
      <c r="G93" s="28" t="s">
        <v>66</v>
      </c>
      <c r="H93" s="28" t="s">
        <v>129</v>
      </c>
      <c r="I93" s="36">
        <v>279</v>
      </c>
      <c r="J93" s="27"/>
      <c r="K93" s="29"/>
      <c r="L93" s="29"/>
      <c r="M93" s="29"/>
      <c r="N93" s="29"/>
    </row>
    <row r="94" spans="2:14" x14ac:dyDescent="0.25">
      <c r="B94" s="27" t="s">
        <v>123</v>
      </c>
      <c r="C94" s="28">
        <v>510055</v>
      </c>
      <c r="D94" s="28" t="s">
        <v>274</v>
      </c>
      <c r="E94" s="27" t="s">
        <v>32</v>
      </c>
      <c r="F94" s="27" t="s">
        <v>194</v>
      </c>
      <c r="G94" s="28" t="s">
        <v>66</v>
      </c>
      <c r="H94" s="28" t="s">
        <v>129</v>
      </c>
      <c r="I94" s="36">
        <v>549</v>
      </c>
      <c r="J94" s="27"/>
      <c r="K94" s="29"/>
      <c r="L94" s="29"/>
      <c r="M94" s="29"/>
      <c r="N94" s="29"/>
    </row>
    <row r="95" spans="2:14" x14ac:dyDescent="0.25">
      <c r="B95" s="27" t="s">
        <v>123</v>
      </c>
      <c r="C95" s="28">
        <v>510056</v>
      </c>
      <c r="D95" s="28" t="s">
        <v>275</v>
      </c>
      <c r="E95" s="27" t="s">
        <v>32</v>
      </c>
      <c r="F95" s="27" t="s">
        <v>194</v>
      </c>
      <c r="G95" s="28" t="s">
        <v>66</v>
      </c>
      <c r="H95" s="28" t="s">
        <v>129</v>
      </c>
      <c r="I95" s="36">
        <v>429</v>
      </c>
      <c r="J95" s="27"/>
      <c r="K95" s="29"/>
      <c r="L95" s="29"/>
      <c r="M95" s="29"/>
      <c r="N95" s="29"/>
    </row>
    <row r="96" spans="2:14" x14ac:dyDescent="0.25">
      <c r="B96" s="27" t="s">
        <v>123</v>
      </c>
      <c r="C96" s="28">
        <v>510033</v>
      </c>
      <c r="D96" s="28" t="s">
        <v>276</v>
      </c>
      <c r="E96" s="27" t="s">
        <v>32</v>
      </c>
      <c r="F96" s="27" t="s">
        <v>194</v>
      </c>
      <c r="G96" s="28" t="s">
        <v>66</v>
      </c>
      <c r="H96" s="28" t="s">
        <v>129</v>
      </c>
      <c r="I96" s="36">
        <v>549</v>
      </c>
      <c r="J96" s="27"/>
      <c r="K96" s="29"/>
      <c r="L96" s="29"/>
      <c r="M96" s="29"/>
      <c r="N96" s="29"/>
    </row>
    <row r="97" spans="2:14" x14ac:dyDescent="0.25">
      <c r="B97" s="27" t="s">
        <v>123</v>
      </c>
      <c r="C97" s="28">
        <v>510034</v>
      </c>
      <c r="D97" s="28" t="s">
        <v>277</v>
      </c>
      <c r="E97" s="27" t="s">
        <v>32</v>
      </c>
      <c r="F97" s="27" t="s">
        <v>194</v>
      </c>
      <c r="G97" s="28" t="s">
        <v>66</v>
      </c>
      <c r="H97" s="28" t="s">
        <v>129</v>
      </c>
      <c r="I97" s="36">
        <v>429</v>
      </c>
      <c r="J97" s="27"/>
      <c r="K97" s="29"/>
      <c r="L97" s="29"/>
      <c r="M97" s="29"/>
      <c r="N97" s="29"/>
    </row>
    <row r="98" spans="2:14" x14ac:dyDescent="0.25">
      <c r="B98" s="27" t="s">
        <v>123</v>
      </c>
      <c r="C98" s="28">
        <v>550244</v>
      </c>
      <c r="D98" s="28" t="s">
        <v>278</v>
      </c>
      <c r="E98" s="27" t="s">
        <v>32</v>
      </c>
      <c r="F98" s="27" t="s">
        <v>194</v>
      </c>
      <c r="G98" s="28" t="s">
        <v>66</v>
      </c>
      <c r="H98" s="28" t="s">
        <v>129</v>
      </c>
      <c r="I98" s="36">
        <v>69</v>
      </c>
      <c r="J98" s="27"/>
      <c r="K98" s="29"/>
      <c r="L98" s="29"/>
      <c r="M98" s="29"/>
      <c r="N98" s="29"/>
    </row>
    <row r="99" spans="2:14" x14ac:dyDescent="0.25">
      <c r="B99" s="27" t="s">
        <v>123</v>
      </c>
      <c r="C99" s="28">
        <v>550245</v>
      </c>
      <c r="D99" s="28" t="s">
        <v>279</v>
      </c>
      <c r="E99" s="27" t="s">
        <v>32</v>
      </c>
      <c r="F99" s="27" t="s">
        <v>194</v>
      </c>
      <c r="G99" s="28" t="s">
        <v>66</v>
      </c>
      <c r="H99" s="28" t="s">
        <v>129</v>
      </c>
      <c r="I99" s="36">
        <v>99</v>
      </c>
      <c r="J99" s="27"/>
      <c r="K99" s="29"/>
      <c r="L99" s="29"/>
      <c r="M99" s="29"/>
      <c r="N99" s="29"/>
    </row>
    <row r="100" spans="2:14" x14ac:dyDescent="0.25">
      <c r="B100" s="27" t="s">
        <v>123</v>
      </c>
      <c r="C100" s="28">
        <v>554712</v>
      </c>
      <c r="D100" s="28" t="s">
        <v>280</v>
      </c>
      <c r="E100" s="27" t="s">
        <v>32</v>
      </c>
      <c r="F100" s="27" t="s">
        <v>194</v>
      </c>
      <c r="G100" s="28" t="s">
        <v>66</v>
      </c>
      <c r="H100" s="28" t="s">
        <v>129</v>
      </c>
      <c r="I100" s="36">
        <v>79</v>
      </c>
      <c r="J100" s="27"/>
      <c r="K100" s="29"/>
      <c r="L100" s="29"/>
      <c r="M100" s="29"/>
      <c r="N100" s="29"/>
    </row>
    <row r="101" spans="2:14" x14ac:dyDescent="0.25">
      <c r="B101" s="27" t="s">
        <v>123</v>
      </c>
      <c r="C101" s="28">
        <v>554714</v>
      </c>
      <c r="D101" s="28" t="s">
        <v>281</v>
      </c>
      <c r="E101" s="27" t="s">
        <v>32</v>
      </c>
      <c r="F101" s="27" t="s">
        <v>194</v>
      </c>
      <c r="G101" s="28" t="s">
        <v>66</v>
      </c>
      <c r="H101" s="28" t="s">
        <v>129</v>
      </c>
      <c r="I101" s="36">
        <v>169</v>
      </c>
      <c r="J101" s="27"/>
      <c r="K101" s="29"/>
      <c r="L101" s="29"/>
      <c r="M101" s="29"/>
      <c r="N101" s="29"/>
    </row>
    <row r="102" spans="2:14" x14ac:dyDescent="0.25">
      <c r="B102" s="27" t="s">
        <v>123</v>
      </c>
      <c r="C102" s="28">
        <v>554678</v>
      </c>
      <c r="D102" s="28" t="s">
        <v>282</v>
      </c>
      <c r="E102" s="27" t="s">
        <v>32</v>
      </c>
      <c r="F102" s="27" t="s">
        <v>194</v>
      </c>
      <c r="G102" s="28" t="s">
        <v>66</v>
      </c>
      <c r="H102" s="28" t="s">
        <v>129</v>
      </c>
      <c r="I102" s="36">
        <v>99</v>
      </c>
      <c r="J102" s="27"/>
      <c r="K102" s="29"/>
      <c r="L102" s="29"/>
      <c r="M102" s="29"/>
      <c r="N102" s="29"/>
    </row>
    <row r="103" spans="2:14" x14ac:dyDescent="0.25">
      <c r="B103" s="27" t="s">
        <v>123</v>
      </c>
      <c r="C103" s="28">
        <v>554668</v>
      </c>
      <c r="D103" s="28" t="s">
        <v>283</v>
      </c>
      <c r="E103" s="27" t="s">
        <v>32</v>
      </c>
      <c r="F103" s="27" t="s">
        <v>194</v>
      </c>
      <c r="G103" s="28" t="s">
        <v>66</v>
      </c>
      <c r="H103" s="28" t="s">
        <v>129</v>
      </c>
      <c r="I103" s="36">
        <v>49</v>
      </c>
      <c r="J103" s="27"/>
      <c r="K103" s="29"/>
      <c r="L103" s="29"/>
      <c r="M103" s="29"/>
      <c r="N103" s="29"/>
    </row>
    <row r="104" spans="2:14" x14ac:dyDescent="0.25">
      <c r="B104" s="27" t="s">
        <v>123</v>
      </c>
      <c r="C104" s="28">
        <v>510046</v>
      </c>
      <c r="D104" s="28" t="s">
        <v>284</v>
      </c>
      <c r="E104" s="27" t="s">
        <v>32</v>
      </c>
      <c r="F104" s="27" t="s">
        <v>194</v>
      </c>
      <c r="G104" s="28" t="s">
        <v>66</v>
      </c>
      <c r="H104" s="28" t="s">
        <v>129</v>
      </c>
      <c r="I104" s="36">
        <v>549</v>
      </c>
      <c r="J104" s="27"/>
      <c r="K104" s="29"/>
      <c r="L104" s="29"/>
      <c r="M104" s="29"/>
      <c r="N104" s="29"/>
    </row>
    <row r="105" spans="2:14" x14ac:dyDescent="0.25">
      <c r="B105" s="27" t="s">
        <v>123</v>
      </c>
      <c r="C105" s="28">
        <v>510070</v>
      </c>
      <c r="D105" s="28" t="s">
        <v>285</v>
      </c>
      <c r="E105" s="27" t="s">
        <v>32</v>
      </c>
      <c r="F105" s="27" t="s">
        <v>194</v>
      </c>
      <c r="G105" s="28" t="s">
        <v>66</v>
      </c>
      <c r="H105" s="28" t="s">
        <v>129</v>
      </c>
      <c r="I105" s="36">
        <v>549</v>
      </c>
      <c r="J105" s="27"/>
      <c r="K105" s="29"/>
      <c r="L105" s="29"/>
      <c r="M105" s="29"/>
      <c r="N105" s="29"/>
    </row>
    <row r="106" spans="2:14" x14ac:dyDescent="0.25">
      <c r="B106" s="27" t="s">
        <v>123</v>
      </c>
      <c r="C106" s="28">
        <v>550872</v>
      </c>
      <c r="D106" s="28" t="s">
        <v>286</v>
      </c>
      <c r="E106" s="27" t="s">
        <v>32</v>
      </c>
      <c r="F106" s="27" t="s">
        <v>194</v>
      </c>
      <c r="G106" s="28" t="s">
        <v>66</v>
      </c>
      <c r="H106" s="28" t="s">
        <v>129</v>
      </c>
      <c r="I106" s="36">
        <v>99</v>
      </c>
      <c r="J106" s="27"/>
      <c r="K106" s="29"/>
      <c r="L106" s="29"/>
      <c r="M106" s="29"/>
      <c r="N106" s="29"/>
    </row>
    <row r="107" spans="2:14" x14ac:dyDescent="0.25">
      <c r="B107" s="27" t="s">
        <v>123</v>
      </c>
      <c r="C107" s="28">
        <v>492907</v>
      </c>
      <c r="D107" s="28" t="s">
        <v>287</v>
      </c>
      <c r="E107" s="27" t="s">
        <v>32</v>
      </c>
      <c r="F107" s="27" t="s">
        <v>194</v>
      </c>
      <c r="G107" s="28" t="s">
        <v>66</v>
      </c>
      <c r="H107" s="28" t="s">
        <v>129</v>
      </c>
      <c r="I107" s="36">
        <v>4190</v>
      </c>
      <c r="J107" s="27"/>
      <c r="K107" s="29"/>
      <c r="L107" s="29"/>
      <c r="M107" s="29"/>
      <c r="N107" s="29"/>
    </row>
    <row r="108" spans="2:14" x14ac:dyDescent="0.25">
      <c r="B108" s="27" t="s">
        <v>123</v>
      </c>
      <c r="C108" s="28">
        <v>523925</v>
      </c>
      <c r="D108" s="28" t="s">
        <v>288</v>
      </c>
      <c r="E108" s="27" t="s">
        <v>32</v>
      </c>
      <c r="F108" s="27" t="s">
        <v>194</v>
      </c>
      <c r="G108" s="28" t="s">
        <v>66</v>
      </c>
      <c r="H108" s="28" t="s">
        <v>129</v>
      </c>
      <c r="I108" s="36">
        <v>1490</v>
      </c>
      <c r="J108" s="27"/>
      <c r="K108" s="29"/>
      <c r="L108" s="29"/>
      <c r="M108" s="29"/>
      <c r="N108" s="29"/>
    </row>
    <row r="109" spans="2:14" x14ac:dyDescent="0.25">
      <c r="B109" s="27" t="s">
        <v>123</v>
      </c>
      <c r="C109" s="28">
        <v>507488</v>
      </c>
      <c r="D109" s="28" t="s">
        <v>289</v>
      </c>
      <c r="E109" s="27" t="s">
        <v>32</v>
      </c>
      <c r="F109" s="27" t="s">
        <v>194</v>
      </c>
      <c r="G109" s="28" t="s">
        <v>66</v>
      </c>
      <c r="H109" s="28" t="s">
        <v>129</v>
      </c>
      <c r="I109" s="36">
        <v>1890</v>
      </c>
      <c r="J109" s="27"/>
      <c r="K109" s="29"/>
      <c r="L109" s="29"/>
      <c r="M109" s="29"/>
      <c r="N109" s="29"/>
    </row>
    <row r="110" spans="2:14" x14ac:dyDescent="0.25">
      <c r="B110" s="27" t="s">
        <v>123</v>
      </c>
      <c r="C110" s="28">
        <v>554530</v>
      </c>
      <c r="D110" s="28" t="s">
        <v>290</v>
      </c>
      <c r="E110" s="27" t="s">
        <v>32</v>
      </c>
      <c r="F110" s="27" t="s">
        <v>194</v>
      </c>
      <c r="G110" s="28" t="s">
        <v>66</v>
      </c>
      <c r="H110" s="28" t="s">
        <v>129</v>
      </c>
      <c r="I110" s="36">
        <v>890</v>
      </c>
      <c r="J110" s="27"/>
      <c r="K110" s="29"/>
      <c r="L110" s="29"/>
      <c r="M110" s="29"/>
      <c r="N110" s="29"/>
    </row>
    <row r="111" spans="2:14" x14ac:dyDescent="0.25">
      <c r="B111" s="27" t="s">
        <v>123</v>
      </c>
      <c r="C111" s="28">
        <v>495684</v>
      </c>
      <c r="D111" s="28" t="s">
        <v>291</v>
      </c>
      <c r="E111" s="27" t="s">
        <v>32</v>
      </c>
      <c r="F111" s="27" t="s">
        <v>194</v>
      </c>
      <c r="G111" s="28" t="s">
        <v>66</v>
      </c>
      <c r="H111" s="28" t="s">
        <v>129</v>
      </c>
      <c r="I111" s="36">
        <v>45</v>
      </c>
      <c r="J111" s="27"/>
      <c r="K111" s="29"/>
      <c r="L111" s="29"/>
      <c r="M111" s="29"/>
      <c r="N111" s="29"/>
    </row>
    <row r="112" spans="2:14" x14ac:dyDescent="0.25">
      <c r="B112" s="27" t="s">
        <v>123</v>
      </c>
      <c r="C112" s="28">
        <v>495452</v>
      </c>
      <c r="D112" s="28" t="s">
        <v>292</v>
      </c>
      <c r="E112" s="27" t="s">
        <v>32</v>
      </c>
      <c r="F112" s="27" t="s">
        <v>194</v>
      </c>
      <c r="G112" s="28" t="s">
        <v>66</v>
      </c>
      <c r="H112" s="28" t="s">
        <v>129</v>
      </c>
      <c r="I112" s="36">
        <v>99</v>
      </c>
      <c r="J112" s="27"/>
      <c r="K112" s="29"/>
      <c r="L112" s="29"/>
      <c r="M112" s="29"/>
      <c r="N112" s="29"/>
    </row>
    <row r="113" spans="2:14" x14ac:dyDescent="0.25">
      <c r="B113" s="27" t="s">
        <v>123</v>
      </c>
      <c r="C113" s="28">
        <v>494299</v>
      </c>
      <c r="D113" s="28" t="s">
        <v>293</v>
      </c>
      <c r="E113" s="27" t="s">
        <v>32</v>
      </c>
      <c r="F113" s="27" t="s">
        <v>194</v>
      </c>
      <c r="G113" s="28" t="s">
        <v>66</v>
      </c>
      <c r="H113" s="28" t="s">
        <v>129</v>
      </c>
      <c r="I113" s="36">
        <v>99</v>
      </c>
      <c r="J113" s="27"/>
      <c r="K113" s="29"/>
      <c r="L113" s="29"/>
      <c r="M113" s="29"/>
      <c r="N113" s="29"/>
    </row>
    <row r="114" spans="2:14" x14ac:dyDescent="0.25">
      <c r="B114" s="27" t="s">
        <v>123</v>
      </c>
      <c r="C114" s="28">
        <v>494298</v>
      </c>
      <c r="D114" s="28" t="s">
        <v>294</v>
      </c>
      <c r="E114" s="27" t="s">
        <v>32</v>
      </c>
      <c r="F114" s="27" t="s">
        <v>194</v>
      </c>
      <c r="G114" s="28" t="s">
        <v>66</v>
      </c>
      <c r="H114" s="28" t="s">
        <v>129</v>
      </c>
      <c r="I114" s="36">
        <v>449</v>
      </c>
      <c r="J114" s="27"/>
      <c r="K114" s="29"/>
      <c r="L114" s="29"/>
      <c r="M114" s="29"/>
      <c r="N114" s="29"/>
    </row>
    <row r="115" spans="2:14" x14ac:dyDescent="0.25">
      <c r="B115" s="27" t="s">
        <v>123</v>
      </c>
      <c r="C115" s="28">
        <v>388941</v>
      </c>
      <c r="D115" s="28" t="s">
        <v>295</v>
      </c>
      <c r="E115" s="27" t="s">
        <v>32</v>
      </c>
      <c r="F115" s="27" t="s">
        <v>194</v>
      </c>
      <c r="G115" s="28" t="s">
        <v>66</v>
      </c>
      <c r="H115" s="28" t="s">
        <v>129</v>
      </c>
      <c r="I115" s="36">
        <v>12990</v>
      </c>
      <c r="J115" s="27"/>
      <c r="K115" s="29"/>
      <c r="L115" s="29"/>
      <c r="M115" s="29"/>
      <c r="N115" s="29"/>
    </row>
    <row r="116" spans="2:14" x14ac:dyDescent="0.25">
      <c r="B116" s="27" t="s">
        <v>123</v>
      </c>
      <c r="C116" s="28">
        <v>388936</v>
      </c>
      <c r="D116" s="28" t="s">
        <v>296</v>
      </c>
      <c r="E116" s="27" t="s">
        <v>32</v>
      </c>
      <c r="F116" s="27" t="s">
        <v>194</v>
      </c>
      <c r="G116" s="28" t="s">
        <v>66</v>
      </c>
      <c r="H116" s="28" t="s">
        <v>129</v>
      </c>
      <c r="I116" s="36">
        <v>32990</v>
      </c>
      <c r="J116" s="27"/>
      <c r="K116" s="29"/>
      <c r="L116" s="29"/>
      <c r="M116" s="29"/>
      <c r="N116" s="29"/>
    </row>
    <row r="117" spans="2:14" x14ac:dyDescent="0.25">
      <c r="B117" s="27" t="s">
        <v>123</v>
      </c>
      <c r="C117" s="28">
        <v>537103</v>
      </c>
      <c r="D117" s="28" t="s">
        <v>297</v>
      </c>
      <c r="E117" s="27" t="s">
        <v>32</v>
      </c>
      <c r="F117" s="27" t="s">
        <v>194</v>
      </c>
      <c r="G117" s="28" t="s">
        <v>66</v>
      </c>
      <c r="H117" s="28" t="s">
        <v>129</v>
      </c>
      <c r="I117" s="36">
        <v>4590</v>
      </c>
      <c r="J117" s="27"/>
      <c r="K117" s="29"/>
      <c r="L117" s="29"/>
      <c r="M117" s="29"/>
      <c r="N117" s="29"/>
    </row>
    <row r="118" spans="2:14" x14ac:dyDescent="0.25">
      <c r="B118" s="27" t="s">
        <v>123</v>
      </c>
      <c r="C118" s="28">
        <v>375116</v>
      </c>
      <c r="D118" s="28" t="s">
        <v>298</v>
      </c>
      <c r="E118" s="27" t="s">
        <v>32</v>
      </c>
      <c r="F118" s="27" t="s">
        <v>194</v>
      </c>
      <c r="G118" s="28" t="s">
        <v>66</v>
      </c>
      <c r="H118" s="28" t="s">
        <v>129</v>
      </c>
      <c r="I118" s="36">
        <v>4990</v>
      </c>
      <c r="J118" s="27"/>
      <c r="K118" s="29"/>
      <c r="L118" s="29"/>
      <c r="M118" s="29"/>
      <c r="N118" s="29"/>
    </row>
    <row r="119" spans="2:14" x14ac:dyDescent="0.25">
      <c r="B119" s="27" t="s">
        <v>123</v>
      </c>
      <c r="C119" s="28">
        <v>494347</v>
      </c>
      <c r="D119" s="28" t="s">
        <v>299</v>
      </c>
      <c r="E119" s="27" t="s">
        <v>32</v>
      </c>
      <c r="F119" s="27" t="s">
        <v>194</v>
      </c>
      <c r="G119" s="28" t="s">
        <v>66</v>
      </c>
      <c r="H119" s="28" t="s">
        <v>129</v>
      </c>
      <c r="I119" s="36">
        <v>599</v>
      </c>
      <c r="J119" s="27"/>
      <c r="K119" s="29"/>
      <c r="L119" s="29"/>
      <c r="M119" s="29"/>
      <c r="N119" s="29"/>
    </row>
    <row r="120" spans="2:14" x14ac:dyDescent="0.25">
      <c r="B120" s="27" t="s">
        <v>123</v>
      </c>
      <c r="C120" s="28">
        <v>319893</v>
      </c>
      <c r="D120" s="28" t="s">
        <v>300</v>
      </c>
      <c r="E120" s="27" t="s">
        <v>32</v>
      </c>
      <c r="F120" s="27" t="s">
        <v>194</v>
      </c>
      <c r="G120" s="28" t="s">
        <v>66</v>
      </c>
      <c r="H120" s="28" t="s">
        <v>129</v>
      </c>
      <c r="I120" s="36">
        <v>790</v>
      </c>
      <c r="J120" s="27"/>
      <c r="K120" s="29"/>
      <c r="L120" s="29"/>
      <c r="M120" s="29"/>
      <c r="N120" s="29"/>
    </row>
    <row r="121" spans="2:14" x14ac:dyDescent="0.25">
      <c r="B121" s="27" t="s">
        <v>123</v>
      </c>
      <c r="C121" s="28">
        <v>507339</v>
      </c>
      <c r="D121" s="28" t="s">
        <v>301</v>
      </c>
      <c r="E121" s="27" t="s">
        <v>32</v>
      </c>
      <c r="F121" s="27" t="s">
        <v>194</v>
      </c>
      <c r="G121" s="28" t="s">
        <v>66</v>
      </c>
      <c r="H121" s="28" t="s">
        <v>129</v>
      </c>
      <c r="I121" s="36">
        <v>2690</v>
      </c>
      <c r="J121" s="27"/>
      <c r="K121" s="29"/>
      <c r="L121" s="29"/>
      <c r="M121" s="29"/>
      <c r="N121" s="29"/>
    </row>
    <row r="122" spans="2:14" x14ac:dyDescent="0.25">
      <c r="B122" s="27" t="s">
        <v>123</v>
      </c>
      <c r="C122" s="28">
        <v>488966</v>
      </c>
      <c r="D122" s="28" t="s">
        <v>302</v>
      </c>
      <c r="E122" s="27" t="s">
        <v>32</v>
      </c>
      <c r="F122" s="27" t="s">
        <v>194</v>
      </c>
      <c r="G122" s="28" t="s">
        <v>66</v>
      </c>
      <c r="H122" s="28" t="s">
        <v>129</v>
      </c>
      <c r="I122" s="36">
        <v>1590</v>
      </c>
      <c r="J122" s="27"/>
      <c r="K122" s="29"/>
      <c r="L122" s="29"/>
      <c r="M122" s="29"/>
      <c r="N122" s="29"/>
    </row>
    <row r="123" spans="2:14" x14ac:dyDescent="0.25">
      <c r="B123" s="27" t="s">
        <v>123</v>
      </c>
      <c r="C123" s="28">
        <v>488977</v>
      </c>
      <c r="D123" s="28" t="s">
        <v>303</v>
      </c>
      <c r="E123" s="27" t="s">
        <v>32</v>
      </c>
      <c r="F123" s="27" t="s">
        <v>194</v>
      </c>
      <c r="G123" s="28" t="s">
        <v>66</v>
      </c>
      <c r="H123" s="28" t="s">
        <v>129</v>
      </c>
      <c r="I123" s="36">
        <v>2590</v>
      </c>
      <c r="J123" s="27"/>
      <c r="K123" s="29"/>
      <c r="L123" s="29"/>
      <c r="M123" s="29"/>
      <c r="N123" s="29"/>
    </row>
    <row r="124" spans="2:14" x14ac:dyDescent="0.25">
      <c r="B124" s="27" t="s">
        <v>123</v>
      </c>
      <c r="C124" s="28">
        <v>319926</v>
      </c>
      <c r="D124" s="28" t="s">
        <v>304</v>
      </c>
      <c r="E124" s="27" t="s">
        <v>32</v>
      </c>
      <c r="F124" s="27" t="s">
        <v>194</v>
      </c>
      <c r="G124" s="28" t="s">
        <v>66</v>
      </c>
      <c r="H124" s="28" t="s">
        <v>129</v>
      </c>
      <c r="I124" s="36">
        <v>5990</v>
      </c>
      <c r="J124" s="27"/>
      <c r="K124" s="29"/>
      <c r="L124" s="29"/>
      <c r="M124" s="29"/>
      <c r="N124" s="29"/>
    </row>
    <row r="125" spans="2:14" x14ac:dyDescent="0.25">
      <c r="B125" s="27" t="s">
        <v>123</v>
      </c>
      <c r="C125" s="28">
        <v>375112</v>
      </c>
      <c r="D125" s="28" t="s">
        <v>305</v>
      </c>
      <c r="E125" s="27" t="s">
        <v>32</v>
      </c>
      <c r="F125" s="27" t="s">
        <v>194</v>
      </c>
      <c r="G125" s="28" t="s">
        <v>66</v>
      </c>
      <c r="H125" s="28" t="s">
        <v>129</v>
      </c>
      <c r="I125" s="36">
        <v>4190</v>
      </c>
      <c r="J125" s="27"/>
      <c r="K125" s="29"/>
      <c r="L125" s="29"/>
      <c r="M125" s="29"/>
      <c r="N125" s="29"/>
    </row>
    <row r="126" spans="2:14" x14ac:dyDescent="0.25">
      <c r="B126" s="27" t="s">
        <v>123</v>
      </c>
      <c r="C126" s="28">
        <v>471642</v>
      </c>
      <c r="D126" s="28" t="s">
        <v>306</v>
      </c>
      <c r="E126" s="27" t="s">
        <v>32</v>
      </c>
      <c r="F126" s="27" t="s">
        <v>194</v>
      </c>
      <c r="G126" s="28" t="s">
        <v>66</v>
      </c>
      <c r="H126" s="28" t="s">
        <v>129</v>
      </c>
      <c r="I126" s="36">
        <v>2990</v>
      </c>
      <c r="J126" s="27"/>
      <c r="K126" s="29"/>
      <c r="L126" s="29"/>
      <c r="M126" s="29"/>
      <c r="N126" s="29"/>
    </row>
    <row r="127" spans="2:14" x14ac:dyDescent="0.25">
      <c r="B127" s="27" t="s">
        <v>123</v>
      </c>
      <c r="C127" s="28">
        <v>488973</v>
      </c>
      <c r="D127" s="28" t="s">
        <v>307</v>
      </c>
      <c r="E127" s="27" t="s">
        <v>32</v>
      </c>
      <c r="F127" s="27" t="s">
        <v>194</v>
      </c>
      <c r="G127" s="28" t="s">
        <v>66</v>
      </c>
      <c r="H127" s="28" t="s">
        <v>129</v>
      </c>
      <c r="I127" s="36">
        <v>899</v>
      </c>
      <c r="J127" s="27"/>
      <c r="K127" s="29"/>
      <c r="L127" s="29"/>
      <c r="M127" s="29"/>
      <c r="N127" s="29"/>
    </row>
    <row r="128" spans="2:14" x14ac:dyDescent="0.25">
      <c r="B128" s="27" t="s">
        <v>123</v>
      </c>
      <c r="C128" s="28">
        <v>494326</v>
      </c>
      <c r="D128" s="28" t="s">
        <v>308</v>
      </c>
      <c r="E128" s="27" t="s">
        <v>32</v>
      </c>
      <c r="F128" s="27" t="s">
        <v>194</v>
      </c>
      <c r="G128" s="28" t="s">
        <v>66</v>
      </c>
      <c r="H128" s="28" t="s">
        <v>129</v>
      </c>
      <c r="I128" s="36">
        <v>599</v>
      </c>
      <c r="J128" s="27"/>
      <c r="K128" s="29"/>
      <c r="L128" s="29"/>
      <c r="M128" s="29"/>
      <c r="N128" s="29"/>
    </row>
    <row r="129" spans="2:14" x14ac:dyDescent="0.25">
      <c r="B129" s="27" t="s">
        <v>123</v>
      </c>
      <c r="C129" s="28">
        <v>471645</v>
      </c>
      <c r="D129" s="28" t="s">
        <v>309</v>
      </c>
      <c r="E129" s="27" t="s">
        <v>32</v>
      </c>
      <c r="F129" s="27" t="s">
        <v>194</v>
      </c>
      <c r="G129" s="28" t="s">
        <v>66</v>
      </c>
      <c r="H129" s="28" t="s">
        <v>129</v>
      </c>
      <c r="I129" s="36">
        <v>599</v>
      </c>
      <c r="J129" s="27"/>
      <c r="K129" s="29"/>
      <c r="L129" s="29"/>
      <c r="M129" s="29"/>
      <c r="N129" s="29"/>
    </row>
    <row r="130" spans="2:14" x14ac:dyDescent="0.25">
      <c r="B130" s="27" t="s">
        <v>123</v>
      </c>
      <c r="C130" s="28">
        <v>530911</v>
      </c>
      <c r="D130" s="28" t="s">
        <v>310</v>
      </c>
      <c r="E130" s="27" t="s">
        <v>32</v>
      </c>
      <c r="F130" s="27" t="s">
        <v>194</v>
      </c>
      <c r="G130" s="28" t="s">
        <v>66</v>
      </c>
      <c r="H130" s="28" t="s">
        <v>129</v>
      </c>
      <c r="I130" s="36">
        <v>790</v>
      </c>
      <c r="J130" s="27"/>
      <c r="K130" s="29"/>
      <c r="L130" s="29"/>
      <c r="M130" s="29"/>
      <c r="N130" s="29"/>
    </row>
    <row r="131" spans="2:14" x14ac:dyDescent="0.25">
      <c r="B131" s="27" t="s">
        <v>123</v>
      </c>
      <c r="C131" s="28">
        <v>172807</v>
      </c>
      <c r="D131" s="28" t="s">
        <v>311</v>
      </c>
      <c r="E131" s="27" t="s">
        <v>32</v>
      </c>
      <c r="F131" s="27" t="s">
        <v>194</v>
      </c>
      <c r="G131" s="28" t="s">
        <v>66</v>
      </c>
      <c r="H131" s="28" t="s">
        <v>129</v>
      </c>
      <c r="I131" s="36">
        <v>590</v>
      </c>
      <c r="J131" s="27"/>
      <c r="K131" s="29"/>
      <c r="L131" s="29"/>
      <c r="M131" s="29"/>
      <c r="N131" s="29"/>
    </row>
    <row r="132" spans="2:14" x14ac:dyDescent="0.25">
      <c r="B132" s="27" t="s">
        <v>123</v>
      </c>
      <c r="C132" s="28">
        <v>172812</v>
      </c>
      <c r="D132" s="28" t="s">
        <v>312</v>
      </c>
      <c r="E132" s="27" t="s">
        <v>32</v>
      </c>
      <c r="F132" s="27" t="s">
        <v>194</v>
      </c>
      <c r="G132" s="28" t="s">
        <v>66</v>
      </c>
      <c r="H132" s="28" t="s">
        <v>129</v>
      </c>
      <c r="I132" s="36">
        <v>890</v>
      </c>
      <c r="J132" s="27"/>
      <c r="K132" s="29"/>
      <c r="L132" s="29"/>
      <c r="M132" s="29"/>
      <c r="N132" s="29"/>
    </row>
    <row r="133" spans="2:14" x14ac:dyDescent="0.25">
      <c r="B133" s="27" t="s">
        <v>123</v>
      </c>
      <c r="C133" s="28">
        <v>546107</v>
      </c>
      <c r="D133" s="28" t="s">
        <v>313</v>
      </c>
      <c r="E133" s="27" t="s">
        <v>32</v>
      </c>
      <c r="F133" s="27" t="s">
        <v>194</v>
      </c>
      <c r="G133" s="28" t="s">
        <v>66</v>
      </c>
      <c r="H133" s="28" t="s">
        <v>129</v>
      </c>
      <c r="I133" s="36">
        <v>599</v>
      </c>
      <c r="J133" s="27"/>
      <c r="K133" s="29"/>
      <c r="L133" s="29"/>
      <c r="M133" s="29"/>
      <c r="N133" s="29"/>
    </row>
    <row r="134" spans="2:14" x14ac:dyDescent="0.25">
      <c r="B134" s="27" t="s">
        <v>123</v>
      </c>
      <c r="C134" s="28">
        <v>406450</v>
      </c>
      <c r="D134" s="28" t="s">
        <v>314</v>
      </c>
      <c r="E134" s="27" t="s">
        <v>32</v>
      </c>
      <c r="F134" s="27" t="s">
        <v>194</v>
      </c>
      <c r="G134" s="28" t="s">
        <v>66</v>
      </c>
      <c r="H134" s="28" t="s">
        <v>129</v>
      </c>
      <c r="I134" s="36">
        <v>399</v>
      </c>
      <c r="J134" s="27"/>
      <c r="K134" s="29"/>
      <c r="L134" s="29"/>
      <c r="M134" s="29"/>
      <c r="N134" s="29"/>
    </row>
    <row r="135" spans="2:14" x14ac:dyDescent="0.25">
      <c r="B135" s="27" t="s">
        <v>123</v>
      </c>
      <c r="C135" s="28">
        <v>388951</v>
      </c>
      <c r="D135" s="28" t="s">
        <v>315</v>
      </c>
      <c r="E135" s="27" t="s">
        <v>32</v>
      </c>
      <c r="F135" s="27" t="s">
        <v>194</v>
      </c>
      <c r="G135" s="28" t="s">
        <v>66</v>
      </c>
      <c r="H135" s="28" t="s">
        <v>129</v>
      </c>
      <c r="I135" s="36">
        <v>349</v>
      </c>
      <c r="J135" s="27"/>
      <c r="K135" s="29"/>
      <c r="L135" s="29"/>
      <c r="M135" s="29"/>
      <c r="N135" s="29"/>
    </row>
    <row r="136" spans="2:14" x14ac:dyDescent="0.25">
      <c r="B136" s="27" t="s">
        <v>123</v>
      </c>
      <c r="C136" s="28">
        <v>530912</v>
      </c>
      <c r="D136" s="28" t="s">
        <v>316</v>
      </c>
      <c r="E136" s="27" t="s">
        <v>32</v>
      </c>
      <c r="F136" s="27" t="s">
        <v>194</v>
      </c>
      <c r="G136" s="28" t="s">
        <v>66</v>
      </c>
      <c r="H136" s="28" t="s">
        <v>129</v>
      </c>
      <c r="I136" s="36">
        <v>2490</v>
      </c>
      <c r="J136" s="27"/>
      <c r="K136" s="29"/>
      <c r="L136" s="29"/>
      <c r="M136" s="29"/>
      <c r="N136" s="29"/>
    </row>
    <row r="137" spans="2:14" x14ac:dyDescent="0.25">
      <c r="B137" s="27" t="s">
        <v>123</v>
      </c>
      <c r="C137" s="28">
        <v>531507</v>
      </c>
      <c r="D137" s="28" t="s">
        <v>317</v>
      </c>
      <c r="E137" s="27" t="s">
        <v>32</v>
      </c>
      <c r="F137" s="27" t="s">
        <v>194</v>
      </c>
      <c r="G137" s="28" t="s">
        <v>66</v>
      </c>
      <c r="H137" s="28" t="s">
        <v>129</v>
      </c>
      <c r="I137" s="36">
        <v>1890</v>
      </c>
      <c r="J137" s="27"/>
      <c r="K137" s="29"/>
      <c r="L137" s="29"/>
      <c r="M137" s="29"/>
      <c r="N137" s="29"/>
    </row>
    <row r="138" spans="2:14" x14ac:dyDescent="0.25">
      <c r="B138" s="27" t="s">
        <v>123</v>
      </c>
      <c r="C138" s="28">
        <v>509253</v>
      </c>
      <c r="D138" s="28" t="s">
        <v>318</v>
      </c>
      <c r="E138" s="27" t="s">
        <v>32</v>
      </c>
      <c r="F138" s="27" t="s">
        <v>194</v>
      </c>
      <c r="G138" s="28" t="s">
        <v>66</v>
      </c>
      <c r="H138" s="28" t="s">
        <v>129</v>
      </c>
      <c r="I138" s="36">
        <v>790</v>
      </c>
      <c r="J138" s="27"/>
      <c r="K138" s="29"/>
      <c r="L138" s="29"/>
      <c r="M138" s="29"/>
      <c r="N138" s="29"/>
    </row>
    <row r="139" spans="2:14" x14ac:dyDescent="0.25">
      <c r="B139" s="27" t="s">
        <v>123</v>
      </c>
      <c r="C139" s="28">
        <v>509251</v>
      </c>
      <c r="D139" s="28" t="s">
        <v>319</v>
      </c>
      <c r="E139" s="27" t="s">
        <v>32</v>
      </c>
      <c r="F139" s="27" t="s">
        <v>194</v>
      </c>
      <c r="G139" s="28" t="s">
        <v>66</v>
      </c>
      <c r="H139" s="28" t="s">
        <v>129</v>
      </c>
      <c r="I139" s="36">
        <v>1790</v>
      </c>
      <c r="J139" s="27"/>
      <c r="K139" s="29"/>
      <c r="L139" s="29"/>
      <c r="M139" s="29"/>
      <c r="N139" s="29"/>
    </row>
    <row r="140" spans="2:14" x14ac:dyDescent="0.25">
      <c r="B140" s="27" t="s">
        <v>123</v>
      </c>
      <c r="C140" s="28">
        <v>509254</v>
      </c>
      <c r="D140" s="28" t="s">
        <v>320</v>
      </c>
      <c r="E140" s="27" t="s">
        <v>32</v>
      </c>
      <c r="F140" s="27" t="s">
        <v>194</v>
      </c>
      <c r="G140" s="28" t="s">
        <v>66</v>
      </c>
      <c r="H140" s="28" t="s">
        <v>129</v>
      </c>
      <c r="I140" s="36">
        <v>790</v>
      </c>
      <c r="J140" s="27"/>
      <c r="K140" s="29"/>
      <c r="L140" s="29"/>
      <c r="M140" s="29"/>
      <c r="N140" s="29"/>
    </row>
    <row r="141" spans="2:14" x14ac:dyDescent="0.25">
      <c r="B141" s="27" t="s">
        <v>123</v>
      </c>
      <c r="C141" s="28">
        <v>471648</v>
      </c>
      <c r="D141" s="28" t="s">
        <v>321</v>
      </c>
      <c r="E141" s="27" t="s">
        <v>32</v>
      </c>
      <c r="F141" s="27" t="s">
        <v>194</v>
      </c>
      <c r="G141" s="28" t="s">
        <v>66</v>
      </c>
      <c r="H141" s="28" t="s">
        <v>129</v>
      </c>
      <c r="I141" s="36">
        <v>990</v>
      </c>
      <c r="J141" s="27"/>
      <c r="K141" s="29"/>
      <c r="L141" s="29"/>
      <c r="M141" s="29"/>
      <c r="N141" s="29"/>
    </row>
    <row r="142" spans="2:14" x14ac:dyDescent="0.25">
      <c r="B142" s="27" t="s">
        <v>123</v>
      </c>
      <c r="C142" s="28">
        <v>418492</v>
      </c>
      <c r="D142" s="28" t="s">
        <v>322</v>
      </c>
      <c r="E142" s="27" t="s">
        <v>32</v>
      </c>
      <c r="F142" s="27" t="s">
        <v>194</v>
      </c>
      <c r="G142" s="28" t="s">
        <v>66</v>
      </c>
      <c r="H142" s="28" t="s">
        <v>129</v>
      </c>
      <c r="I142" s="36">
        <v>3490</v>
      </c>
      <c r="J142" s="27"/>
      <c r="K142" s="29"/>
      <c r="L142" s="29"/>
      <c r="M142" s="29"/>
      <c r="N142" s="29"/>
    </row>
    <row r="143" spans="2:14" x14ac:dyDescent="0.25">
      <c r="B143" s="27" t="s">
        <v>123</v>
      </c>
      <c r="C143" s="28">
        <v>492900</v>
      </c>
      <c r="D143" s="28" t="s">
        <v>192</v>
      </c>
      <c r="E143" s="27" t="s">
        <v>32</v>
      </c>
      <c r="F143" s="27" t="s">
        <v>194</v>
      </c>
      <c r="G143" s="28" t="s">
        <v>66</v>
      </c>
      <c r="H143" s="28" t="s">
        <v>129</v>
      </c>
      <c r="I143" s="36">
        <v>990</v>
      </c>
      <c r="J143" s="27"/>
      <c r="K143" s="29"/>
      <c r="L143" s="29"/>
      <c r="M143" s="29"/>
      <c r="N143" s="29"/>
    </row>
    <row r="144" spans="2:14" x14ac:dyDescent="0.25">
      <c r="B144" s="27" t="s">
        <v>123</v>
      </c>
      <c r="C144" s="28">
        <v>492903</v>
      </c>
      <c r="D144" s="28" t="s">
        <v>323</v>
      </c>
      <c r="E144" s="27" t="s">
        <v>32</v>
      </c>
      <c r="F144" s="27" t="s">
        <v>194</v>
      </c>
      <c r="G144" s="28" t="s">
        <v>66</v>
      </c>
      <c r="H144" s="28" t="s">
        <v>129</v>
      </c>
      <c r="I144" s="36">
        <v>890</v>
      </c>
      <c r="J144" s="27"/>
      <c r="K144" s="29"/>
      <c r="L144" s="29"/>
      <c r="M144" s="29"/>
      <c r="N144" s="29"/>
    </row>
    <row r="145" spans="2:14" x14ac:dyDescent="0.25">
      <c r="B145" s="27" t="s">
        <v>123</v>
      </c>
      <c r="C145" s="28">
        <v>510561</v>
      </c>
      <c r="D145" s="28" t="s">
        <v>324</v>
      </c>
      <c r="E145" s="27" t="s">
        <v>32</v>
      </c>
      <c r="F145" s="27" t="s">
        <v>194</v>
      </c>
      <c r="G145" s="28" t="s">
        <v>66</v>
      </c>
      <c r="H145" s="28" t="s">
        <v>129</v>
      </c>
      <c r="I145" s="36">
        <v>1890</v>
      </c>
      <c r="J145" s="27"/>
      <c r="K145" s="29"/>
      <c r="L145" s="29"/>
      <c r="M145" s="29"/>
      <c r="N145" s="29"/>
    </row>
    <row r="146" spans="2:14" x14ac:dyDescent="0.25">
      <c r="B146" s="27" t="s">
        <v>123</v>
      </c>
      <c r="C146" s="28">
        <v>509242</v>
      </c>
      <c r="D146" s="28" t="s">
        <v>325</v>
      </c>
      <c r="E146" s="27" t="s">
        <v>32</v>
      </c>
      <c r="F146" s="27" t="s">
        <v>194</v>
      </c>
      <c r="G146" s="28" t="s">
        <v>66</v>
      </c>
      <c r="H146" s="28" t="s">
        <v>129</v>
      </c>
      <c r="I146" s="36">
        <v>1690</v>
      </c>
      <c r="J146" s="27"/>
      <c r="K146" s="29"/>
      <c r="L146" s="29"/>
      <c r="M146" s="29"/>
      <c r="N146" s="29"/>
    </row>
    <row r="147" spans="2:14" x14ac:dyDescent="0.25">
      <c r="B147" s="27" t="s">
        <v>123</v>
      </c>
      <c r="C147" s="28">
        <v>509243</v>
      </c>
      <c r="D147" s="28" t="s">
        <v>326</v>
      </c>
      <c r="E147" s="27" t="s">
        <v>32</v>
      </c>
      <c r="F147" s="27" t="s">
        <v>194</v>
      </c>
      <c r="G147" s="28" t="s">
        <v>66</v>
      </c>
      <c r="H147" s="28" t="s">
        <v>129</v>
      </c>
      <c r="I147" s="36">
        <v>1690</v>
      </c>
      <c r="J147" s="27"/>
      <c r="K147" s="29"/>
      <c r="L147" s="29"/>
      <c r="M147" s="29"/>
      <c r="N147" s="29"/>
    </row>
    <row r="148" spans="2:14" x14ac:dyDescent="0.25">
      <c r="B148" s="27" t="s">
        <v>123</v>
      </c>
      <c r="C148" s="28">
        <v>510564</v>
      </c>
      <c r="D148" s="28" t="s">
        <v>327</v>
      </c>
      <c r="E148" s="27" t="s">
        <v>32</v>
      </c>
      <c r="F148" s="27" t="s">
        <v>194</v>
      </c>
      <c r="G148" s="28" t="s">
        <v>66</v>
      </c>
      <c r="H148" s="28" t="s">
        <v>129</v>
      </c>
      <c r="I148" s="36">
        <v>1590</v>
      </c>
      <c r="J148" s="27"/>
      <c r="K148" s="29"/>
      <c r="L148" s="29"/>
      <c r="M148" s="29"/>
      <c r="N148" s="29"/>
    </row>
    <row r="149" spans="2:14" x14ac:dyDescent="0.25">
      <c r="B149" s="27" t="s">
        <v>123</v>
      </c>
      <c r="C149" s="28">
        <v>509249</v>
      </c>
      <c r="D149" s="28" t="s">
        <v>328</v>
      </c>
      <c r="E149" s="27" t="s">
        <v>32</v>
      </c>
      <c r="F149" s="27" t="s">
        <v>194</v>
      </c>
      <c r="G149" s="28" t="s">
        <v>66</v>
      </c>
      <c r="H149" s="28" t="s">
        <v>129</v>
      </c>
      <c r="I149" s="36">
        <v>1690</v>
      </c>
      <c r="J149" s="27"/>
      <c r="K149" s="29"/>
      <c r="L149" s="29"/>
      <c r="M149" s="29"/>
      <c r="N149" s="29"/>
    </row>
    <row r="150" spans="2:14" x14ac:dyDescent="0.25">
      <c r="B150" s="27" t="s">
        <v>123</v>
      </c>
      <c r="C150" s="28">
        <v>507043</v>
      </c>
      <c r="D150" s="28" t="s">
        <v>329</v>
      </c>
      <c r="E150" s="27" t="s">
        <v>32</v>
      </c>
      <c r="F150" s="27" t="s">
        <v>194</v>
      </c>
      <c r="G150" s="28" t="s">
        <v>66</v>
      </c>
      <c r="H150" s="28" t="s">
        <v>129</v>
      </c>
      <c r="I150" s="36">
        <v>1190</v>
      </c>
      <c r="J150" s="27"/>
      <c r="K150" s="29"/>
      <c r="L150" s="29"/>
      <c r="M150" s="29"/>
      <c r="N150" s="29"/>
    </row>
    <row r="151" spans="2:14" x14ac:dyDescent="0.25">
      <c r="B151" s="27" t="s">
        <v>123</v>
      </c>
      <c r="C151" s="28">
        <v>519646</v>
      </c>
      <c r="D151" s="28" t="s">
        <v>330</v>
      </c>
      <c r="E151" s="27" t="s">
        <v>32</v>
      </c>
      <c r="F151" s="27" t="s">
        <v>194</v>
      </c>
      <c r="G151" s="28" t="s">
        <v>66</v>
      </c>
      <c r="H151" s="28" t="s">
        <v>129</v>
      </c>
      <c r="I151" s="36">
        <v>1190</v>
      </c>
      <c r="J151" s="27"/>
      <c r="K151" s="29"/>
      <c r="L151" s="29"/>
      <c r="M151" s="29"/>
      <c r="N151" s="29"/>
    </row>
    <row r="152" spans="2:14" x14ac:dyDescent="0.25">
      <c r="B152" s="27" t="s">
        <v>123</v>
      </c>
      <c r="C152" s="28">
        <v>519647</v>
      </c>
      <c r="D152" s="28" t="s">
        <v>331</v>
      </c>
      <c r="E152" s="27" t="s">
        <v>32</v>
      </c>
      <c r="F152" s="27" t="s">
        <v>194</v>
      </c>
      <c r="G152" s="28" t="s">
        <v>66</v>
      </c>
      <c r="H152" s="28" t="s">
        <v>129</v>
      </c>
      <c r="I152" s="36">
        <v>1790</v>
      </c>
      <c r="J152" s="27"/>
      <c r="K152" s="29"/>
      <c r="L152" s="29"/>
      <c r="M152" s="29"/>
      <c r="N152" s="29"/>
    </row>
    <row r="153" spans="2:14" x14ac:dyDescent="0.25">
      <c r="B153" s="27" t="s">
        <v>123</v>
      </c>
      <c r="C153" s="28">
        <v>519651</v>
      </c>
      <c r="D153" s="28" t="s">
        <v>332</v>
      </c>
      <c r="E153" s="27" t="s">
        <v>32</v>
      </c>
      <c r="F153" s="27" t="s">
        <v>194</v>
      </c>
      <c r="G153" s="28" t="s">
        <v>66</v>
      </c>
      <c r="H153" s="28" t="s">
        <v>129</v>
      </c>
      <c r="I153" s="36">
        <v>1890</v>
      </c>
      <c r="J153" s="27"/>
      <c r="K153" s="29"/>
      <c r="L153" s="29"/>
      <c r="M153" s="29"/>
      <c r="N153" s="29"/>
    </row>
    <row r="154" spans="2:14" x14ac:dyDescent="0.25">
      <c r="B154" s="27" t="s">
        <v>123</v>
      </c>
      <c r="C154" s="28">
        <v>519492</v>
      </c>
      <c r="D154" s="28" t="s">
        <v>333</v>
      </c>
      <c r="E154" s="27" t="s">
        <v>32</v>
      </c>
      <c r="F154" s="27" t="s">
        <v>194</v>
      </c>
      <c r="G154" s="28" t="s">
        <v>66</v>
      </c>
      <c r="H154" s="28" t="s">
        <v>129</v>
      </c>
      <c r="I154" s="36">
        <v>2252</v>
      </c>
      <c r="J154" s="27"/>
      <c r="K154" s="29"/>
      <c r="L154" s="29"/>
      <c r="M154" s="29"/>
      <c r="N154" s="29"/>
    </row>
    <row r="155" spans="2:14" x14ac:dyDescent="0.25">
      <c r="B155" s="27" t="s">
        <v>123</v>
      </c>
      <c r="C155" s="28">
        <v>519491</v>
      </c>
      <c r="D155" s="28" t="s">
        <v>334</v>
      </c>
      <c r="E155" s="27" t="s">
        <v>32</v>
      </c>
      <c r="F155" s="27" t="s">
        <v>194</v>
      </c>
      <c r="G155" s="28" t="s">
        <v>66</v>
      </c>
      <c r="H155" s="28" t="s">
        <v>129</v>
      </c>
      <c r="I155" s="36">
        <v>2252</v>
      </c>
      <c r="J155" s="27"/>
      <c r="K155" s="29"/>
      <c r="L155" s="29"/>
      <c r="M155" s="29"/>
      <c r="N155" s="29"/>
    </row>
    <row r="156" spans="2:14" x14ac:dyDescent="0.25">
      <c r="B156" s="27" t="s">
        <v>123</v>
      </c>
      <c r="C156" s="28">
        <v>507051</v>
      </c>
      <c r="D156" s="28" t="s">
        <v>191</v>
      </c>
      <c r="E156" s="27" t="s">
        <v>32</v>
      </c>
      <c r="F156" s="27" t="s">
        <v>194</v>
      </c>
      <c r="G156" s="28" t="s">
        <v>66</v>
      </c>
      <c r="H156" s="28" t="s">
        <v>129</v>
      </c>
      <c r="I156" s="36">
        <v>2490</v>
      </c>
      <c r="J156" s="27"/>
      <c r="K156" s="29"/>
      <c r="L156" s="29"/>
      <c r="M156" s="29"/>
      <c r="N156" s="29"/>
    </row>
    <row r="157" spans="2:14" x14ac:dyDescent="0.25">
      <c r="B157" s="27" t="s">
        <v>123</v>
      </c>
      <c r="C157" s="28">
        <v>488964</v>
      </c>
      <c r="D157" s="28" t="s">
        <v>335</v>
      </c>
      <c r="E157" s="27" t="s">
        <v>32</v>
      </c>
      <c r="F157" s="27" t="s">
        <v>194</v>
      </c>
      <c r="G157" s="28" t="s">
        <v>66</v>
      </c>
      <c r="H157" s="28" t="s">
        <v>129</v>
      </c>
      <c r="I157" s="36">
        <v>2490</v>
      </c>
      <c r="J157" s="27"/>
      <c r="K157" s="29"/>
      <c r="L157" s="29"/>
      <c r="M157" s="29"/>
      <c r="N157" s="29"/>
    </row>
    <row r="158" spans="2:14" x14ac:dyDescent="0.25">
      <c r="B158" s="27" t="s">
        <v>123</v>
      </c>
      <c r="C158" s="28">
        <v>553540</v>
      </c>
      <c r="D158" s="28" t="s">
        <v>336</v>
      </c>
      <c r="E158" s="27" t="s">
        <v>32</v>
      </c>
      <c r="F158" s="27" t="s">
        <v>194</v>
      </c>
      <c r="G158" s="28" t="s">
        <v>66</v>
      </c>
      <c r="H158" s="28" t="s">
        <v>129</v>
      </c>
      <c r="I158" s="36">
        <v>699</v>
      </c>
      <c r="J158" s="27"/>
      <c r="K158" s="29"/>
      <c r="L158" s="29"/>
      <c r="M158" s="29"/>
      <c r="N158" s="29"/>
    </row>
    <row r="159" spans="2:14" x14ac:dyDescent="0.25">
      <c r="B159" s="27" t="s">
        <v>123</v>
      </c>
      <c r="C159" s="28">
        <v>553539</v>
      </c>
      <c r="D159" s="28" t="s">
        <v>337</v>
      </c>
      <c r="E159" s="27" t="s">
        <v>32</v>
      </c>
      <c r="F159" s="27" t="s">
        <v>194</v>
      </c>
      <c r="G159" s="28" t="s">
        <v>66</v>
      </c>
      <c r="H159" s="28" t="s">
        <v>129</v>
      </c>
      <c r="I159" s="36">
        <v>799</v>
      </c>
      <c r="J159" s="27"/>
      <c r="K159" s="29"/>
      <c r="L159" s="29"/>
      <c r="M159" s="29"/>
      <c r="N159" s="29"/>
    </row>
    <row r="160" spans="2:14" x14ac:dyDescent="0.25">
      <c r="B160" s="27" t="s">
        <v>123</v>
      </c>
      <c r="C160" s="28">
        <v>505777</v>
      </c>
      <c r="D160" s="28" t="s">
        <v>338</v>
      </c>
      <c r="E160" s="27" t="s">
        <v>32</v>
      </c>
      <c r="F160" s="27" t="s">
        <v>194</v>
      </c>
      <c r="G160" s="28" t="s">
        <v>66</v>
      </c>
      <c r="H160" s="28" t="s">
        <v>129</v>
      </c>
      <c r="I160" s="36">
        <v>9990</v>
      </c>
      <c r="J160" s="27"/>
      <c r="K160" s="29"/>
      <c r="L160" s="29"/>
      <c r="M160" s="29"/>
      <c r="N160" s="29"/>
    </row>
    <row r="161" spans="2:14" x14ac:dyDescent="0.25">
      <c r="B161" s="27" t="s">
        <v>123</v>
      </c>
      <c r="C161" s="28">
        <v>555422</v>
      </c>
      <c r="D161" s="28" t="s">
        <v>339</v>
      </c>
      <c r="E161" s="27" t="s">
        <v>32</v>
      </c>
      <c r="F161" s="27" t="s">
        <v>194</v>
      </c>
      <c r="G161" s="28" t="s">
        <v>66</v>
      </c>
      <c r="H161" s="28" t="s">
        <v>129</v>
      </c>
      <c r="I161" s="36">
        <v>4990</v>
      </c>
      <c r="J161" s="27"/>
      <c r="K161" s="29"/>
      <c r="L161" s="29"/>
      <c r="M161" s="29"/>
      <c r="N161" s="29"/>
    </row>
    <row r="162" spans="2:14" x14ac:dyDescent="0.25">
      <c r="B162" s="27" t="s">
        <v>123</v>
      </c>
      <c r="C162" s="28">
        <v>553541</v>
      </c>
      <c r="D162" s="28" t="s">
        <v>340</v>
      </c>
      <c r="E162" s="27" t="s">
        <v>32</v>
      </c>
      <c r="F162" s="27" t="s">
        <v>194</v>
      </c>
      <c r="G162" s="28" t="s">
        <v>66</v>
      </c>
      <c r="H162" s="28" t="s">
        <v>129</v>
      </c>
      <c r="I162" s="36">
        <v>6990</v>
      </c>
      <c r="J162" s="27"/>
      <c r="K162" s="29"/>
      <c r="L162" s="29"/>
      <c r="M162" s="29"/>
      <c r="N162" s="29"/>
    </row>
    <row r="163" spans="2:14" x14ac:dyDescent="0.25">
      <c r="B163" s="27" t="s">
        <v>123</v>
      </c>
      <c r="C163" s="28">
        <v>557147</v>
      </c>
      <c r="D163" s="28" t="s">
        <v>341</v>
      </c>
      <c r="E163" s="27" t="s">
        <v>32</v>
      </c>
      <c r="F163" s="27" t="s">
        <v>194</v>
      </c>
      <c r="G163" s="28" t="s">
        <v>66</v>
      </c>
      <c r="H163" s="28" t="s">
        <v>129</v>
      </c>
      <c r="I163" s="36">
        <v>1790</v>
      </c>
      <c r="J163" s="27"/>
      <c r="K163" s="29"/>
      <c r="L163" s="29"/>
      <c r="M163" s="29"/>
      <c r="N163" s="29"/>
    </row>
    <row r="164" spans="2:14" x14ac:dyDescent="0.25">
      <c r="B164" s="27" t="s">
        <v>123</v>
      </c>
      <c r="C164" s="28">
        <v>530916</v>
      </c>
      <c r="D164" s="28" t="s">
        <v>342</v>
      </c>
      <c r="E164" s="27" t="s">
        <v>32</v>
      </c>
      <c r="F164" s="27" t="s">
        <v>194</v>
      </c>
      <c r="G164" s="28" t="s">
        <v>66</v>
      </c>
      <c r="H164" s="28" t="s">
        <v>129</v>
      </c>
      <c r="I164" s="36">
        <v>990</v>
      </c>
      <c r="J164" s="27"/>
      <c r="K164" s="29"/>
      <c r="L164" s="29"/>
      <c r="M164" s="29"/>
      <c r="N164" s="29"/>
    </row>
    <row r="165" spans="2:14" x14ac:dyDescent="0.25">
      <c r="B165" s="27" t="s">
        <v>123</v>
      </c>
      <c r="C165" s="28">
        <v>551945</v>
      </c>
      <c r="D165" s="28" t="s">
        <v>343</v>
      </c>
      <c r="E165" s="27" t="s">
        <v>32</v>
      </c>
      <c r="F165" s="27" t="s">
        <v>194</v>
      </c>
      <c r="G165" s="28" t="s">
        <v>66</v>
      </c>
      <c r="H165" s="28" t="s">
        <v>129</v>
      </c>
      <c r="I165" s="36">
        <v>1590</v>
      </c>
      <c r="J165" s="27"/>
      <c r="K165" s="29"/>
      <c r="L165" s="29"/>
      <c r="M165" s="29"/>
      <c r="N165" s="29"/>
    </row>
    <row r="166" spans="2:14" x14ac:dyDescent="0.25">
      <c r="B166" s="27" t="s">
        <v>123</v>
      </c>
      <c r="C166" s="28">
        <v>550867</v>
      </c>
      <c r="D166" s="28" t="s">
        <v>344</v>
      </c>
      <c r="E166" s="27" t="s">
        <v>32</v>
      </c>
      <c r="F166" s="27" t="s">
        <v>194</v>
      </c>
      <c r="G166" s="28" t="s">
        <v>66</v>
      </c>
      <c r="H166" s="28" t="s">
        <v>129</v>
      </c>
      <c r="I166" s="36">
        <v>99</v>
      </c>
      <c r="J166" s="27"/>
      <c r="K166" s="29"/>
      <c r="L166" s="29"/>
      <c r="M166" s="29"/>
      <c r="N166" s="29"/>
    </row>
    <row r="167" spans="2:14" x14ac:dyDescent="0.25">
      <c r="B167" s="27" t="s">
        <v>123</v>
      </c>
      <c r="C167" s="28">
        <v>550866</v>
      </c>
      <c r="D167" s="28" t="s">
        <v>345</v>
      </c>
      <c r="E167" s="27" t="s">
        <v>32</v>
      </c>
      <c r="F167" s="27" t="s">
        <v>194</v>
      </c>
      <c r="G167" s="28" t="s">
        <v>66</v>
      </c>
      <c r="H167" s="28" t="s">
        <v>129</v>
      </c>
      <c r="I167" s="36">
        <v>59</v>
      </c>
      <c r="J167" s="27"/>
      <c r="K167" s="29"/>
      <c r="L167" s="29"/>
      <c r="M167" s="29"/>
      <c r="N167" s="29"/>
    </row>
    <row r="168" spans="2:14" x14ac:dyDescent="0.25">
      <c r="B168" s="27" t="s">
        <v>123</v>
      </c>
      <c r="C168" s="28">
        <v>475479</v>
      </c>
      <c r="D168" s="28" t="s">
        <v>346</v>
      </c>
      <c r="E168" s="27" t="s">
        <v>32</v>
      </c>
      <c r="F168" s="27" t="s">
        <v>194</v>
      </c>
      <c r="G168" s="28" t="s">
        <v>66</v>
      </c>
      <c r="H168" s="28" t="s">
        <v>129</v>
      </c>
      <c r="I168" s="36">
        <v>69</v>
      </c>
      <c r="J168" s="27"/>
      <c r="K168" s="29"/>
      <c r="L168" s="29"/>
      <c r="M168" s="29"/>
      <c r="N168" s="29"/>
    </row>
    <row r="169" spans="2:14" x14ac:dyDescent="0.25">
      <c r="B169" s="27" t="s">
        <v>123</v>
      </c>
      <c r="C169" s="28">
        <v>494345</v>
      </c>
      <c r="D169" s="28" t="s">
        <v>347</v>
      </c>
      <c r="E169" s="27" t="s">
        <v>32</v>
      </c>
      <c r="F169" s="27" t="s">
        <v>194</v>
      </c>
      <c r="G169" s="28" t="s">
        <v>66</v>
      </c>
      <c r="H169" s="28" t="s">
        <v>129</v>
      </c>
      <c r="I169" s="36">
        <v>549</v>
      </c>
      <c r="J169" s="27"/>
      <c r="K169" s="29"/>
      <c r="L169" s="29"/>
      <c r="M169" s="29"/>
      <c r="N169" s="29"/>
    </row>
    <row r="170" spans="2:14" x14ac:dyDescent="0.25">
      <c r="B170" s="27" t="s">
        <v>123</v>
      </c>
      <c r="C170" s="28">
        <v>406447</v>
      </c>
      <c r="D170" s="28" t="s">
        <v>348</v>
      </c>
      <c r="E170" s="27" t="s">
        <v>32</v>
      </c>
      <c r="F170" s="27" t="s">
        <v>194</v>
      </c>
      <c r="G170" s="28" t="s">
        <v>66</v>
      </c>
      <c r="H170" s="28" t="s">
        <v>129</v>
      </c>
      <c r="I170" s="36">
        <v>2990</v>
      </c>
      <c r="J170" s="27"/>
      <c r="K170" s="29"/>
      <c r="L170" s="29"/>
      <c r="M170" s="29"/>
      <c r="N170" s="29"/>
    </row>
    <row r="171" spans="2:14" x14ac:dyDescent="0.25">
      <c r="B171" s="27" t="s">
        <v>123</v>
      </c>
      <c r="C171" s="28">
        <v>422336</v>
      </c>
      <c r="D171" s="28" t="s">
        <v>349</v>
      </c>
      <c r="E171" s="27" t="s">
        <v>32</v>
      </c>
      <c r="F171" s="27" t="s">
        <v>194</v>
      </c>
      <c r="G171" s="28" t="s">
        <v>66</v>
      </c>
      <c r="H171" s="28" t="s">
        <v>129</v>
      </c>
      <c r="I171" s="36">
        <v>990</v>
      </c>
      <c r="J171" s="27"/>
      <c r="K171" s="29"/>
      <c r="L171" s="29"/>
      <c r="M171" s="29"/>
      <c r="N171" s="29"/>
    </row>
    <row r="172" spans="2:14" x14ac:dyDescent="0.25">
      <c r="B172" s="27" t="s">
        <v>123</v>
      </c>
      <c r="C172" s="28">
        <v>554493</v>
      </c>
      <c r="D172" s="28" t="s">
        <v>350</v>
      </c>
      <c r="E172" s="27" t="s">
        <v>32</v>
      </c>
      <c r="F172" s="27" t="s">
        <v>194</v>
      </c>
      <c r="G172" s="28" t="s">
        <v>66</v>
      </c>
      <c r="H172" s="28" t="s">
        <v>193</v>
      </c>
      <c r="I172" s="36">
        <v>890</v>
      </c>
      <c r="J172" s="27"/>
      <c r="K172" s="29"/>
      <c r="L172" s="29"/>
      <c r="M172" s="29"/>
      <c r="N172" s="29"/>
    </row>
    <row r="173" spans="2:14" x14ac:dyDescent="0.25">
      <c r="B173" s="27" t="s">
        <v>123</v>
      </c>
      <c r="C173" s="28">
        <v>550886</v>
      </c>
      <c r="D173" s="28" t="s">
        <v>351</v>
      </c>
      <c r="E173" s="27" t="s">
        <v>32</v>
      </c>
      <c r="F173" s="27" t="s">
        <v>194</v>
      </c>
      <c r="G173" s="28" t="s">
        <v>33</v>
      </c>
      <c r="H173" s="28" t="s">
        <v>129</v>
      </c>
      <c r="I173" s="36" t="s">
        <v>739</v>
      </c>
      <c r="J173" s="27"/>
      <c r="K173" s="29"/>
      <c r="L173" s="29"/>
      <c r="M173" s="29"/>
      <c r="N173" s="29"/>
    </row>
    <row r="174" spans="2:14" x14ac:dyDescent="0.25">
      <c r="B174" s="27" t="s">
        <v>123</v>
      </c>
      <c r="C174" s="28">
        <v>550930</v>
      </c>
      <c r="D174" s="28" t="s">
        <v>352</v>
      </c>
      <c r="E174" s="27" t="s">
        <v>32</v>
      </c>
      <c r="F174" s="27" t="s">
        <v>194</v>
      </c>
      <c r="G174" s="28" t="s">
        <v>33</v>
      </c>
      <c r="H174" s="28" t="s">
        <v>129</v>
      </c>
      <c r="I174" s="36" t="s">
        <v>739</v>
      </c>
      <c r="J174" s="27"/>
      <c r="K174" s="29"/>
      <c r="L174" s="29"/>
      <c r="M174" s="29"/>
      <c r="N174" s="29"/>
    </row>
    <row r="175" spans="2:14" x14ac:dyDescent="0.25">
      <c r="B175" s="27" t="s">
        <v>123</v>
      </c>
      <c r="C175" s="28">
        <v>554866</v>
      </c>
      <c r="D175" s="28" t="s">
        <v>132</v>
      </c>
      <c r="E175" s="27" t="s">
        <v>32</v>
      </c>
      <c r="F175" s="27" t="s">
        <v>194</v>
      </c>
      <c r="G175" s="28" t="s">
        <v>33</v>
      </c>
      <c r="H175" s="28" t="s">
        <v>129</v>
      </c>
      <c r="I175" s="36" t="s">
        <v>739</v>
      </c>
      <c r="J175" s="27"/>
      <c r="K175" s="29"/>
      <c r="L175" s="29"/>
      <c r="M175" s="29"/>
      <c r="N175" s="29"/>
    </row>
    <row r="176" spans="2:14" x14ac:dyDescent="0.25">
      <c r="B176" s="27" t="s">
        <v>123</v>
      </c>
      <c r="C176" s="28">
        <v>554864</v>
      </c>
      <c r="D176" s="28" t="s">
        <v>131</v>
      </c>
      <c r="E176" s="27" t="s">
        <v>32</v>
      </c>
      <c r="F176" s="27" t="s">
        <v>194</v>
      </c>
      <c r="G176" s="28" t="s">
        <v>33</v>
      </c>
      <c r="H176" s="28" t="s">
        <v>129</v>
      </c>
      <c r="I176" s="36" t="s">
        <v>739</v>
      </c>
      <c r="J176" s="27"/>
      <c r="K176" s="29"/>
      <c r="L176" s="29"/>
      <c r="M176" s="29"/>
      <c r="N176" s="29"/>
    </row>
    <row r="177" spans="2:14" x14ac:dyDescent="0.25">
      <c r="B177" s="27" t="s">
        <v>123</v>
      </c>
      <c r="C177" s="28">
        <v>554870</v>
      </c>
      <c r="D177" s="28" t="s">
        <v>353</v>
      </c>
      <c r="E177" s="27" t="s">
        <v>32</v>
      </c>
      <c r="F177" s="27" t="s">
        <v>194</v>
      </c>
      <c r="G177" s="28" t="s">
        <v>33</v>
      </c>
      <c r="H177" s="28" t="s">
        <v>129</v>
      </c>
      <c r="I177" s="36" t="s">
        <v>739</v>
      </c>
      <c r="J177" s="27"/>
      <c r="K177" s="29"/>
      <c r="L177" s="29"/>
      <c r="M177" s="29"/>
      <c r="N177" s="29"/>
    </row>
    <row r="178" spans="2:14" x14ac:dyDescent="0.25">
      <c r="B178" s="27" t="s">
        <v>123</v>
      </c>
      <c r="C178" s="28">
        <v>554867</v>
      </c>
      <c r="D178" s="28" t="s">
        <v>133</v>
      </c>
      <c r="E178" s="27" t="s">
        <v>32</v>
      </c>
      <c r="F178" s="27" t="s">
        <v>194</v>
      </c>
      <c r="G178" s="28" t="s">
        <v>33</v>
      </c>
      <c r="H178" s="28" t="s">
        <v>129</v>
      </c>
      <c r="I178" s="36" t="s">
        <v>739</v>
      </c>
      <c r="J178" s="27"/>
      <c r="K178" s="29"/>
      <c r="L178" s="29"/>
      <c r="M178" s="29"/>
      <c r="N178" s="29"/>
    </row>
    <row r="179" spans="2:14" x14ac:dyDescent="0.25">
      <c r="B179" s="27" t="s">
        <v>123</v>
      </c>
      <c r="C179" s="28">
        <v>554863</v>
      </c>
      <c r="D179" s="28" t="s">
        <v>130</v>
      </c>
      <c r="E179" s="27" t="s">
        <v>32</v>
      </c>
      <c r="F179" s="27" t="s">
        <v>194</v>
      </c>
      <c r="G179" s="28" t="s">
        <v>33</v>
      </c>
      <c r="H179" s="28" t="s">
        <v>129</v>
      </c>
      <c r="I179" s="36" t="s">
        <v>739</v>
      </c>
      <c r="J179" s="27"/>
      <c r="K179" s="29"/>
      <c r="L179" s="29"/>
      <c r="M179" s="29"/>
      <c r="N179" s="29"/>
    </row>
    <row r="180" spans="2:14" x14ac:dyDescent="0.25">
      <c r="B180" s="27" t="s">
        <v>123</v>
      </c>
      <c r="C180" s="28">
        <v>554874</v>
      </c>
      <c r="D180" s="28" t="s">
        <v>354</v>
      </c>
      <c r="E180" s="27" t="s">
        <v>32</v>
      </c>
      <c r="F180" s="27" t="s">
        <v>194</v>
      </c>
      <c r="G180" s="28" t="s">
        <v>33</v>
      </c>
      <c r="H180" s="28" t="s">
        <v>129</v>
      </c>
      <c r="I180" s="36" t="s">
        <v>739</v>
      </c>
      <c r="J180" s="27"/>
      <c r="K180" s="29"/>
      <c r="L180" s="29"/>
      <c r="M180" s="29"/>
      <c r="N180" s="29"/>
    </row>
    <row r="181" spans="2:14" x14ac:dyDescent="0.25">
      <c r="B181" s="27" t="s">
        <v>123</v>
      </c>
      <c r="C181" s="28">
        <v>554869</v>
      </c>
      <c r="D181" s="28" t="s">
        <v>355</v>
      </c>
      <c r="E181" s="27" t="s">
        <v>32</v>
      </c>
      <c r="F181" s="27" t="s">
        <v>194</v>
      </c>
      <c r="G181" s="28" t="s">
        <v>33</v>
      </c>
      <c r="H181" s="28" t="s">
        <v>129</v>
      </c>
      <c r="I181" s="36" t="s">
        <v>739</v>
      </c>
      <c r="J181" s="27"/>
      <c r="K181" s="29"/>
      <c r="L181" s="29"/>
      <c r="M181" s="29"/>
      <c r="N181" s="29"/>
    </row>
    <row r="182" spans="2:14" x14ac:dyDescent="0.25">
      <c r="B182" s="27" t="s">
        <v>123</v>
      </c>
      <c r="C182" s="28">
        <v>550927</v>
      </c>
      <c r="D182" s="28" t="s">
        <v>356</v>
      </c>
      <c r="E182" s="27" t="s">
        <v>32</v>
      </c>
      <c r="F182" s="27" t="s">
        <v>194</v>
      </c>
      <c r="G182" s="28" t="s">
        <v>33</v>
      </c>
      <c r="H182" s="28" t="s">
        <v>129</v>
      </c>
      <c r="I182" s="36" t="s">
        <v>739</v>
      </c>
      <c r="J182" s="27"/>
      <c r="K182" s="29"/>
      <c r="L182" s="29"/>
      <c r="M182" s="29"/>
      <c r="N182" s="29"/>
    </row>
    <row r="183" spans="2:14" x14ac:dyDescent="0.25">
      <c r="B183" s="27" t="s">
        <v>123</v>
      </c>
      <c r="C183" s="28">
        <v>550931</v>
      </c>
      <c r="D183" s="28" t="s">
        <v>357</v>
      </c>
      <c r="E183" s="27" t="s">
        <v>32</v>
      </c>
      <c r="F183" s="27" t="s">
        <v>194</v>
      </c>
      <c r="G183" s="28" t="s">
        <v>33</v>
      </c>
      <c r="H183" s="28" t="s">
        <v>129</v>
      </c>
      <c r="I183" s="36" t="s">
        <v>739</v>
      </c>
      <c r="J183" s="27"/>
      <c r="K183" s="29"/>
      <c r="L183" s="29"/>
      <c r="M183" s="29"/>
      <c r="N183" s="29"/>
    </row>
    <row r="184" spans="2:14" x14ac:dyDescent="0.25">
      <c r="B184" s="27" t="s">
        <v>123</v>
      </c>
      <c r="C184" s="28">
        <v>550914</v>
      </c>
      <c r="D184" s="28" t="s">
        <v>358</v>
      </c>
      <c r="E184" s="27" t="s">
        <v>32</v>
      </c>
      <c r="F184" s="27" t="s">
        <v>194</v>
      </c>
      <c r="G184" s="28" t="s">
        <v>33</v>
      </c>
      <c r="H184" s="28" t="s">
        <v>129</v>
      </c>
      <c r="I184" s="36" t="s">
        <v>739</v>
      </c>
      <c r="J184" s="27"/>
      <c r="K184" s="29"/>
      <c r="L184" s="29"/>
      <c r="M184" s="29"/>
      <c r="N184" s="29"/>
    </row>
    <row r="185" spans="2:14" x14ac:dyDescent="0.25">
      <c r="B185" s="27" t="s">
        <v>123</v>
      </c>
      <c r="C185" s="28">
        <v>550917</v>
      </c>
      <c r="D185" s="28" t="s">
        <v>359</v>
      </c>
      <c r="E185" s="27" t="s">
        <v>32</v>
      </c>
      <c r="F185" s="27" t="s">
        <v>194</v>
      </c>
      <c r="G185" s="28" t="s">
        <v>33</v>
      </c>
      <c r="H185" s="28" t="s">
        <v>129</v>
      </c>
      <c r="I185" s="36" t="s">
        <v>739</v>
      </c>
      <c r="J185" s="27"/>
      <c r="K185" s="29"/>
      <c r="L185" s="29"/>
      <c r="M185" s="29"/>
      <c r="N185" s="29"/>
    </row>
    <row r="186" spans="2:14" x14ac:dyDescent="0.25">
      <c r="B186" s="27" t="s">
        <v>123</v>
      </c>
      <c r="C186" s="28">
        <v>550918</v>
      </c>
      <c r="D186" s="28" t="s">
        <v>360</v>
      </c>
      <c r="E186" s="27" t="s">
        <v>32</v>
      </c>
      <c r="F186" s="27" t="s">
        <v>194</v>
      </c>
      <c r="G186" s="28" t="s">
        <v>33</v>
      </c>
      <c r="H186" s="28" t="s">
        <v>129</v>
      </c>
      <c r="I186" s="36" t="s">
        <v>739</v>
      </c>
      <c r="J186" s="27"/>
      <c r="K186" s="29"/>
      <c r="L186" s="29"/>
      <c r="M186" s="29"/>
      <c r="N186" s="29"/>
    </row>
    <row r="187" spans="2:14" x14ac:dyDescent="0.25">
      <c r="B187" s="27" t="s">
        <v>123</v>
      </c>
      <c r="C187" s="28">
        <v>1213</v>
      </c>
      <c r="D187" s="28" t="s">
        <v>361</v>
      </c>
      <c r="E187" s="27" t="s">
        <v>32</v>
      </c>
      <c r="F187" s="27" t="s">
        <v>194</v>
      </c>
      <c r="G187" s="28" t="s">
        <v>33</v>
      </c>
      <c r="H187" s="28" t="s">
        <v>129</v>
      </c>
      <c r="I187" s="36" t="s">
        <v>739</v>
      </c>
      <c r="J187" s="27"/>
      <c r="K187" s="29"/>
      <c r="L187" s="29"/>
      <c r="M187" s="29"/>
      <c r="N187" s="29"/>
    </row>
    <row r="188" spans="2:14" x14ac:dyDescent="0.25">
      <c r="B188" s="27" t="s">
        <v>123</v>
      </c>
      <c r="C188" s="28">
        <v>550923</v>
      </c>
      <c r="D188" s="28" t="s">
        <v>362</v>
      </c>
      <c r="E188" s="27" t="s">
        <v>32</v>
      </c>
      <c r="F188" s="27" t="s">
        <v>194</v>
      </c>
      <c r="G188" s="28" t="s">
        <v>33</v>
      </c>
      <c r="H188" s="28" t="s">
        <v>129</v>
      </c>
      <c r="I188" s="36" t="s">
        <v>739</v>
      </c>
      <c r="J188" s="27"/>
      <c r="K188" s="29"/>
      <c r="L188" s="29"/>
      <c r="M188" s="29"/>
      <c r="N188" s="29"/>
    </row>
    <row r="189" spans="2:14" x14ac:dyDescent="0.25">
      <c r="B189" s="27" t="s">
        <v>123</v>
      </c>
      <c r="C189" s="28">
        <v>554873</v>
      </c>
      <c r="D189" s="28" t="s">
        <v>363</v>
      </c>
      <c r="E189" s="27" t="s">
        <v>32</v>
      </c>
      <c r="F189" s="27" t="s">
        <v>194</v>
      </c>
      <c r="G189" s="28" t="s">
        <v>33</v>
      </c>
      <c r="H189" s="28" t="s">
        <v>129</v>
      </c>
      <c r="I189" s="36" t="s">
        <v>739</v>
      </c>
      <c r="J189" s="27"/>
      <c r="K189" s="29"/>
      <c r="L189" s="29"/>
      <c r="M189" s="29"/>
      <c r="N189" s="29"/>
    </row>
    <row r="190" spans="2:14" x14ac:dyDescent="0.25">
      <c r="B190" s="27" t="s">
        <v>123</v>
      </c>
      <c r="C190" s="28">
        <v>550921</v>
      </c>
      <c r="D190" s="28" t="s">
        <v>364</v>
      </c>
      <c r="E190" s="27" t="s">
        <v>32</v>
      </c>
      <c r="F190" s="27" t="s">
        <v>194</v>
      </c>
      <c r="G190" s="28" t="s">
        <v>33</v>
      </c>
      <c r="H190" s="28" t="s">
        <v>129</v>
      </c>
      <c r="I190" s="36" t="s">
        <v>739</v>
      </c>
      <c r="J190" s="27"/>
      <c r="K190" s="29"/>
      <c r="L190" s="29"/>
      <c r="M190" s="29"/>
      <c r="N190" s="29"/>
    </row>
    <row r="191" spans="2:14" x14ac:dyDescent="0.25">
      <c r="B191" s="27" t="s">
        <v>123</v>
      </c>
      <c r="C191" s="28">
        <v>1474</v>
      </c>
      <c r="D191" s="28" t="s">
        <v>365</v>
      </c>
      <c r="E191" s="27" t="s">
        <v>32</v>
      </c>
      <c r="F191" s="27" t="s">
        <v>194</v>
      </c>
      <c r="G191" s="28" t="s">
        <v>33</v>
      </c>
      <c r="H191" s="28" t="s">
        <v>129</v>
      </c>
      <c r="I191" s="36" t="s">
        <v>739</v>
      </c>
      <c r="J191" s="27"/>
      <c r="K191" s="29"/>
      <c r="L191" s="29"/>
      <c r="M191" s="29"/>
      <c r="N191" s="29"/>
    </row>
    <row r="192" spans="2:14" x14ac:dyDescent="0.25">
      <c r="B192" s="27" t="s">
        <v>123</v>
      </c>
      <c r="C192" s="28">
        <v>557951</v>
      </c>
      <c r="D192" s="28" t="s">
        <v>366</v>
      </c>
      <c r="E192" s="27" t="s">
        <v>32</v>
      </c>
      <c r="F192" s="27" t="s">
        <v>194</v>
      </c>
      <c r="G192" s="28" t="s">
        <v>33</v>
      </c>
      <c r="H192" s="28" t="s">
        <v>129</v>
      </c>
      <c r="I192" s="36" t="s">
        <v>739</v>
      </c>
      <c r="J192" s="27"/>
      <c r="K192" s="29"/>
      <c r="L192" s="29"/>
      <c r="M192" s="29"/>
      <c r="N192" s="29"/>
    </row>
    <row r="193" spans="2:14" x14ac:dyDescent="0.25">
      <c r="B193" s="27" t="s">
        <v>123</v>
      </c>
      <c r="C193" s="28">
        <v>550928</v>
      </c>
      <c r="D193" s="28" t="s">
        <v>367</v>
      </c>
      <c r="E193" s="27" t="s">
        <v>32</v>
      </c>
      <c r="F193" s="27" t="s">
        <v>194</v>
      </c>
      <c r="G193" s="28" t="s">
        <v>33</v>
      </c>
      <c r="H193" s="28" t="s">
        <v>129</v>
      </c>
      <c r="I193" s="36" t="s">
        <v>739</v>
      </c>
      <c r="J193" s="27"/>
      <c r="K193" s="29"/>
      <c r="L193" s="29"/>
      <c r="M193" s="29"/>
      <c r="N193" s="29"/>
    </row>
    <row r="194" spans="2:14" x14ac:dyDescent="0.25">
      <c r="B194" s="27" t="s">
        <v>123</v>
      </c>
      <c r="C194" s="28">
        <v>557777</v>
      </c>
      <c r="D194" s="28" t="s">
        <v>368</v>
      </c>
      <c r="E194" s="27" t="s">
        <v>32</v>
      </c>
      <c r="F194" s="27" t="s">
        <v>194</v>
      </c>
      <c r="G194" s="28" t="s">
        <v>33</v>
      </c>
      <c r="H194" s="28" t="s">
        <v>129</v>
      </c>
      <c r="I194" s="36" t="s">
        <v>739</v>
      </c>
      <c r="J194" s="27"/>
      <c r="K194" s="29"/>
      <c r="L194" s="29"/>
      <c r="M194" s="29"/>
      <c r="N194" s="29"/>
    </row>
    <row r="195" spans="2:14" x14ac:dyDescent="0.25">
      <c r="B195" s="27" t="s">
        <v>123</v>
      </c>
      <c r="C195" s="28">
        <v>557953</v>
      </c>
      <c r="D195" s="28" t="s">
        <v>369</v>
      </c>
      <c r="E195" s="27" t="s">
        <v>32</v>
      </c>
      <c r="F195" s="27" t="s">
        <v>194</v>
      </c>
      <c r="G195" s="28" t="s">
        <v>33</v>
      </c>
      <c r="H195" s="28" t="s">
        <v>129</v>
      </c>
      <c r="I195" s="36" t="s">
        <v>739</v>
      </c>
      <c r="J195" s="27"/>
      <c r="K195" s="29"/>
      <c r="L195" s="29"/>
      <c r="M195" s="29"/>
      <c r="N195" s="29"/>
    </row>
    <row r="196" spans="2:14" x14ac:dyDescent="0.25">
      <c r="B196" s="27" t="s">
        <v>123</v>
      </c>
      <c r="C196" s="28">
        <v>557773</v>
      </c>
      <c r="D196" s="28" t="s">
        <v>370</v>
      </c>
      <c r="E196" s="27" t="s">
        <v>32</v>
      </c>
      <c r="F196" s="27" t="s">
        <v>194</v>
      </c>
      <c r="G196" s="28" t="s">
        <v>33</v>
      </c>
      <c r="H196" s="28" t="s">
        <v>129</v>
      </c>
      <c r="I196" s="36" t="s">
        <v>739</v>
      </c>
      <c r="J196" s="27"/>
      <c r="K196" s="29"/>
      <c r="L196" s="29"/>
      <c r="M196" s="29"/>
      <c r="N196" s="29"/>
    </row>
    <row r="197" spans="2:14" x14ac:dyDescent="0.25">
      <c r="B197" s="27" t="s">
        <v>123</v>
      </c>
      <c r="C197" s="28">
        <v>550922</v>
      </c>
      <c r="D197" s="28" t="s">
        <v>371</v>
      </c>
      <c r="E197" s="27" t="s">
        <v>32</v>
      </c>
      <c r="F197" s="27" t="s">
        <v>194</v>
      </c>
      <c r="G197" s="28" t="s">
        <v>33</v>
      </c>
      <c r="H197" s="28" t="s">
        <v>129</v>
      </c>
      <c r="I197" s="36" t="s">
        <v>739</v>
      </c>
      <c r="J197" s="27"/>
      <c r="K197" s="29"/>
      <c r="L197" s="29"/>
      <c r="M197" s="29"/>
      <c r="N197" s="29"/>
    </row>
    <row r="198" spans="2:14" x14ac:dyDescent="0.25">
      <c r="B198" s="27" t="s">
        <v>123</v>
      </c>
      <c r="C198" s="28">
        <v>550926</v>
      </c>
      <c r="D198" s="28" t="s">
        <v>372</v>
      </c>
      <c r="E198" s="27" t="s">
        <v>32</v>
      </c>
      <c r="F198" s="27" t="s">
        <v>194</v>
      </c>
      <c r="G198" s="28" t="s">
        <v>33</v>
      </c>
      <c r="H198" s="28" t="s">
        <v>129</v>
      </c>
      <c r="I198" s="36" t="s">
        <v>739</v>
      </c>
      <c r="J198" s="27"/>
      <c r="K198" s="29"/>
      <c r="L198" s="29"/>
      <c r="M198" s="29"/>
      <c r="N198" s="29"/>
    </row>
    <row r="199" spans="2:14" x14ac:dyDescent="0.25">
      <c r="B199" s="27" t="s">
        <v>123</v>
      </c>
      <c r="C199" s="28">
        <v>557949</v>
      </c>
      <c r="D199" s="28" t="s">
        <v>373</v>
      </c>
      <c r="E199" s="27" t="s">
        <v>32</v>
      </c>
      <c r="F199" s="27" t="s">
        <v>194</v>
      </c>
      <c r="G199" s="28" t="s">
        <v>33</v>
      </c>
      <c r="H199" s="28" t="s">
        <v>129</v>
      </c>
      <c r="I199" s="36" t="s">
        <v>739</v>
      </c>
      <c r="J199" s="27"/>
      <c r="K199" s="29"/>
      <c r="L199" s="29"/>
      <c r="M199" s="29"/>
      <c r="N199" s="29"/>
    </row>
    <row r="200" spans="2:14" x14ac:dyDescent="0.25">
      <c r="B200" s="27" t="s">
        <v>123</v>
      </c>
      <c r="C200" s="28">
        <v>557950</v>
      </c>
      <c r="D200" s="28" t="s">
        <v>374</v>
      </c>
      <c r="E200" s="27" t="s">
        <v>32</v>
      </c>
      <c r="F200" s="27" t="s">
        <v>194</v>
      </c>
      <c r="G200" s="28" t="s">
        <v>33</v>
      </c>
      <c r="H200" s="28" t="s">
        <v>129</v>
      </c>
      <c r="I200" s="36" t="s">
        <v>739</v>
      </c>
      <c r="J200" s="27"/>
      <c r="K200" s="29"/>
      <c r="L200" s="29"/>
      <c r="M200" s="29"/>
      <c r="N200" s="29"/>
    </row>
    <row r="201" spans="2:14" x14ac:dyDescent="0.25">
      <c r="B201" s="27" t="s">
        <v>123</v>
      </c>
      <c r="C201" s="28">
        <v>5666</v>
      </c>
      <c r="D201" s="28" t="s">
        <v>375</v>
      </c>
      <c r="E201" s="27" t="s">
        <v>32</v>
      </c>
      <c r="F201" s="27" t="s">
        <v>194</v>
      </c>
      <c r="G201" s="28" t="s">
        <v>33</v>
      </c>
      <c r="H201" s="28" t="s">
        <v>129</v>
      </c>
      <c r="I201" s="36" t="s">
        <v>739</v>
      </c>
      <c r="J201" s="27"/>
      <c r="K201" s="29"/>
      <c r="L201" s="29"/>
      <c r="M201" s="29"/>
      <c r="N201" s="29"/>
    </row>
    <row r="202" spans="2:14" x14ac:dyDescent="0.25">
      <c r="B202" s="27" t="s">
        <v>123</v>
      </c>
      <c r="C202" s="28">
        <v>557781</v>
      </c>
      <c r="D202" s="28" t="s">
        <v>376</v>
      </c>
      <c r="E202" s="27" t="s">
        <v>32</v>
      </c>
      <c r="F202" s="27" t="s">
        <v>194</v>
      </c>
      <c r="G202" s="28" t="s">
        <v>33</v>
      </c>
      <c r="H202" s="28" t="s">
        <v>129</v>
      </c>
      <c r="I202" s="36" t="s">
        <v>739</v>
      </c>
      <c r="J202" s="27"/>
      <c r="K202" s="29"/>
      <c r="L202" s="29"/>
      <c r="M202" s="29"/>
      <c r="N202" s="29"/>
    </row>
    <row r="203" spans="2:14" x14ac:dyDescent="0.25">
      <c r="B203" s="27" t="s">
        <v>123</v>
      </c>
      <c r="C203" s="28">
        <v>16540</v>
      </c>
      <c r="D203" s="28" t="s">
        <v>377</v>
      </c>
      <c r="E203" s="27" t="s">
        <v>32</v>
      </c>
      <c r="F203" s="27" t="s">
        <v>194</v>
      </c>
      <c r="G203" s="28" t="s">
        <v>33</v>
      </c>
      <c r="H203" s="28" t="s">
        <v>129</v>
      </c>
      <c r="I203" s="36" t="s">
        <v>739</v>
      </c>
      <c r="J203" s="27"/>
      <c r="K203" s="29"/>
      <c r="L203" s="29"/>
      <c r="M203" s="29"/>
      <c r="N203" s="29"/>
    </row>
    <row r="204" spans="2:14" x14ac:dyDescent="0.25">
      <c r="B204" s="27" t="s">
        <v>123</v>
      </c>
      <c r="C204" s="28">
        <v>557780</v>
      </c>
      <c r="D204" s="28" t="s">
        <v>378</v>
      </c>
      <c r="E204" s="27" t="s">
        <v>32</v>
      </c>
      <c r="F204" s="27" t="s">
        <v>194</v>
      </c>
      <c r="G204" s="28" t="s">
        <v>33</v>
      </c>
      <c r="H204" s="28" t="s">
        <v>129</v>
      </c>
      <c r="I204" s="36" t="s">
        <v>739</v>
      </c>
      <c r="J204" s="27"/>
      <c r="K204" s="29"/>
      <c r="L204" s="29"/>
      <c r="M204" s="29"/>
      <c r="N204" s="29"/>
    </row>
    <row r="205" spans="2:14" x14ac:dyDescent="0.25">
      <c r="B205" s="27" t="s">
        <v>123</v>
      </c>
      <c r="C205" s="28">
        <v>5665</v>
      </c>
      <c r="D205" s="28" t="s">
        <v>379</v>
      </c>
      <c r="E205" s="27" t="s">
        <v>32</v>
      </c>
      <c r="F205" s="27" t="s">
        <v>194</v>
      </c>
      <c r="G205" s="28" t="s">
        <v>33</v>
      </c>
      <c r="H205" s="28" t="s">
        <v>129</v>
      </c>
      <c r="I205" s="36" t="s">
        <v>739</v>
      </c>
      <c r="J205" s="27"/>
      <c r="K205" s="29"/>
      <c r="L205" s="29"/>
      <c r="M205" s="29"/>
      <c r="N205" s="29"/>
    </row>
    <row r="206" spans="2:14" x14ac:dyDescent="0.25">
      <c r="B206" s="27" t="s">
        <v>123</v>
      </c>
      <c r="C206" s="28">
        <v>2281</v>
      </c>
      <c r="D206" s="28" t="s">
        <v>380</v>
      </c>
      <c r="E206" s="27" t="s">
        <v>32</v>
      </c>
      <c r="F206" s="27" t="s">
        <v>194</v>
      </c>
      <c r="G206" s="28" t="s">
        <v>33</v>
      </c>
      <c r="H206" s="28" t="s">
        <v>129</v>
      </c>
      <c r="I206" s="36" t="s">
        <v>739</v>
      </c>
      <c r="J206" s="27"/>
      <c r="K206" s="29"/>
      <c r="L206" s="29"/>
      <c r="M206" s="29"/>
      <c r="N206" s="29"/>
    </row>
    <row r="207" spans="2:14" x14ac:dyDescent="0.25">
      <c r="B207" s="27" t="s">
        <v>123</v>
      </c>
      <c r="C207" s="28">
        <v>2283</v>
      </c>
      <c r="D207" s="28" t="s">
        <v>381</v>
      </c>
      <c r="E207" s="27" t="s">
        <v>32</v>
      </c>
      <c r="F207" s="27" t="s">
        <v>194</v>
      </c>
      <c r="G207" s="28" t="s">
        <v>33</v>
      </c>
      <c r="H207" s="28" t="s">
        <v>129</v>
      </c>
      <c r="I207" s="36" t="s">
        <v>739</v>
      </c>
      <c r="J207" s="27"/>
      <c r="K207" s="29"/>
      <c r="L207" s="29"/>
      <c r="M207" s="29"/>
      <c r="N207" s="29"/>
    </row>
    <row r="208" spans="2:14" x14ac:dyDescent="0.25">
      <c r="B208" s="27" t="s">
        <v>123</v>
      </c>
      <c r="C208" s="28">
        <v>5664</v>
      </c>
      <c r="D208" s="28" t="s">
        <v>382</v>
      </c>
      <c r="E208" s="27" t="s">
        <v>32</v>
      </c>
      <c r="F208" s="27" t="s">
        <v>194</v>
      </c>
      <c r="G208" s="28" t="s">
        <v>33</v>
      </c>
      <c r="H208" s="28" t="s">
        <v>129</v>
      </c>
      <c r="I208" s="36" t="s">
        <v>739</v>
      </c>
      <c r="J208" s="27"/>
      <c r="K208" s="29"/>
      <c r="L208" s="29"/>
      <c r="M208" s="29"/>
      <c r="N208" s="29"/>
    </row>
    <row r="209" spans="2:14" x14ac:dyDescent="0.25">
      <c r="B209" s="27" t="s">
        <v>123</v>
      </c>
      <c r="C209" s="28">
        <v>89213</v>
      </c>
      <c r="D209" s="28" t="s">
        <v>383</v>
      </c>
      <c r="E209" s="27" t="s">
        <v>32</v>
      </c>
      <c r="F209" s="27" t="s">
        <v>194</v>
      </c>
      <c r="G209" s="28" t="s">
        <v>33</v>
      </c>
      <c r="H209" s="28" t="s">
        <v>129</v>
      </c>
      <c r="I209" s="36" t="s">
        <v>739</v>
      </c>
      <c r="J209" s="27"/>
      <c r="K209" s="29"/>
      <c r="L209" s="29"/>
      <c r="M209" s="29"/>
      <c r="N209" s="29"/>
    </row>
    <row r="210" spans="2:14" x14ac:dyDescent="0.25">
      <c r="B210" s="27" t="s">
        <v>123</v>
      </c>
      <c r="C210" s="28">
        <v>74635</v>
      </c>
      <c r="D210" s="28" t="s">
        <v>384</v>
      </c>
      <c r="E210" s="27" t="s">
        <v>32</v>
      </c>
      <c r="F210" s="27" t="s">
        <v>194</v>
      </c>
      <c r="G210" s="28" t="s">
        <v>33</v>
      </c>
      <c r="H210" s="28" t="s">
        <v>129</v>
      </c>
      <c r="I210" s="36" t="s">
        <v>739</v>
      </c>
      <c r="J210" s="27"/>
      <c r="K210" s="29"/>
      <c r="L210" s="29"/>
      <c r="M210" s="29"/>
      <c r="N210" s="29"/>
    </row>
    <row r="211" spans="2:14" x14ac:dyDescent="0.25">
      <c r="B211" s="27" t="s">
        <v>123</v>
      </c>
      <c r="C211" s="28">
        <v>5668</v>
      </c>
      <c r="D211" s="28" t="s">
        <v>385</v>
      </c>
      <c r="E211" s="27" t="s">
        <v>32</v>
      </c>
      <c r="F211" s="27" t="s">
        <v>194</v>
      </c>
      <c r="G211" s="28" t="s">
        <v>33</v>
      </c>
      <c r="H211" s="28" t="s">
        <v>129</v>
      </c>
      <c r="I211" s="36" t="s">
        <v>739</v>
      </c>
      <c r="J211" s="27"/>
      <c r="K211" s="29"/>
      <c r="L211" s="29"/>
      <c r="M211" s="29"/>
      <c r="N211" s="29"/>
    </row>
    <row r="212" spans="2:14" x14ac:dyDescent="0.25">
      <c r="B212" s="27" t="s">
        <v>123</v>
      </c>
      <c r="C212" s="28">
        <v>74800</v>
      </c>
      <c r="D212" s="28" t="s">
        <v>386</v>
      </c>
      <c r="E212" s="27" t="s">
        <v>32</v>
      </c>
      <c r="F212" s="27" t="s">
        <v>194</v>
      </c>
      <c r="G212" s="28" t="s">
        <v>33</v>
      </c>
      <c r="H212" s="28" t="s">
        <v>129</v>
      </c>
      <c r="I212" s="36" t="s">
        <v>739</v>
      </c>
      <c r="J212" s="27"/>
      <c r="K212" s="29"/>
      <c r="L212" s="29"/>
      <c r="M212" s="29"/>
      <c r="N212" s="29"/>
    </row>
    <row r="213" spans="2:14" x14ac:dyDescent="0.25">
      <c r="B213" s="27" t="s">
        <v>123</v>
      </c>
      <c r="C213" s="28">
        <v>45622</v>
      </c>
      <c r="D213" s="28" t="s">
        <v>387</v>
      </c>
      <c r="E213" s="27" t="s">
        <v>32</v>
      </c>
      <c r="F213" s="27" t="s">
        <v>194</v>
      </c>
      <c r="G213" s="28" t="s">
        <v>33</v>
      </c>
      <c r="H213" s="28" t="s">
        <v>129</v>
      </c>
      <c r="I213" s="36" t="s">
        <v>739</v>
      </c>
      <c r="J213" s="27"/>
      <c r="K213" s="29"/>
      <c r="L213" s="29"/>
      <c r="M213" s="29"/>
      <c r="N213" s="29"/>
    </row>
    <row r="214" spans="2:14" x14ac:dyDescent="0.25">
      <c r="B214" s="27" t="s">
        <v>123</v>
      </c>
      <c r="C214" s="28">
        <v>88498</v>
      </c>
      <c r="D214" s="28" t="s">
        <v>388</v>
      </c>
      <c r="E214" s="27" t="s">
        <v>32</v>
      </c>
      <c r="F214" s="27" t="s">
        <v>194</v>
      </c>
      <c r="G214" s="28" t="s">
        <v>33</v>
      </c>
      <c r="H214" s="28" t="s">
        <v>129</v>
      </c>
      <c r="I214" s="36" t="s">
        <v>739</v>
      </c>
      <c r="J214" s="27"/>
      <c r="K214" s="29"/>
      <c r="L214" s="29"/>
      <c r="M214" s="29"/>
      <c r="N214" s="29"/>
    </row>
    <row r="215" spans="2:14" x14ac:dyDescent="0.25">
      <c r="B215" s="27" t="s">
        <v>123</v>
      </c>
      <c r="C215" s="28">
        <v>94836</v>
      </c>
      <c r="D215" s="28" t="s">
        <v>389</v>
      </c>
      <c r="E215" s="27" t="s">
        <v>32</v>
      </c>
      <c r="F215" s="27" t="s">
        <v>194</v>
      </c>
      <c r="G215" s="28" t="s">
        <v>33</v>
      </c>
      <c r="H215" s="28" t="s">
        <v>129</v>
      </c>
      <c r="I215" s="36" t="s">
        <v>739</v>
      </c>
      <c r="J215" s="27"/>
      <c r="K215" s="29"/>
      <c r="L215" s="29"/>
      <c r="M215" s="29"/>
      <c r="N215" s="29"/>
    </row>
    <row r="216" spans="2:14" x14ac:dyDescent="0.25">
      <c r="B216" s="27" t="s">
        <v>123</v>
      </c>
      <c r="C216" s="28">
        <v>550942</v>
      </c>
      <c r="D216" s="28" t="s">
        <v>390</v>
      </c>
      <c r="E216" s="27" t="s">
        <v>32</v>
      </c>
      <c r="F216" s="27" t="s">
        <v>194</v>
      </c>
      <c r="G216" s="28" t="s">
        <v>66</v>
      </c>
      <c r="H216" s="28" t="s">
        <v>129</v>
      </c>
      <c r="I216" s="36">
        <v>499</v>
      </c>
      <c r="J216" s="27"/>
      <c r="K216" s="29"/>
      <c r="L216" s="29"/>
      <c r="M216" s="29"/>
      <c r="N216" s="29"/>
    </row>
    <row r="217" spans="2:14" x14ac:dyDescent="0.25">
      <c r="B217" s="27" t="s">
        <v>123</v>
      </c>
      <c r="C217" s="28">
        <v>556820</v>
      </c>
      <c r="D217" s="28" t="s">
        <v>391</v>
      </c>
      <c r="E217" s="27" t="s">
        <v>32</v>
      </c>
      <c r="F217" s="27" t="s">
        <v>194</v>
      </c>
      <c r="G217" s="28" t="s">
        <v>66</v>
      </c>
      <c r="H217" s="28" t="s">
        <v>129</v>
      </c>
      <c r="I217" s="36">
        <v>89</v>
      </c>
      <c r="J217" s="27"/>
      <c r="K217" s="29"/>
      <c r="L217" s="29"/>
      <c r="M217" s="29"/>
      <c r="N217" s="29"/>
    </row>
    <row r="218" spans="2:14" x14ac:dyDescent="0.25">
      <c r="B218" s="27" t="s">
        <v>123</v>
      </c>
      <c r="C218" s="28">
        <v>557884</v>
      </c>
      <c r="D218" s="28" t="s">
        <v>392</v>
      </c>
      <c r="E218" s="27" t="s">
        <v>32</v>
      </c>
      <c r="F218" s="27" t="s">
        <v>194</v>
      </c>
      <c r="G218" s="28" t="s">
        <v>66</v>
      </c>
      <c r="H218" s="28" t="s">
        <v>129</v>
      </c>
      <c r="I218" s="36">
        <v>89</v>
      </c>
      <c r="J218" s="27"/>
      <c r="K218" s="29"/>
      <c r="L218" s="29"/>
      <c r="M218" s="29"/>
      <c r="N218" s="29"/>
    </row>
    <row r="219" spans="2:14" x14ac:dyDescent="0.25">
      <c r="B219" s="27" t="s">
        <v>123</v>
      </c>
      <c r="C219" s="28">
        <v>553581</v>
      </c>
      <c r="D219" s="28" t="s">
        <v>393</v>
      </c>
      <c r="E219" s="27" t="s">
        <v>32</v>
      </c>
      <c r="F219" s="27" t="s">
        <v>194</v>
      </c>
      <c r="G219" s="28" t="s">
        <v>33</v>
      </c>
      <c r="H219" s="28" t="s">
        <v>129</v>
      </c>
      <c r="I219" s="28" t="s">
        <v>738</v>
      </c>
      <c r="J219" s="27"/>
      <c r="K219" s="29"/>
      <c r="L219" s="29"/>
      <c r="M219" s="29"/>
      <c r="N219" s="29"/>
    </row>
    <row r="220" spans="2:14" x14ac:dyDescent="0.25">
      <c r="B220" s="27" t="s">
        <v>123</v>
      </c>
      <c r="C220" s="28">
        <v>553582</v>
      </c>
      <c r="D220" s="28" t="s">
        <v>394</v>
      </c>
      <c r="E220" s="27" t="s">
        <v>32</v>
      </c>
      <c r="F220" s="27" t="s">
        <v>194</v>
      </c>
      <c r="G220" s="28" t="s">
        <v>33</v>
      </c>
      <c r="H220" s="28" t="s">
        <v>129</v>
      </c>
      <c r="I220" s="28" t="s">
        <v>738</v>
      </c>
      <c r="J220" s="27"/>
      <c r="K220" s="29"/>
      <c r="L220" s="29"/>
      <c r="M220" s="29"/>
      <c r="N220" s="29"/>
    </row>
    <row r="221" spans="2:14" x14ac:dyDescent="0.25">
      <c r="B221" s="27" t="s">
        <v>123</v>
      </c>
      <c r="C221" s="28">
        <v>553583</v>
      </c>
      <c r="D221" s="28" t="s">
        <v>395</v>
      </c>
      <c r="E221" s="27" t="s">
        <v>32</v>
      </c>
      <c r="F221" s="27" t="s">
        <v>194</v>
      </c>
      <c r="G221" s="28" t="s">
        <v>33</v>
      </c>
      <c r="H221" s="28" t="s">
        <v>129</v>
      </c>
      <c r="I221" s="28" t="s">
        <v>738</v>
      </c>
      <c r="J221" s="27"/>
      <c r="K221" s="29"/>
      <c r="L221" s="29"/>
      <c r="M221" s="29"/>
      <c r="N221" s="29"/>
    </row>
    <row r="222" spans="2:14" x14ac:dyDescent="0.25">
      <c r="B222" s="27" t="s">
        <v>123</v>
      </c>
      <c r="C222" s="28">
        <v>553584</v>
      </c>
      <c r="D222" s="28" t="s">
        <v>396</v>
      </c>
      <c r="E222" s="27" t="s">
        <v>32</v>
      </c>
      <c r="F222" s="27" t="s">
        <v>194</v>
      </c>
      <c r="G222" s="28" t="s">
        <v>33</v>
      </c>
      <c r="H222" s="28" t="s">
        <v>129</v>
      </c>
      <c r="I222" s="28" t="s">
        <v>738</v>
      </c>
      <c r="J222" s="27"/>
      <c r="K222" s="29"/>
      <c r="L222" s="29"/>
      <c r="M222" s="29"/>
      <c r="N222" s="29"/>
    </row>
    <row r="223" spans="2:14" x14ac:dyDescent="0.25">
      <c r="B223" s="27" t="s">
        <v>123</v>
      </c>
      <c r="C223" s="28">
        <v>553585</v>
      </c>
      <c r="D223" s="28" t="s">
        <v>397</v>
      </c>
      <c r="E223" s="27" t="s">
        <v>32</v>
      </c>
      <c r="F223" s="27" t="s">
        <v>194</v>
      </c>
      <c r="G223" s="28" t="s">
        <v>33</v>
      </c>
      <c r="H223" s="28" t="s">
        <v>129</v>
      </c>
      <c r="I223" s="28" t="s">
        <v>738</v>
      </c>
      <c r="J223" s="27"/>
      <c r="K223" s="29"/>
      <c r="L223" s="29"/>
      <c r="M223" s="29"/>
      <c r="N223" s="29"/>
    </row>
    <row r="224" spans="2:14" x14ac:dyDescent="0.25">
      <c r="B224" s="27" t="s">
        <v>123</v>
      </c>
      <c r="C224" s="28">
        <v>550394</v>
      </c>
      <c r="D224" s="28" t="s">
        <v>398</v>
      </c>
      <c r="E224" s="27" t="s">
        <v>32</v>
      </c>
      <c r="F224" s="27" t="s">
        <v>194</v>
      </c>
      <c r="G224" s="28" t="s">
        <v>66</v>
      </c>
      <c r="H224" s="28" t="s">
        <v>129</v>
      </c>
      <c r="I224" s="36">
        <v>1499</v>
      </c>
      <c r="J224" s="27"/>
      <c r="K224" s="29"/>
      <c r="L224" s="29"/>
      <c r="M224" s="29"/>
      <c r="N224" s="29"/>
    </row>
    <row r="225" spans="2:14" x14ac:dyDescent="0.25">
      <c r="B225" s="27" t="s">
        <v>123</v>
      </c>
      <c r="C225" s="28">
        <v>2243</v>
      </c>
      <c r="D225" s="28" t="s">
        <v>399</v>
      </c>
      <c r="E225" s="27" t="s">
        <v>32</v>
      </c>
      <c r="F225" s="27" t="s">
        <v>194</v>
      </c>
      <c r="G225" s="28" t="s">
        <v>66</v>
      </c>
      <c r="H225" s="28" t="s">
        <v>129</v>
      </c>
      <c r="I225" s="36">
        <v>299</v>
      </c>
      <c r="J225" s="27"/>
      <c r="K225" s="29"/>
      <c r="L225" s="29"/>
      <c r="M225" s="29"/>
      <c r="N225" s="29"/>
    </row>
    <row r="226" spans="2:14" x14ac:dyDescent="0.25">
      <c r="B226" s="27" t="s">
        <v>123</v>
      </c>
      <c r="C226" s="28">
        <v>2239</v>
      </c>
      <c r="D226" s="28" t="s">
        <v>400</v>
      </c>
      <c r="E226" s="27" t="s">
        <v>32</v>
      </c>
      <c r="F226" s="27" t="s">
        <v>194</v>
      </c>
      <c r="G226" s="28" t="s">
        <v>66</v>
      </c>
      <c r="H226" s="28" t="s">
        <v>129</v>
      </c>
      <c r="I226" s="36">
        <v>259</v>
      </c>
      <c r="J226" s="27"/>
      <c r="K226" s="29"/>
      <c r="L226" s="29"/>
      <c r="M226" s="29"/>
      <c r="N226" s="29"/>
    </row>
    <row r="227" spans="2:14" x14ac:dyDescent="0.25">
      <c r="B227" s="27" t="s">
        <v>123</v>
      </c>
      <c r="C227" s="28">
        <v>550550</v>
      </c>
      <c r="D227" s="28" t="s">
        <v>401</v>
      </c>
      <c r="E227" s="27" t="s">
        <v>32</v>
      </c>
      <c r="F227" s="27" t="s">
        <v>194</v>
      </c>
      <c r="G227" s="28" t="s">
        <v>66</v>
      </c>
      <c r="H227" s="28" t="s">
        <v>129</v>
      </c>
      <c r="I227" s="36">
        <v>199</v>
      </c>
      <c r="J227" s="27"/>
      <c r="K227" s="29"/>
      <c r="L227" s="29"/>
      <c r="M227" s="29"/>
      <c r="N227" s="29"/>
    </row>
    <row r="228" spans="2:14" x14ac:dyDescent="0.25">
      <c r="B228" s="27" t="s">
        <v>123</v>
      </c>
      <c r="C228" s="28">
        <v>550525</v>
      </c>
      <c r="D228" s="28" t="s">
        <v>402</v>
      </c>
      <c r="E228" s="27" t="s">
        <v>32</v>
      </c>
      <c r="F228" s="27" t="s">
        <v>194</v>
      </c>
      <c r="G228" s="28" t="s">
        <v>66</v>
      </c>
      <c r="H228" s="28" t="s">
        <v>129</v>
      </c>
      <c r="I228" s="36">
        <v>99</v>
      </c>
      <c r="J228" s="27"/>
      <c r="K228" s="29"/>
      <c r="L228" s="29"/>
      <c r="M228" s="29"/>
      <c r="N228" s="29"/>
    </row>
    <row r="229" spans="2:14" x14ac:dyDescent="0.25">
      <c r="B229" s="27" t="s">
        <v>123</v>
      </c>
      <c r="C229" s="28">
        <v>550524</v>
      </c>
      <c r="D229" s="28" t="s">
        <v>403</v>
      </c>
      <c r="E229" s="27" t="s">
        <v>32</v>
      </c>
      <c r="F229" s="27" t="s">
        <v>194</v>
      </c>
      <c r="G229" s="28" t="s">
        <v>66</v>
      </c>
      <c r="H229" s="28" t="s">
        <v>129</v>
      </c>
      <c r="I229" s="36">
        <v>79</v>
      </c>
      <c r="J229" s="27"/>
      <c r="K229" s="29"/>
      <c r="L229" s="29"/>
      <c r="M229" s="29"/>
      <c r="N229" s="29"/>
    </row>
    <row r="230" spans="2:14" x14ac:dyDescent="0.25">
      <c r="B230" s="27" t="s">
        <v>123</v>
      </c>
      <c r="C230" s="28">
        <v>75864</v>
      </c>
      <c r="D230" s="28" t="s">
        <v>404</v>
      </c>
      <c r="E230" s="27" t="s">
        <v>32</v>
      </c>
      <c r="F230" s="27" t="s">
        <v>194</v>
      </c>
      <c r="G230" s="28" t="s">
        <v>66</v>
      </c>
      <c r="H230" s="28" t="s">
        <v>129</v>
      </c>
      <c r="I230" s="36">
        <v>1299</v>
      </c>
      <c r="J230" s="27"/>
      <c r="K230" s="29"/>
      <c r="L230" s="29"/>
      <c r="M230" s="29"/>
      <c r="N230" s="29"/>
    </row>
    <row r="231" spans="2:14" x14ac:dyDescent="0.25">
      <c r="B231" s="27" t="s">
        <v>123</v>
      </c>
      <c r="C231" s="28">
        <v>75863</v>
      </c>
      <c r="D231" s="28" t="s">
        <v>405</v>
      </c>
      <c r="E231" s="27" t="s">
        <v>32</v>
      </c>
      <c r="F231" s="27" t="s">
        <v>194</v>
      </c>
      <c r="G231" s="28" t="s">
        <v>66</v>
      </c>
      <c r="H231" s="28" t="s">
        <v>129</v>
      </c>
      <c r="I231" s="36">
        <v>1499</v>
      </c>
      <c r="J231" s="27"/>
      <c r="K231" s="29"/>
      <c r="L231" s="29"/>
      <c r="M231" s="29"/>
      <c r="N231" s="29"/>
    </row>
    <row r="232" spans="2:14" x14ac:dyDescent="0.25">
      <c r="B232" s="27" t="s">
        <v>123</v>
      </c>
      <c r="C232" s="28">
        <v>542738</v>
      </c>
      <c r="D232" s="28" t="s">
        <v>158</v>
      </c>
      <c r="E232" s="27" t="s">
        <v>32</v>
      </c>
      <c r="F232" s="27" t="s">
        <v>194</v>
      </c>
      <c r="G232" s="28" t="s">
        <v>66</v>
      </c>
      <c r="H232" s="28" t="s">
        <v>129</v>
      </c>
      <c r="I232" s="36">
        <v>14390</v>
      </c>
      <c r="J232" s="27"/>
      <c r="K232" s="29"/>
      <c r="L232" s="29"/>
      <c r="M232" s="29"/>
      <c r="N232" s="29"/>
    </row>
    <row r="233" spans="2:14" x14ac:dyDescent="0.25">
      <c r="B233" s="27" t="s">
        <v>123</v>
      </c>
      <c r="C233" s="28">
        <v>567371</v>
      </c>
      <c r="D233" s="28" t="s">
        <v>406</v>
      </c>
      <c r="E233" s="27" t="s">
        <v>32</v>
      </c>
      <c r="F233" s="27" t="s">
        <v>194</v>
      </c>
      <c r="G233" s="28" t="s">
        <v>66</v>
      </c>
      <c r="H233" s="28" t="s">
        <v>129</v>
      </c>
      <c r="I233" s="36">
        <v>15190</v>
      </c>
      <c r="J233" s="27"/>
      <c r="K233" s="29"/>
      <c r="L233" s="29"/>
      <c r="M233" s="29"/>
      <c r="N233" s="29"/>
    </row>
    <row r="234" spans="2:14" x14ac:dyDescent="0.25">
      <c r="B234" s="27" t="s">
        <v>123</v>
      </c>
      <c r="C234" s="28">
        <v>567372</v>
      </c>
      <c r="D234" s="28" t="s">
        <v>407</v>
      </c>
      <c r="E234" s="27" t="s">
        <v>32</v>
      </c>
      <c r="F234" s="27" t="s">
        <v>194</v>
      </c>
      <c r="G234" s="28" t="s">
        <v>66</v>
      </c>
      <c r="H234" s="28" t="s">
        <v>129</v>
      </c>
      <c r="I234" s="36">
        <v>22450</v>
      </c>
      <c r="J234" s="27"/>
      <c r="K234" s="29"/>
      <c r="L234" s="29"/>
      <c r="M234" s="29"/>
      <c r="N234" s="29"/>
    </row>
    <row r="235" spans="2:14" x14ac:dyDescent="0.25">
      <c r="B235" s="27" t="s">
        <v>123</v>
      </c>
      <c r="C235" s="28">
        <v>559824</v>
      </c>
      <c r="D235" s="28" t="s">
        <v>159</v>
      </c>
      <c r="E235" s="27" t="s">
        <v>32</v>
      </c>
      <c r="F235" s="27" t="s">
        <v>194</v>
      </c>
      <c r="G235" s="28" t="s">
        <v>66</v>
      </c>
      <c r="H235" s="28" t="s">
        <v>129</v>
      </c>
      <c r="I235" s="36">
        <v>27990</v>
      </c>
      <c r="J235" s="27"/>
      <c r="K235" s="29"/>
      <c r="L235" s="29"/>
      <c r="M235" s="29"/>
      <c r="N235" s="29"/>
    </row>
    <row r="236" spans="2:14" x14ac:dyDescent="0.25">
      <c r="B236" s="27" t="s">
        <v>123</v>
      </c>
      <c r="C236" s="28">
        <v>542737</v>
      </c>
      <c r="D236" s="28" t="s">
        <v>160</v>
      </c>
      <c r="E236" s="27" t="s">
        <v>32</v>
      </c>
      <c r="F236" s="27" t="s">
        <v>194</v>
      </c>
      <c r="G236" s="28" t="s">
        <v>66</v>
      </c>
      <c r="H236" s="28" t="s">
        <v>129</v>
      </c>
      <c r="I236" s="36">
        <v>13190</v>
      </c>
      <c r="J236" s="27"/>
      <c r="K236" s="29"/>
      <c r="L236" s="29"/>
      <c r="M236" s="29"/>
      <c r="N236" s="29"/>
    </row>
    <row r="237" spans="2:14" x14ac:dyDescent="0.25">
      <c r="B237" s="27" t="s">
        <v>123</v>
      </c>
      <c r="C237" s="28">
        <v>567370</v>
      </c>
      <c r="D237" s="28" t="s">
        <v>408</v>
      </c>
      <c r="E237" s="27" t="s">
        <v>32</v>
      </c>
      <c r="F237" s="27" t="s">
        <v>194</v>
      </c>
      <c r="G237" s="28" t="s">
        <v>66</v>
      </c>
      <c r="H237" s="28" t="s">
        <v>129</v>
      </c>
      <c r="I237" s="36">
        <v>13890</v>
      </c>
      <c r="J237" s="27"/>
      <c r="K237" s="29"/>
      <c r="L237" s="29"/>
      <c r="M237" s="29"/>
      <c r="N237" s="29"/>
    </row>
    <row r="238" spans="2:14" x14ac:dyDescent="0.25">
      <c r="B238" s="27" t="s">
        <v>123</v>
      </c>
      <c r="C238" s="28">
        <v>567369</v>
      </c>
      <c r="D238" s="28" t="s">
        <v>409</v>
      </c>
      <c r="E238" s="27" t="s">
        <v>32</v>
      </c>
      <c r="F238" s="27" t="s">
        <v>194</v>
      </c>
      <c r="G238" s="28" t="s">
        <v>66</v>
      </c>
      <c r="H238" s="28" t="s">
        <v>129</v>
      </c>
      <c r="I238" s="36">
        <v>11190</v>
      </c>
      <c r="J238" s="27"/>
      <c r="K238" s="29"/>
      <c r="L238" s="29"/>
      <c r="M238" s="29"/>
      <c r="N238" s="29"/>
    </row>
    <row r="239" spans="2:14" x14ac:dyDescent="0.25">
      <c r="B239" s="27" t="s">
        <v>123</v>
      </c>
      <c r="C239" s="28">
        <v>567367</v>
      </c>
      <c r="D239" s="28" t="s">
        <v>410</v>
      </c>
      <c r="E239" s="27" t="s">
        <v>32</v>
      </c>
      <c r="F239" s="27" t="s">
        <v>194</v>
      </c>
      <c r="G239" s="28" t="s">
        <v>66</v>
      </c>
      <c r="H239" s="28" t="s">
        <v>129</v>
      </c>
      <c r="I239" s="36">
        <v>10490</v>
      </c>
      <c r="J239" s="27"/>
      <c r="K239" s="29"/>
      <c r="L239" s="29"/>
      <c r="M239" s="29"/>
      <c r="N239" s="29"/>
    </row>
    <row r="240" spans="2:14" x14ac:dyDescent="0.25">
      <c r="B240" s="27" t="s">
        <v>123</v>
      </c>
      <c r="C240" s="28">
        <v>558806</v>
      </c>
      <c r="D240" s="28" t="s">
        <v>161</v>
      </c>
      <c r="E240" s="27" t="s">
        <v>32</v>
      </c>
      <c r="F240" s="27" t="s">
        <v>194</v>
      </c>
      <c r="G240" s="28" t="s">
        <v>66</v>
      </c>
      <c r="H240" s="28" t="s">
        <v>193</v>
      </c>
      <c r="I240" s="36">
        <v>109</v>
      </c>
      <c r="J240" s="27"/>
      <c r="K240" s="29"/>
      <c r="L240" s="29"/>
      <c r="M240" s="29"/>
      <c r="N240" s="29"/>
    </row>
    <row r="241" spans="2:14" x14ac:dyDescent="0.25">
      <c r="B241" s="27" t="s">
        <v>123</v>
      </c>
      <c r="C241" s="28">
        <v>542747</v>
      </c>
      <c r="D241" s="28" t="s">
        <v>162</v>
      </c>
      <c r="E241" s="27" t="s">
        <v>32</v>
      </c>
      <c r="F241" s="27" t="s">
        <v>194</v>
      </c>
      <c r="G241" s="28" t="s">
        <v>66</v>
      </c>
      <c r="H241" s="28" t="s">
        <v>193</v>
      </c>
      <c r="I241" s="36">
        <v>21</v>
      </c>
      <c r="J241" s="27"/>
      <c r="K241" s="29"/>
      <c r="L241" s="29"/>
      <c r="M241" s="29"/>
      <c r="N241" s="29"/>
    </row>
    <row r="242" spans="2:14" x14ac:dyDescent="0.25">
      <c r="B242" s="27" t="s">
        <v>123</v>
      </c>
      <c r="C242" s="28">
        <v>562094</v>
      </c>
      <c r="D242" s="28" t="s">
        <v>163</v>
      </c>
      <c r="E242" s="27" t="s">
        <v>32</v>
      </c>
      <c r="F242" s="27" t="s">
        <v>194</v>
      </c>
      <c r="G242" s="28" t="s">
        <v>66</v>
      </c>
      <c r="H242" s="28" t="s">
        <v>193</v>
      </c>
      <c r="I242" s="36">
        <v>38</v>
      </c>
      <c r="J242" s="27"/>
      <c r="K242" s="29"/>
      <c r="L242" s="29"/>
      <c r="M242" s="29"/>
      <c r="N242" s="29"/>
    </row>
    <row r="243" spans="2:14" x14ac:dyDescent="0.25">
      <c r="B243" s="27" t="s">
        <v>123</v>
      </c>
      <c r="C243" s="28">
        <v>110333</v>
      </c>
      <c r="D243" s="28" t="s">
        <v>164</v>
      </c>
      <c r="E243" s="27" t="s">
        <v>32</v>
      </c>
      <c r="F243" s="27" t="s">
        <v>194</v>
      </c>
      <c r="G243" s="28" t="s">
        <v>66</v>
      </c>
      <c r="H243" s="28" t="s">
        <v>129</v>
      </c>
      <c r="I243" s="36">
        <v>8390</v>
      </c>
      <c r="J243" s="27"/>
      <c r="K243" s="29"/>
      <c r="L243" s="29"/>
      <c r="M243" s="29"/>
      <c r="N243" s="29"/>
    </row>
    <row r="244" spans="2:14" x14ac:dyDescent="0.25">
      <c r="B244" s="27" t="s">
        <v>123</v>
      </c>
      <c r="C244" s="28">
        <v>534642</v>
      </c>
      <c r="D244" s="28" t="s">
        <v>165</v>
      </c>
      <c r="E244" s="27" t="s">
        <v>32</v>
      </c>
      <c r="F244" s="27" t="s">
        <v>194</v>
      </c>
      <c r="G244" s="28" t="s">
        <v>66</v>
      </c>
      <c r="H244" s="28" t="s">
        <v>129</v>
      </c>
      <c r="I244" s="36">
        <v>5690</v>
      </c>
      <c r="J244" s="27"/>
      <c r="K244" s="29"/>
      <c r="L244" s="29"/>
      <c r="M244" s="29"/>
      <c r="N244" s="29"/>
    </row>
    <row r="245" spans="2:14" x14ac:dyDescent="0.25">
      <c r="B245" s="27" t="s">
        <v>123</v>
      </c>
      <c r="C245" s="28">
        <v>559346</v>
      </c>
      <c r="D245" s="28" t="s">
        <v>166</v>
      </c>
      <c r="E245" s="27" t="s">
        <v>32</v>
      </c>
      <c r="F245" s="27" t="s">
        <v>194</v>
      </c>
      <c r="G245" s="28" t="s">
        <v>66</v>
      </c>
      <c r="H245" s="28" t="s">
        <v>129</v>
      </c>
      <c r="I245" s="36">
        <v>7659</v>
      </c>
      <c r="J245" s="27"/>
      <c r="K245" s="29"/>
      <c r="L245" s="29"/>
      <c r="M245" s="29"/>
      <c r="N245" s="29"/>
    </row>
    <row r="246" spans="2:14" x14ac:dyDescent="0.25">
      <c r="B246" s="27" t="s">
        <v>123</v>
      </c>
      <c r="C246" s="28">
        <v>108410</v>
      </c>
      <c r="D246" s="28" t="s">
        <v>167</v>
      </c>
      <c r="E246" s="27" t="s">
        <v>32</v>
      </c>
      <c r="F246" s="27" t="s">
        <v>194</v>
      </c>
      <c r="G246" s="28" t="s">
        <v>66</v>
      </c>
      <c r="H246" s="28" t="s">
        <v>129</v>
      </c>
      <c r="I246" s="36">
        <v>11190</v>
      </c>
      <c r="J246" s="27"/>
      <c r="K246" s="29"/>
      <c r="L246" s="29"/>
      <c r="M246" s="29"/>
      <c r="N246" s="29"/>
    </row>
    <row r="247" spans="2:14" x14ac:dyDescent="0.25">
      <c r="B247" s="27" t="s">
        <v>123</v>
      </c>
      <c r="C247" s="28">
        <v>545923</v>
      </c>
      <c r="D247" s="28" t="s">
        <v>168</v>
      </c>
      <c r="E247" s="27" t="s">
        <v>32</v>
      </c>
      <c r="F247" s="27" t="s">
        <v>194</v>
      </c>
      <c r="G247" s="28" t="s">
        <v>66</v>
      </c>
      <c r="H247" s="28" t="s">
        <v>193</v>
      </c>
      <c r="I247" s="36">
        <v>99</v>
      </c>
      <c r="J247" s="27"/>
      <c r="K247" s="29"/>
      <c r="L247" s="29"/>
      <c r="M247" s="29"/>
      <c r="N247" s="29"/>
    </row>
    <row r="248" spans="2:14" x14ac:dyDescent="0.25">
      <c r="B248" s="27" t="s">
        <v>123</v>
      </c>
      <c r="C248" s="28">
        <v>542739</v>
      </c>
      <c r="D248" s="28" t="s">
        <v>169</v>
      </c>
      <c r="E248" s="27" t="s">
        <v>32</v>
      </c>
      <c r="F248" s="27" t="s">
        <v>194</v>
      </c>
      <c r="G248" s="28" t="s">
        <v>66</v>
      </c>
      <c r="H248" s="28" t="s">
        <v>193</v>
      </c>
      <c r="I248" s="36">
        <v>55</v>
      </c>
      <c r="J248" s="27"/>
      <c r="K248" s="29"/>
      <c r="L248" s="29"/>
      <c r="M248" s="29"/>
      <c r="N248" s="29"/>
    </row>
    <row r="249" spans="2:14" x14ac:dyDescent="0.25">
      <c r="B249" s="27" t="s">
        <v>123</v>
      </c>
      <c r="C249" s="28">
        <v>542740</v>
      </c>
      <c r="D249" s="28" t="s">
        <v>411</v>
      </c>
      <c r="E249" s="27" t="s">
        <v>32</v>
      </c>
      <c r="F249" s="27" t="s">
        <v>194</v>
      </c>
      <c r="G249" s="28" t="s">
        <v>66</v>
      </c>
      <c r="H249" s="28" t="s">
        <v>193</v>
      </c>
      <c r="I249" s="36">
        <v>75</v>
      </c>
      <c r="J249" s="27"/>
      <c r="K249" s="29"/>
      <c r="L249" s="29"/>
      <c r="M249" s="29"/>
      <c r="N249" s="29"/>
    </row>
    <row r="250" spans="2:14" x14ac:dyDescent="0.25">
      <c r="B250" s="27" t="s">
        <v>123</v>
      </c>
      <c r="C250" s="28">
        <v>484279</v>
      </c>
      <c r="D250" s="28" t="s">
        <v>170</v>
      </c>
      <c r="E250" s="27" t="s">
        <v>32</v>
      </c>
      <c r="F250" s="27" t="s">
        <v>194</v>
      </c>
      <c r="G250" s="28" t="s">
        <v>66</v>
      </c>
      <c r="H250" s="28" t="s">
        <v>193</v>
      </c>
      <c r="I250" s="36">
        <v>679</v>
      </c>
      <c r="J250" s="27"/>
      <c r="K250" s="29"/>
      <c r="L250" s="29"/>
      <c r="M250" s="29"/>
      <c r="N250" s="29"/>
    </row>
    <row r="251" spans="2:14" x14ac:dyDescent="0.25">
      <c r="B251" s="27" t="s">
        <v>123</v>
      </c>
      <c r="C251" s="28">
        <v>542748</v>
      </c>
      <c r="D251" s="28" t="s">
        <v>171</v>
      </c>
      <c r="E251" s="27" t="s">
        <v>32</v>
      </c>
      <c r="F251" s="27" t="s">
        <v>194</v>
      </c>
      <c r="G251" s="28" t="s">
        <v>66</v>
      </c>
      <c r="H251" s="28" t="s">
        <v>193</v>
      </c>
      <c r="I251" s="36">
        <v>79</v>
      </c>
      <c r="J251" s="27"/>
      <c r="K251" s="29"/>
      <c r="L251" s="29"/>
      <c r="M251" s="29"/>
      <c r="N251" s="29"/>
    </row>
    <row r="252" spans="2:14" x14ac:dyDescent="0.25">
      <c r="B252" s="27" t="s">
        <v>123</v>
      </c>
      <c r="C252" s="28">
        <v>548890</v>
      </c>
      <c r="D252" s="28" t="s">
        <v>172</v>
      </c>
      <c r="E252" s="27" t="s">
        <v>32</v>
      </c>
      <c r="F252" s="27" t="s">
        <v>194</v>
      </c>
      <c r="G252" s="28" t="s">
        <v>66</v>
      </c>
      <c r="H252" s="28" t="s">
        <v>193</v>
      </c>
      <c r="I252" s="36">
        <v>43</v>
      </c>
      <c r="J252" s="27"/>
      <c r="K252" s="29"/>
      <c r="L252" s="29"/>
      <c r="M252" s="29"/>
      <c r="N252" s="29"/>
    </row>
    <row r="253" spans="2:14" x14ac:dyDescent="0.25">
      <c r="B253" s="27" t="s">
        <v>123</v>
      </c>
      <c r="C253" s="28">
        <v>492481</v>
      </c>
      <c r="D253" s="28" t="s">
        <v>173</v>
      </c>
      <c r="E253" s="27" t="s">
        <v>32</v>
      </c>
      <c r="F253" s="27" t="s">
        <v>194</v>
      </c>
      <c r="G253" s="28" t="s">
        <v>66</v>
      </c>
      <c r="H253" s="28" t="s">
        <v>129</v>
      </c>
      <c r="I253" s="36">
        <v>390</v>
      </c>
      <c r="J253" s="27"/>
      <c r="K253" s="29"/>
      <c r="L253" s="29"/>
      <c r="M253" s="29"/>
      <c r="N253" s="29"/>
    </row>
    <row r="254" spans="2:14" x14ac:dyDescent="0.25">
      <c r="B254" s="27" t="s">
        <v>123</v>
      </c>
      <c r="C254" s="28">
        <v>395849</v>
      </c>
      <c r="D254" s="28" t="s">
        <v>174</v>
      </c>
      <c r="E254" s="27" t="s">
        <v>32</v>
      </c>
      <c r="F254" s="27" t="s">
        <v>194</v>
      </c>
      <c r="G254" s="28" t="s">
        <v>66</v>
      </c>
      <c r="H254" s="28" t="s">
        <v>193</v>
      </c>
      <c r="I254" s="36">
        <v>629</v>
      </c>
      <c r="J254" s="27"/>
      <c r="K254" s="29"/>
      <c r="L254" s="29"/>
      <c r="M254" s="29"/>
      <c r="N254" s="29"/>
    </row>
    <row r="255" spans="2:14" x14ac:dyDescent="0.25">
      <c r="B255" s="27" t="s">
        <v>123</v>
      </c>
      <c r="C255" s="28">
        <v>561623</v>
      </c>
      <c r="D255" s="28" t="s">
        <v>175</v>
      </c>
      <c r="E255" s="27" t="s">
        <v>32</v>
      </c>
      <c r="F255" s="27" t="s">
        <v>194</v>
      </c>
      <c r="G255" s="28" t="s">
        <v>66</v>
      </c>
      <c r="H255" s="28" t="s">
        <v>193</v>
      </c>
      <c r="I255" s="36">
        <v>489</v>
      </c>
      <c r="J255" s="27"/>
      <c r="K255" s="29"/>
      <c r="L255" s="29"/>
      <c r="M255" s="29"/>
      <c r="N255" s="29"/>
    </row>
    <row r="256" spans="2:14" x14ac:dyDescent="0.25">
      <c r="B256" s="27" t="s">
        <v>123</v>
      </c>
      <c r="C256" s="28">
        <v>561622</v>
      </c>
      <c r="D256" s="28" t="s">
        <v>176</v>
      </c>
      <c r="E256" s="27" t="s">
        <v>32</v>
      </c>
      <c r="F256" s="27" t="s">
        <v>194</v>
      </c>
      <c r="G256" s="28" t="s">
        <v>66</v>
      </c>
      <c r="H256" s="28" t="s">
        <v>193</v>
      </c>
      <c r="I256" s="36">
        <v>469</v>
      </c>
      <c r="J256" s="27"/>
      <c r="K256" s="29"/>
      <c r="L256" s="29"/>
      <c r="M256" s="29"/>
      <c r="N256" s="29"/>
    </row>
    <row r="257" spans="2:14" x14ac:dyDescent="0.25">
      <c r="B257" s="27" t="s">
        <v>123</v>
      </c>
      <c r="C257" s="28">
        <v>322292</v>
      </c>
      <c r="D257" s="28" t="s">
        <v>177</v>
      </c>
      <c r="E257" s="27" t="s">
        <v>32</v>
      </c>
      <c r="F257" s="27" t="s">
        <v>194</v>
      </c>
      <c r="G257" s="28" t="s">
        <v>66</v>
      </c>
      <c r="H257" s="28" t="s">
        <v>193</v>
      </c>
      <c r="I257" s="36">
        <v>905</v>
      </c>
      <c r="J257" s="27"/>
      <c r="K257" s="29"/>
      <c r="L257" s="29"/>
      <c r="M257" s="29"/>
      <c r="N257" s="29"/>
    </row>
    <row r="258" spans="2:14" x14ac:dyDescent="0.25">
      <c r="B258" s="27" t="s">
        <v>123</v>
      </c>
      <c r="C258" s="28">
        <v>395847</v>
      </c>
      <c r="D258" s="28" t="s">
        <v>178</v>
      </c>
      <c r="E258" s="27" t="s">
        <v>32</v>
      </c>
      <c r="F258" s="27" t="s">
        <v>194</v>
      </c>
      <c r="G258" s="28" t="s">
        <v>66</v>
      </c>
      <c r="H258" s="28" t="s">
        <v>193</v>
      </c>
      <c r="I258" s="36">
        <v>759</v>
      </c>
      <c r="J258" s="27"/>
      <c r="K258" s="29"/>
      <c r="L258" s="29"/>
      <c r="M258" s="29"/>
      <c r="N258" s="29"/>
    </row>
    <row r="259" spans="2:14" x14ac:dyDescent="0.25">
      <c r="B259" s="27" t="s">
        <v>123</v>
      </c>
      <c r="C259" s="28">
        <v>534662</v>
      </c>
      <c r="D259" s="28" t="s">
        <v>179</v>
      </c>
      <c r="E259" s="27" t="s">
        <v>32</v>
      </c>
      <c r="F259" s="27" t="s">
        <v>194</v>
      </c>
      <c r="G259" s="28" t="s">
        <v>66</v>
      </c>
      <c r="H259" s="28" t="s">
        <v>193</v>
      </c>
      <c r="I259" s="36">
        <v>1439</v>
      </c>
      <c r="J259" s="27"/>
      <c r="K259" s="29"/>
      <c r="L259" s="29"/>
      <c r="M259" s="29"/>
      <c r="N259" s="29"/>
    </row>
    <row r="260" spans="2:14" x14ac:dyDescent="0.25">
      <c r="B260" s="27" t="s">
        <v>123</v>
      </c>
      <c r="C260" s="28">
        <v>488527</v>
      </c>
      <c r="D260" s="28" t="s">
        <v>180</v>
      </c>
      <c r="E260" s="27" t="s">
        <v>32</v>
      </c>
      <c r="F260" s="27" t="s">
        <v>194</v>
      </c>
      <c r="G260" s="28" t="s">
        <v>66</v>
      </c>
      <c r="H260" s="28" t="s">
        <v>193</v>
      </c>
      <c r="I260" s="36">
        <v>559</v>
      </c>
      <c r="J260" s="27"/>
      <c r="K260" s="29"/>
      <c r="L260" s="29"/>
      <c r="M260" s="29"/>
      <c r="N260" s="29"/>
    </row>
    <row r="261" spans="2:14" x14ac:dyDescent="0.25">
      <c r="B261" s="27" t="s">
        <v>123</v>
      </c>
      <c r="C261" s="28">
        <v>488532</v>
      </c>
      <c r="D261" s="28" t="s">
        <v>181</v>
      </c>
      <c r="E261" s="27" t="s">
        <v>32</v>
      </c>
      <c r="F261" s="27" t="s">
        <v>194</v>
      </c>
      <c r="G261" s="28" t="s">
        <v>66</v>
      </c>
      <c r="H261" s="28" t="s">
        <v>193</v>
      </c>
      <c r="I261" s="36">
        <v>639</v>
      </c>
      <c r="J261" s="27"/>
      <c r="K261" s="29"/>
      <c r="L261" s="29"/>
      <c r="M261" s="29"/>
      <c r="N261" s="29"/>
    </row>
    <row r="262" spans="2:14" x14ac:dyDescent="0.25">
      <c r="B262" s="27" t="s">
        <v>123</v>
      </c>
      <c r="C262" s="28">
        <v>492932</v>
      </c>
      <c r="D262" s="28" t="s">
        <v>182</v>
      </c>
      <c r="E262" s="27" t="s">
        <v>32</v>
      </c>
      <c r="F262" s="27" t="s">
        <v>194</v>
      </c>
      <c r="G262" s="28" t="s">
        <v>66</v>
      </c>
      <c r="H262" s="28" t="s">
        <v>129</v>
      </c>
      <c r="I262" s="36">
        <v>869</v>
      </c>
      <c r="J262" s="27"/>
      <c r="K262" s="29"/>
      <c r="L262" s="29"/>
      <c r="M262" s="29"/>
      <c r="N262" s="29"/>
    </row>
    <row r="263" spans="2:14" x14ac:dyDescent="0.25">
      <c r="B263" s="27" t="s">
        <v>123</v>
      </c>
      <c r="C263" s="28">
        <v>492933</v>
      </c>
      <c r="D263" s="28" t="s">
        <v>183</v>
      </c>
      <c r="E263" s="27" t="s">
        <v>32</v>
      </c>
      <c r="F263" s="27" t="s">
        <v>194</v>
      </c>
      <c r="G263" s="28" t="s">
        <v>66</v>
      </c>
      <c r="H263" s="28" t="s">
        <v>129</v>
      </c>
      <c r="I263" s="36">
        <v>790</v>
      </c>
      <c r="J263" s="27"/>
      <c r="K263" s="29"/>
      <c r="L263" s="29"/>
      <c r="M263" s="29"/>
      <c r="N263" s="29"/>
    </row>
    <row r="264" spans="2:14" x14ac:dyDescent="0.25">
      <c r="B264" s="27" t="s">
        <v>123</v>
      </c>
      <c r="C264" s="28">
        <v>554000</v>
      </c>
      <c r="D264" s="28" t="s">
        <v>184</v>
      </c>
      <c r="E264" s="27" t="s">
        <v>32</v>
      </c>
      <c r="F264" s="27" t="s">
        <v>194</v>
      </c>
      <c r="G264" s="28" t="s">
        <v>66</v>
      </c>
      <c r="H264" s="28" t="s">
        <v>129</v>
      </c>
      <c r="I264" s="36">
        <v>1529</v>
      </c>
      <c r="J264" s="27"/>
      <c r="K264" s="29"/>
      <c r="L264" s="29"/>
      <c r="M264" s="29"/>
      <c r="N264" s="29"/>
    </row>
    <row r="265" spans="2:14" x14ac:dyDescent="0.25">
      <c r="B265" s="27" t="s">
        <v>123</v>
      </c>
      <c r="C265" s="28">
        <v>492472</v>
      </c>
      <c r="D265" s="28" t="s">
        <v>185</v>
      </c>
      <c r="E265" s="27" t="s">
        <v>32</v>
      </c>
      <c r="F265" s="27" t="s">
        <v>194</v>
      </c>
      <c r="G265" s="28" t="s">
        <v>66</v>
      </c>
      <c r="H265" s="28" t="s">
        <v>193</v>
      </c>
      <c r="I265" s="36">
        <v>12</v>
      </c>
      <c r="J265" s="27"/>
      <c r="K265" s="29"/>
      <c r="L265" s="29"/>
      <c r="M265" s="29"/>
      <c r="N265" s="29"/>
    </row>
    <row r="266" spans="2:14" x14ac:dyDescent="0.25">
      <c r="B266" s="27" t="s">
        <v>123</v>
      </c>
      <c r="C266" s="28">
        <v>520205</v>
      </c>
      <c r="D266" s="28" t="s">
        <v>186</v>
      </c>
      <c r="E266" s="27" t="s">
        <v>32</v>
      </c>
      <c r="F266" s="27" t="s">
        <v>194</v>
      </c>
      <c r="G266" s="28" t="s">
        <v>66</v>
      </c>
      <c r="H266" s="28" t="s">
        <v>193</v>
      </c>
      <c r="I266" s="36">
        <v>1190</v>
      </c>
      <c r="J266" s="27"/>
      <c r="K266" s="29"/>
      <c r="L266" s="29"/>
      <c r="M266" s="29"/>
      <c r="N266" s="29"/>
    </row>
    <row r="267" spans="2:14" x14ac:dyDescent="0.25">
      <c r="B267" s="27" t="s">
        <v>123</v>
      </c>
      <c r="C267" s="28">
        <v>520204</v>
      </c>
      <c r="D267" s="28" t="s">
        <v>187</v>
      </c>
      <c r="E267" s="27" t="s">
        <v>32</v>
      </c>
      <c r="F267" s="27" t="s">
        <v>194</v>
      </c>
      <c r="G267" s="28" t="s">
        <v>66</v>
      </c>
      <c r="H267" s="28" t="s">
        <v>193</v>
      </c>
      <c r="I267" s="36">
        <v>1185</v>
      </c>
      <c r="J267" s="27"/>
      <c r="K267" s="29"/>
      <c r="L267" s="29"/>
      <c r="M267" s="29"/>
      <c r="N267" s="29"/>
    </row>
    <row r="268" spans="2:14" x14ac:dyDescent="0.25">
      <c r="B268" s="27" t="s">
        <v>123</v>
      </c>
      <c r="C268" s="28">
        <v>525298</v>
      </c>
      <c r="D268" s="28" t="s">
        <v>188</v>
      </c>
      <c r="E268" s="27" t="s">
        <v>32</v>
      </c>
      <c r="F268" s="27" t="s">
        <v>194</v>
      </c>
      <c r="G268" s="28" t="s">
        <v>66</v>
      </c>
      <c r="H268" s="28" t="s">
        <v>193</v>
      </c>
      <c r="I268" s="36">
        <v>65</v>
      </c>
      <c r="J268" s="27"/>
      <c r="K268" s="29"/>
      <c r="L268" s="29"/>
      <c r="M268" s="29"/>
      <c r="N268" s="29"/>
    </row>
    <row r="269" spans="2:14" x14ac:dyDescent="0.25">
      <c r="B269" s="27" t="s">
        <v>123</v>
      </c>
      <c r="C269" s="28">
        <v>461923</v>
      </c>
      <c r="D269" s="28" t="s">
        <v>412</v>
      </c>
      <c r="E269" s="27" t="s">
        <v>32</v>
      </c>
      <c r="F269" s="27" t="s">
        <v>194</v>
      </c>
      <c r="G269" s="28" t="s">
        <v>66</v>
      </c>
      <c r="H269" s="28" t="s">
        <v>193</v>
      </c>
      <c r="I269" s="36">
        <v>331</v>
      </c>
      <c r="J269" s="27"/>
      <c r="K269" s="29"/>
      <c r="L269" s="29"/>
      <c r="M269" s="29"/>
      <c r="N269" s="29"/>
    </row>
    <row r="270" spans="2:14" x14ac:dyDescent="0.25">
      <c r="B270" s="27" t="s">
        <v>123</v>
      </c>
      <c r="C270" s="28">
        <v>541849</v>
      </c>
      <c r="D270" s="28" t="s">
        <v>413</v>
      </c>
      <c r="E270" s="27" t="s">
        <v>32</v>
      </c>
      <c r="F270" s="27" t="s">
        <v>194</v>
      </c>
      <c r="G270" s="28" t="s">
        <v>66</v>
      </c>
      <c r="H270" s="28" t="s">
        <v>193</v>
      </c>
      <c r="I270" s="36">
        <v>359</v>
      </c>
      <c r="J270" s="27"/>
      <c r="K270" s="29"/>
      <c r="L270" s="29"/>
      <c r="M270" s="29"/>
      <c r="N270" s="29"/>
    </row>
    <row r="271" spans="2:14" x14ac:dyDescent="0.25">
      <c r="B271" s="27" t="s">
        <v>123</v>
      </c>
      <c r="C271" s="28">
        <v>504324</v>
      </c>
      <c r="D271" s="28" t="s">
        <v>189</v>
      </c>
      <c r="E271" s="27" t="s">
        <v>32</v>
      </c>
      <c r="F271" s="27" t="s">
        <v>194</v>
      </c>
      <c r="G271" s="28" t="s">
        <v>66</v>
      </c>
      <c r="H271" s="28" t="s">
        <v>193</v>
      </c>
      <c r="I271" s="36">
        <v>745</v>
      </c>
      <c r="J271" s="27"/>
      <c r="K271" s="29"/>
      <c r="L271" s="29"/>
      <c r="M271" s="29"/>
      <c r="N271" s="29"/>
    </row>
    <row r="272" spans="2:14" x14ac:dyDescent="0.25">
      <c r="B272" s="27" t="s">
        <v>123</v>
      </c>
      <c r="C272" s="28">
        <v>550228</v>
      </c>
      <c r="D272" s="28" t="s">
        <v>414</v>
      </c>
      <c r="E272" s="27" t="s">
        <v>32</v>
      </c>
      <c r="F272" s="27" t="s">
        <v>194</v>
      </c>
      <c r="G272" s="28" t="s">
        <v>66</v>
      </c>
      <c r="H272" s="28" t="s">
        <v>129</v>
      </c>
      <c r="I272" s="36">
        <v>2590</v>
      </c>
      <c r="J272" s="27"/>
      <c r="K272" s="29"/>
      <c r="L272" s="29"/>
      <c r="M272" s="29"/>
      <c r="N272" s="29"/>
    </row>
    <row r="273" spans="2:14" x14ac:dyDescent="0.25">
      <c r="B273" s="27" t="s">
        <v>123</v>
      </c>
      <c r="C273" s="28">
        <v>481986</v>
      </c>
      <c r="D273" s="28" t="s">
        <v>415</v>
      </c>
      <c r="E273" s="27" t="s">
        <v>32</v>
      </c>
      <c r="F273" s="27" t="s">
        <v>194</v>
      </c>
      <c r="G273" s="28" t="s">
        <v>66</v>
      </c>
      <c r="H273" s="28" t="s">
        <v>193</v>
      </c>
      <c r="I273" s="36">
        <v>23</v>
      </c>
      <c r="J273" s="27"/>
      <c r="K273" s="29"/>
      <c r="L273" s="29"/>
      <c r="M273" s="29"/>
      <c r="N273" s="29"/>
    </row>
    <row r="274" spans="2:14" x14ac:dyDescent="0.25">
      <c r="B274" s="27" t="s">
        <v>123</v>
      </c>
      <c r="C274" s="28">
        <v>527356</v>
      </c>
      <c r="D274" s="28" t="s">
        <v>416</v>
      </c>
      <c r="E274" s="27" t="s">
        <v>32</v>
      </c>
      <c r="F274" s="27" t="s">
        <v>194</v>
      </c>
      <c r="G274" s="28" t="s">
        <v>66</v>
      </c>
      <c r="H274" s="28" t="s">
        <v>193</v>
      </c>
      <c r="I274" s="36">
        <v>39</v>
      </c>
      <c r="J274" s="27"/>
      <c r="K274" s="29"/>
      <c r="L274" s="29"/>
      <c r="M274" s="29"/>
      <c r="N274" s="29"/>
    </row>
    <row r="275" spans="2:14" x14ac:dyDescent="0.25">
      <c r="B275" s="27" t="s">
        <v>123</v>
      </c>
      <c r="C275" s="28">
        <v>546367</v>
      </c>
      <c r="D275" s="28" t="s">
        <v>417</v>
      </c>
      <c r="E275" s="27" t="s">
        <v>32</v>
      </c>
      <c r="F275" s="27" t="s">
        <v>194</v>
      </c>
      <c r="G275" s="28" t="s">
        <v>66</v>
      </c>
      <c r="H275" s="28" t="s">
        <v>193</v>
      </c>
      <c r="I275" s="36">
        <v>69</v>
      </c>
      <c r="J275" s="27"/>
      <c r="K275" s="29"/>
      <c r="L275" s="29"/>
      <c r="M275" s="29"/>
      <c r="N275" s="29"/>
    </row>
    <row r="276" spans="2:14" x14ac:dyDescent="0.25">
      <c r="B276" s="27" t="s">
        <v>123</v>
      </c>
      <c r="C276" s="28">
        <v>492948</v>
      </c>
      <c r="D276" s="28" t="s">
        <v>418</v>
      </c>
      <c r="E276" s="27" t="s">
        <v>32</v>
      </c>
      <c r="F276" s="27" t="s">
        <v>194</v>
      </c>
      <c r="G276" s="28" t="s">
        <v>66</v>
      </c>
      <c r="H276" s="28" t="s">
        <v>129</v>
      </c>
      <c r="I276" s="36">
        <v>990</v>
      </c>
      <c r="J276" s="27"/>
      <c r="K276" s="29"/>
      <c r="L276" s="29"/>
      <c r="M276" s="29"/>
      <c r="N276" s="29"/>
    </row>
    <row r="277" spans="2:14" x14ac:dyDescent="0.25">
      <c r="B277" s="27" t="s">
        <v>123</v>
      </c>
      <c r="C277" s="28">
        <v>508347</v>
      </c>
      <c r="D277" s="28" t="s">
        <v>419</v>
      </c>
      <c r="E277" s="27" t="s">
        <v>32</v>
      </c>
      <c r="F277" s="27" t="s">
        <v>194</v>
      </c>
      <c r="G277" s="28" t="s">
        <v>66</v>
      </c>
      <c r="H277" s="28" t="s">
        <v>193</v>
      </c>
      <c r="I277" s="36">
        <v>19</v>
      </c>
      <c r="J277" s="27"/>
      <c r="K277" s="29"/>
      <c r="L277" s="29"/>
      <c r="M277" s="29"/>
      <c r="N277" s="29"/>
    </row>
    <row r="278" spans="2:14" x14ac:dyDescent="0.25">
      <c r="B278" s="27" t="s">
        <v>123</v>
      </c>
      <c r="C278" s="28">
        <v>545922</v>
      </c>
      <c r="D278" s="28" t="s">
        <v>420</v>
      </c>
      <c r="E278" s="27" t="s">
        <v>32</v>
      </c>
      <c r="F278" s="27" t="s">
        <v>194</v>
      </c>
      <c r="G278" s="28" t="s">
        <v>66</v>
      </c>
      <c r="H278" s="28" t="s">
        <v>193</v>
      </c>
      <c r="I278" s="36">
        <v>89</v>
      </c>
      <c r="J278" s="27"/>
      <c r="K278" s="29"/>
      <c r="L278" s="29"/>
      <c r="M278" s="29"/>
      <c r="N278" s="29"/>
    </row>
    <row r="279" spans="2:14" x14ac:dyDescent="0.25">
      <c r="B279" s="27" t="s">
        <v>123</v>
      </c>
      <c r="C279" s="28">
        <v>508356</v>
      </c>
      <c r="D279" s="28" t="s">
        <v>421</v>
      </c>
      <c r="E279" s="27" t="s">
        <v>32</v>
      </c>
      <c r="F279" s="27" t="s">
        <v>194</v>
      </c>
      <c r="G279" s="28" t="s">
        <v>66</v>
      </c>
      <c r="H279" s="28" t="s">
        <v>193</v>
      </c>
      <c r="I279" s="36">
        <v>29</v>
      </c>
      <c r="J279" s="27"/>
      <c r="K279" s="29"/>
      <c r="L279" s="29"/>
      <c r="M279" s="29"/>
      <c r="N279" s="29"/>
    </row>
    <row r="280" spans="2:14" x14ac:dyDescent="0.25">
      <c r="B280" s="27" t="s">
        <v>123</v>
      </c>
      <c r="C280" s="28">
        <v>508358</v>
      </c>
      <c r="D280" s="28" t="s">
        <v>422</v>
      </c>
      <c r="E280" s="27" t="s">
        <v>32</v>
      </c>
      <c r="F280" s="27" t="s">
        <v>194</v>
      </c>
      <c r="G280" s="28" t="s">
        <v>66</v>
      </c>
      <c r="H280" s="28" t="s">
        <v>193</v>
      </c>
      <c r="I280" s="36">
        <v>20</v>
      </c>
      <c r="J280" s="27"/>
      <c r="K280" s="29"/>
      <c r="L280" s="29"/>
      <c r="M280" s="29"/>
      <c r="N280" s="29"/>
    </row>
    <row r="281" spans="2:14" x14ac:dyDescent="0.25">
      <c r="B281" s="27" t="s">
        <v>123</v>
      </c>
      <c r="C281" s="28">
        <v>527362</v>
      </c>
      <c r="D281" s="28" t="s">
        <v>423</v>
      </c>
      <c r="E281" s="27" t="s">
        <v>32</v>
      </c>
      <c r="F281" s="27" t="s">
        <v>194</v>
      </c>
      <c r="G281" s="28" t="s">
        <v>66</v>
      </c>
      <c r="H281" s="28" t="s">
        <v>129</v>
      </c>
      <c r="I281" s="36">
        <v>3190</v>
      </c>
      <c r="J281" s="27"/>
      <c r="K281" s="29"/>
      <c r="L281" s="29"/>
      <c r="M281" s="29"/>
      <c r="N281" s="29"/>
    </row>
    <row r="282" spans="2:14" x14ac:dyDescent="0.25">
      <c r="B282" s="27" t="s">
        <v>123</v>
      </c>
      <c r="C282" s="28">
        <v>550261</v>
      </c>
      <c r="D282" s="28" t="s">
        <v>139</v>
      </c>
      <c r="E282" s="27" t="s">
        <v>32</v>
      </c>
      <c r="F282" s="27" t="s">
        <v>194</v>
      </c>
      <c r="G282" s="28" t="s">
        <v>66</v>
      </c>
      <c r="H282" s="28" t="s">
        <v>193</v>
      </c>
      <c r="I282" s="36">
        <v>14</v>
      </c>
      <c r="J282" s="27"/>
      <c r="K282" s="29"/>
      <c r="L282" s="29"/>
      <c r="M282" s="29"/>
      <c r="N282" s="29"/>
    </row>
    <row r="283" spans="2:14" x14ac:dyDescent="0.25">
      <c r="B283" s="27" t="s">
        <v>123</v>
      </c>
      <c r="C283" s="28">
        <v>550397</v>
      </c>
      <c r="D283" s="28" t="s">
        <v>138</v>
      </c>
      <c r="E283" s="27" t="s">
        <v>32</v>
      </c>
      <c r="F283" s="27" t="s">
        <v>194</v>
      </c>
      <c r="G283" s="28" t="s">
        <v>66</v>
      </c>
      <c r="H283" s="28" t="s">
        <v>193</v>
      </c>
      <c r="I283" s="36">
        <v>14</v>
      </c>
      <c r="J283" s="27"/>
      <c r="K283" s="29"/>
      <c r="L283" s="29"/>
      <c r="M283" s="29"/>
      <c r="N283" s="29"/>
    </row>
    <row r="284" spans="2:14" x14ac:dyDescent="0.25">
      <c r="B284" s="27" t="s">
        <v>123</v>
      </c>
      <c r="C284" s="28">
        <v>550263</v>
      </c>
      <c r="D284" s="28" t="s">
        <v>140</v>
      </c>
      <c r="E284" s="27" t="s">
        <v>32</v>
      </c>
      <c r="F284" s="27" t="s">
        <v>194</v>
      </c>
      <c r="G284" s="28" t="s">
        <v>66</v>
      </c>
      <c r="H284" s="28" t="s">
        <v>193</v>
      </c>
      <c r="I284" s="36">
        <v>16</v>
      </c>
      <c r="J284" s="27"/>
      <c r="K284" s="29"/>
      <c r="L284" s="29"/>
      <c r="M284" s="29"/>
      <c r="N284" s="29"/>
    </row>
    <row r="285" spans="2:14" x14ac:dyDescent="0.25">
      <c r="B285" s="27" t="s">
        <v>123</v>
      </c>
      <c r="C285" s="28">
        <v>550401</v>
      </c>
      <c r="D285" s="28" t="s">
        <v>141</v>
      </c>
      <c r="E285" s="27" t="s">
        <v>32</v>
      </c>
      <c r="F285" s="27" t="s">
        <v>194</v>
      </c>
      <c r="G285" s="28" t="s">
        <v>66</v>
      </c>
      <c r="H285" s="28" t="s">
        <v>193</v>
      </c>
      <c r="I285" s="36">
        <v>16</v>
      </c>
      <c r="J285" s="27"/>
      <c r="K285" s="29"/>
      <c r="L285" s="29"/>
      <c r="M285" s="29"/>
      <c r="N285" s="29"/>
    </row>
    <row r="286" spans="2:14" x14ac:dyDescent="0.25">
      <c r="B286" s="27" t="s">
        <v>123</v>
      </c>
      <c r="C286" s="28">
        <v>550400</v>
      </c>
      <c r="D286" s="28" t="s">
        <v>142</v>
      </c>
      <c r="E286" s="27" t="s">
        <v>32</v>
      </c>
      <c r="F286" s="27" t="s">
        <v>194</v>
      </c>
      <c r="G286" s="28" t="s">
        <v>66</v>
      </c>
      <c r="H286" s="28" t="s">
        <v>193</v>
      </c>
      <c r="I286" s="36">
        <v>16</v>
      </c>
      <c r="J286" s="27"/>
      <c r="K286" s="29"/>
      <c r="L286" s="29"/>
      <c r="M286" s="29"/>
      <c r="N286" s="29"/>
    </row>
    <row r="287" spans="2:14" x14ac:dyDescent="0.25">
      <c r="B287" s="27" t="s">
        <v>123</v>
      </c>
      <c r="C287" s="28">
        <v>550398</v>
      </c>
      <c r="D287" s="28" t="s">
        <v>143</v>
      </c>
      <c r="E287" s="27" t="s">
        <v>32</v>
      </c>
      <c r="F287" s="27" t="s">
        <v>194</v>
      </c>
      <c r="G287" s="28" t="s">
        <v>66</v>
      </c>
      <c r="H287" s="28" t="s">
        <v>193</v>
      </c>
      <c r="I287" s="36">
        <v>16</v>
      </c>
      <c r="J287" s="27"/>
      <c r="K287" s="29"/>
      <c r="L287" s="29"/>
      <c r="M287" s="29"/>
      <c r="N287" s="29"/>
    </row>
    <row r="288" spans="2:14" x14ac:dyDescent="0.25">
      <c r="B288" s="27" t="s">
        <v>123</v>
      </c>
      <c r="C288" s="28">
        <v>550399</v>
      </c>
      <c r="D288" s="28" t="s">
        <v>144</v>
      </c>
      <c r="E288" s="27" t="s">
        <v>32</v>
      </c>
      <c r="F288" s="27" t="s">
        <v>194</v>
      </c>
      <c r="G288" s="28" t="s">
        <v>66</v>
      </c>
      <c r="H288" s="28" t="s">
        <v>193</v>
      </c>
      <c r="I288" s="36">
        <v>16</v>
      </c>
      <c r="J288" s="27"/>
      <c r="K288" s="29"/>
      <c r="L288" s="29"/>
      <c r="M288" s="29"/>
      <c r="N288" s="29"/>
    </row>
    <row r="289" spans="2:14" x14ac:dyDescent="0.25">
      <c r="B289" s="27" t="s">
        <v>123</v>
      </c>
      <c r="C289" s="28">
        <v>550262</v>
      </c>
      <c r="D289" s="28" t="s">
        <v>145</v>
      </c>
      <c r="E289" s="27" t="s">
        <v>32</v>
      </c>
      <c r="F289" s="27" t="s">
        <v>194</v>
      </c>
      <c r="G289" s="28" t="s">
        <v>66</v>
      </c>
      <c r="H289" s="28" t="s">
        <v>193</v>
      </c>
      <c r="I289" s="36">
        <v>16</v>
      </c>
      <c r="J289" s="27"/>
      <c r="K289" s="29"/>
      <c r="L289" s="29"/>
      <c r="M289" s="29"/>
      <c r="N289" s="29"/>
    </row>
    <row r="290" spans="2:14" x14ac:dyDescent="0.25">
      <c r="B290" s="27" t="s">
        <v>123</v>
      </c>
      <c r="C290" s="28">
        <v>523907</v>
      </c>
      <c r="D290" s="28" t="s">
        <v>424</v>
      </c>
      <c r="E290" s="27" t="s">
        <v>32</v>
      </c>
      <c r="F290" s="27" t="s">
        <v>194</v>
      </c>
      <c r="G290" s="28" t="s">
        <v>66</v>
      </c>
      <c r="H290" s="28" t="s">
        <v>193</v>
      </c>
      <c r="I290" s="36">
        <v>39</v>
      </c>
      <c r="J290" s="27"/>
      <c r="K290" s="29"/>
      <c r="L290" s="29"/>
      <c r="M290" s="29"/>
      <c r="N290" s="29"/>
    </row>
    <row r="291" spans="2:14" x14ac:dyDescent="0.25">
      <c r="B291" s="27" t="s">
        <v>123</v>
      </c>
      <c r="C291" s="28">
        <v>523906</v>
      </c>
      <c r="D291" s="28" t="s">
        <v>147</v>
      </c>
      <c r="E291" s="27" t="s">
        <v>32</v>
      </c>
      <c r="F291" s="27" t="s">
        <v>194</v>
      </c>
      <c r="G291" s="28" t="s">
        <v>66</v>
      </c>
      <c r="H291" s="28" t="s">
        <v>193</v>
      </c>
      <c r="I291" s="36">
        <v>25</v>
      </c>
      <c r="J291" s="27"/>
      <c r="K291" s="29"/>
      <c r="L291" s="29"/>
      <c r="M291" s="29"/>
      <c r="N291" s="29"/>
    </row>
    <row r="292" spans="2:14" x14ac:dyDescent="0.25">
      <c r="B292" s="27" t="s">
        <v>123</v>
      </c>
      <c r="C292" s="28">
        <v>523924</v>
      </c>
      <c r="D292" s="28" t="s">
        <v>425</v>
      </c>
      <c r="E292" s="27" t="s">
        <v>32</v>
      </c>
      <c r="F292" s="27" t="s">
        <v>194</v>
      </c>
      <c r="G292" s="28" t="s">
        <v>66</v>
      </c>
      <c r="H292" s="28" t="s">
        <v>193</v>
      </c>
      <c r="I292" s="36">
        <v>229</v>
      </c>
      <c r="J292" s="27"/>
      <c r="K292" s="29"/>
      <c r="L292" s="29"/>
      <c r="M292" s="29"/>
      <c r="N292" s="29"/>
    </row>
    <row r="293" spans="2:14" x14ac:dyDescent="0.25">
      <c r="B293" s="27" t="s">
        <v>123</v>
      </c>
      <c r="C293" s="28">
        <v>551726</v>
      </c>
      <c r="D293" s="28" t="s">
        <v>426</v>
      </c>
      <c r="E293" s="27" t="s">
        <v>32</v>
      </c>
      <c r="F293" s="27" t="s">
        <v>194</v>
      </c>
      <c r="G293" s="28" t="s">
        <v>66</v>
      </c>
      <c r="H293" s="28" t="s">
        <v>193</v>
      </c>
      <c r="I293" s="36">
        <v>49</v>
      </c>
      <c r="J293" s="27"/>
      <c r="K293" s="29"/>
      <c r="L293" s="29"/>
      <c r="M293" s="29"/>
      <c r="N293" s="29"/>
    </row>
    <row r="294" spans="2:14" x14ac:dyDescent="0.25">
      <c r="B294" s="27" t="s">
        <v>123</v>
      </c>
      <c r="C294" s="28">
        <v>545883</v>
      </c>
      <c r="D294" s="28" t="s">
        <v>427</v>
      </c>
      <c r="E294" s="27" t="s">
        <v>32</v>
      </c>
      <c r="F294" s="27" t="s">
        <v>194</v>
      </c>
      <c r="G294" s="28" t="s">
        <v>66</v>
      </c>
      <c r="H294" s="28" t="s">
        <v>193</v>
      </c>
      <c r="I294" s="36">
        <v>99</v>
      </c>
      <c r="J294" s="27"/>
      <c r="K294" s="29"/>
      <c r="L294" s="29"/>
      <c r="M294" s="29"/>
      <c r="N294" s="29"/>
    </row>
    <row r="295" spans="2:14" x14ac:dyDescent="0.25">
      <c r="B295" s="27" t="s">
        <v>123</v>
      </c>
      <c r="C295" s="28">
        <v>558801</v>
      </c>
      <c r="D295" s="28" t="s">
        <v>428</v>
      </c>
      <c r="E295" s="27" t="s">
        <v>32</v>
      </c>
      <c r="F295" s="27" t="s">
        <v>194</v>
      </c>
      <c r="G295" s="28" t="s">
        <v>66</v>
      </c>
      <c r="H295" s="28" t="s">
        <v>193</v>
      </c>
      <c r="I295" s="36">
        <v>239</v>
      </c>
      <c r="J295" s="27"/>
      <c r="K295" s="29"/>
      <c r="L295" s="29"/>
      <c r="M295" s="29"/>
      <c r="N295" s="29"/>
    </row>
    <row r="296" spans="2:14" x14ac:dyDescent="0.25">
      <c r="B296" s="27" t="s">
        <v>123</v>
      </c>
      <c r="C296" s="28">
        <v>545884</v>
      </c>
      <c r="D296" s="28" t="s">
        <v>429</v>
      </c>
      <c r="E296" s="27" t="s">
        <v>32</v>
      </c>
      <c r="F296" s="27" t="s">
        <v>194</v>
      </c>
      <c r="G296" s="28" t="s">
        <v>66</v>
      </c>
      <c r="H296" s="28" t="s">
        <v>193</v>
      </c>
      <c r="I296" s="36">
        <v>77</v>
      </c>
      <c r="J296" s="27"/>
      <c r="K296" s="29"/>
      <c r="L296" s="29"/>
      <c r="M296" s="29"/>
      <c r="N296" s="29"/>
    </row>
    <row r="297" spans="2:14" x14ac:dyDescent="0.25">
      <c r="B297" s="27" t="s">
        <v>123</v>
      </c>
      <c r="C297" s="28">
        <v>525423</v>
      </c>
      <c r="D297" s="28" t="s">
        <v>430</v>
      </c>
      <c r="E297" s="27" t="s">
        <v>32</v>
      </c>
      <c r="F297" s="27" t="s">
        <v>194</v>
      </c>
      <c r="G297" s="28" t="s">
        <v>66</v>
      </c>
      <c r="H297" s="28" t="s">
        <v>193</v>
      </c>
      <c r="I297" s="36">
        <v>18</v>
      </c>
      <c r="J297" s="27"/>
      <c r="K297" s="29"/>
      <c r="L297" s="29"/>
      <c r="M297" s="29"/>
      <c r="N297" s="29"/>
    </row>
    <row r="298" spans="2:14" x14ac:dyDescent="0.25">
      <c r="B298" s="27" t="s">
        <v>123</v>
      </c>
      <c r="C298" s="28">
        <v>506697</v>
      </c>
      <c r="D298" s="28" t="s">
        <v>146</v>
      </c>
      <c r="E298" s="27" t="s">
        <v>32</v>
      </c>
      <c r="F298" s="27" t="s">
        <v>194</v>
      </c>
      <c r="G298" s="28" t="s">
        <v>66</v>
      </c>
      <c r="H298" s="28" t="s">
        <v>193</v>
      </c>
      <c r="I298" s="36">
        <v>69</v>
      </c>
      <c r="J298" s="27"/>
      <c r="K298" s="29"/>
      <c r="L298" s="29"/>
      <c r="M298" s="29"/>
      <c r="N298" s="29"/>
    </row>
    <row r="299" spans="2:14" x14ac:dyDescent="0.25">
      <c r="B299" s="27" t="s">
        <v>123</v>
      </c>
      <c r="C299" s="28">
        <v>498692</v>
      </c>
      <c r="D299" s="28" t="s">
        <v>431</v>
      </c>
      <c r="E299" s="27" t="s">
        <v>32</v>
      </c>
      <c r="F299" s="27" t="s">
        <v>194</v>
      </c>
      <c r="G299" s="28" t="s">
        <v>66</v>
      </c>
      <c r="H299" s="28" t="s">
        <v>193</v>
      </c>
      <c r="I299" s="36">
        <v>59</v>
      </c>
      <c r="J299" s="27"/>
      <c r="K299" s="29"/>
      <c r="L299" s="29"/>
      <c r="M299" s="29"/>
      <c r="N299" s="29"/>
    </row>
    <row r="300" spans="2:14" x14ac:dyDescent="0.25">
      <c r="B300" s="27" t="s">
        <v>123</v>
      </c>
      <c r="C300" s="28">
        <v>549193</v>
      </c>
      <c r="D300" s="28" t="s">
        <v>432</v>
      </c>
      <c r="E300" s="27" t="s">
        <v>32</v>
      </c>
      <c r="F300" s="27" t="s">
        <v>194</v>
      </c>
      <c r="G300" s="28" t="s">
        <v>66</v>
      </c>
      <c r="H300" s="28" t="s">
        <v>193</v>
      </c>
      <c r="I300" s="36">
        <v>29</v>
      </c>
      <c r="J300" s="27"/>
      <c r="K300" s="29"/>
      <c r="L300" s="29"/>
      <c r="M300" s="29"/>
      <c r="N300" s="29"/>
    </row>
    <row r="301" spans="2:14" x14ac:dyDescent="0.25">
      <c r="B301" s="27" t="s">
        <v>123</v>
      </c>
      <c r="C301" s="28">
        <v>548897</v>
      </c>
      <c r="D301" s="28" t="s">
        <v>433</v>
      </c>
      <c r="E301" s="27" t="s">
        <v>32</v>
      </c>
      <c r="F301" s="27" t="s">
        <v>194</v>
      </c>
      <c r="G301" s="28" t="s">
        <v>66</v>
      </c>
      <c r="H301" s="28" t="s">
        <v>193</v>
      </c>
      <c r="I301" s="36">
        <v>29</v>
      </c>
      <c r="J301" s="27"/>
      <c r="K301" s="29"/>
      <c r="L301" s="29"/>
      <c r="M301" s="29"/>
      <c r="N301" s="29"/>
    </row>
    <row r="302" spans="2:14" x14ac:dyDescent="0.25">
      <c r="B302" s="27" t="s">
        <v>123</v>
      </c>
      <c r="C302" s="28">
        <v>536983</v>
      </c>
      <c r="D302" s="28" t="s">
        <v>157</v>
      </c>
      <c r="E302" s="27" t="s">
        <v>32</v>
      </c>
      <c r="F302" s="27" t="s">
        <v>194</v>
      </c>
      <c r="G302" s="28" t="s">
        <v>66</v>
      </c>
      <c r="H302" s="28" t="s">
        <v>193</v>
      </c>
      <c r="I302" s="36">
        <v>49</v>
      </c>
      <c r="J302" s="27"/>
      <c r="K302" s="29"/>
      <c r="L302" s="29"/>
      <c r="M302" s="29"/>
      <c r="N302" s="29"/>
    </row>
    <row r="303" spans="2:14" x14ac:dyDescent="0.25">
      <c r="B303" s="27" t="s">
        <v>123</v>
      </c>
      <c r="C303" s="28">
        <v>552735</v>
      </c>
      <c r="D303" s="28" t="s">
        <v>434</v>
      </c>
      <c r="E303" s="27" t="s">
        <v>32</v>
      </c>
      <c r="F303" s="27" t="s">
        <v>194</v>
      </c>
      <c r="G303" s="28" t="s">
        <v>66</v>
      </c>
      <c r="H303" s="28" t="s">
        <v>193</v>
      </c>
      <c r="I303" s="36">
        <v>99</v>
      </c>
      <c r="J303" s="27"/>
      <c r="K303" s="29"/>
      <c r="L303" s="29"/>
      <c r="M303" s="29"/>
      <c r="N303" s="29"/>
    </row>
    <row r="304" spans="2:14" x14ac:dyDescent="0.25">
      <c r="B304" s="27" t="s">
        <v>123</v>
      </c>
      <c r="C304" s="28">
        <v>530410</v>
      </c>
      <c r="D304" s="28" t="s">
        <v>435</v>
      </c>
      <c r="E304" s="27" t="s">
        <v>32</v>
      </c>
      <c r="F304" s="27" t="s">
        <v>194</v>
      </c>
      <c r="G304" s="28" t="s">
        <v>66</v>
      </c>
      <c r="H304" s="28" t="s">
        <v>193</v>
      </c>
      <c r="I304" s="36">
        <v>126</v>
      </c>
      <c r="J304" s="27"/>
      <c r="K304" s="29"/>
      <c r="L304" s="29"/>
      <c r="M304" s="29"/>
      <c r="N304" s="29"/>
    </row>
    <row r="305" spans="2:14" x14ac:dyDescent="0.25">
      <c r="B305" s="27" t="s">
        <v>123</v>
      </c>
      <c r="C305" s="28">
        <v>530411</v>
      </c>
      <c r="D305" s="28" t="s">
        <v>436</v>
      </c>
      <c r="E305" s="27" t="s">
        <v>32</v>
      </c>
      <c r="F305" s="27" t="s">
        <v>194</v>
      </c>
      <c r="G305" s="28" t="s">
        <v>66</v>
      </c>
      <c r="H305" s="28" t="s">
        <v>193</v>
      </c>
      <c r="I305" s="36">
        <v>126</v>
      </c>
      <c r="J305" s="27"/>
      <c r="K305" s="29"/>
      <c r="L305" s="29"/>
      <c r="M305" s="29"/>
      <c r="N305" s="29"/>
    </row>
    <row r="306" spans="2:14" x14ac:dyDescent="0.25">
      <c r="B306" s="27" t="s">
        <v>123</v>
      </c>
      <c r="C306" s="28">
        <v>552737</v>
      </c>
      <c r="D306" s="28" t="s">
        <v>437</v>
      </c>
      <c r="E306" s="27" t="s">
        <v>32</v>
      </c>
      <c r="F306" s="27" t="s">
        <v>194</v>
      </c>
      <c r="G306" s="28" t="s">
        <v>66</v>
      </c>
      <c r="H306" s="28" t="s">
        <v>193</v>
      </c>
      <c r="I306" s="36">
        <v>29</v>
      </c>
      <c r="J306" s="27"/>
      <c r="K306" s="29"/>
      <c r="L306" s="29"/>
      <c r="M306" s="29"/>
      <c r="N306" s="29"/>
    </row>
    <row r="307" spans="2:14" x14ac:dyDescent="0.25">
      <c r="B307" s="27" t="s">
        <v>123</v>
      </c>
      <c r="C307" s="28">
        <v>479870</v>
      </c>
      <c r="D307" s="28" t="s">
        <v>438</v>
      </c>
      <c r="E307" s="27" t="s">
        <v>32</v>
      </c>
      <c r="F307" s="27" t="s">
        <v>194</v>
      </c>
      <c r="G307" s="28" t="s">
        <v>66</v>
      </c>
      <c r="H307" s="28" t="s">
        <v>193</v>
      </c>
      <c r="I307" s="36">
        <v>95</v>
      </c>
      <c r="J307" s="27"/>
      <c r="K307" s="29"/>
      <c r="L307" s="29"/>
      <c r="M307" s="29"/>
      <c r="N307" s="29"/>
    </row>
    <row r="308" spans="2:14" x14ac:dyDescent="0.25">
      <c r="B308" s="27" t="s">
        <v>123</v>
      </c>
      <c r="C308" s="28">
        <v>565224</v>
      </c>
      <c r="D308" s="28" t="s">
        <v>152</v>
      </c>
      <c r="E308" s="27" t="s">
        <v>32</v>
      </c>
      <c r="F308" s="27" t="s">
        <v>194</v>
      </c>
      <c r="G308" s="28" t="s">
        <v>66</v>
      </c>
      <c r="H308" s="28" t="s">
        <v>193</v>
      </c>
      <c r="I308" s="36">
        <v>185</v>
      </c>
      <c r="J308" s="27"/>
      <c r="K308" s="29"/>
      <c r="L308" s="29"/>
      <c r="M308" s="29"/>
      <c r="N308" s="29"/>
    </row>
    <row r="309" spans="2:14" x14ac:dyDescent="0.25">
      <c r="B309" s="27" t="s">
        <v>123</v>
      </c>
      <c r="C309" s="28">
        <v>473747</v>
      </c>
      <c r="D309" s="28" t="s">
        <v>439</v>
      </c>
      <c r="E309" s="27" t="s">
        <v>32</v>
      </c>
      <c r="F309" s="27" t="s">
        <v>194</v>
      </c>
      <c r="G309" s="28" t="s">
        <v>66</v>
      </c>
      <c r="H309" s="28" t="s">
        <v>193</v>
      </c>
      <c r="I309" s="36">
        <v>285</v>
      </c>
      <c r="J309" s="27"/>
      <c r="K309" s="29"/>
      <c r="L309" s="29"/>
      <c r="M309" s="29"/>
      <c r="N309" s="29"/>
    </row>
    <row r="310" spans="2:14" x14ac:dyDescent="0.25">
      <c r="B310" s="27" t="s">
        <v>123</v>
      </c>
      <c r="C310" s="28">
        <v>519316</v>
      </c>
      <c r="D310" s="28" t="s">
        <v>440</v>
      </c>
      <c r="E310" s="27" t="s">
        <v>32</v>
      </c>
      <c r="F310" s="27" t="s">
        <v>194</v>
      </c>
      <c r="G310" s="28" t="s">
        <v>66</v>
      </c>
      <c r="H310" s="28" t="s">
        <v>193</v>
      </c>
      <c r="I310" s="36">
        <v>59</v>
      </c>
      <c r="J310" s="27"/>
      <c r="K310" s="29"/>
      <c r="L310" s="29"/>
      <c r="M310" s="29"/>
      <c r="N310" s="29"/>
    </row>
    <row r="311" spans="2:14" x14ac:dyDescent="0.25">
      <c r="B311" s="27" t="s">
        <v>123</v>
      </c>
      <c r="C311" s="28">
        <v>519315</v>
      </c>
      <c r="D311" s="28" t="s">
        <v>441</v>
      </c>
      <c r="E311" s="27" t="s">
        <v>32</v>
      </c>
      <c r="F311" s="27" t="s">
        <v>194</v>
      </c>
      <c r="G311" s="28" t="s">
        <v>66</v>
      </c>
      <c r="H311" s="28" t="s">
        <v>193</v>
      </c>
      <c r="I311" s="36">
        <v>59</v>
      </c>
      <c r="J311" s="27"/>
      <c r="K311" s="29"/>
      <c r="L311" s="29"/>
      <c r="M311" s="29"/>
      <c r="N311" s="29"/>
    </row>
    <row r="312" spans="2:14" x14ac:dyDescent="0.25">
      <c r="B312" s="27" t="s">
        <v>123</v>
      </c>
      <c r="C312" s="28">
        <v>519314</v>
      </c>
      <c r="D312" s="28" t="s">
        <v>442</v>
      </c>
      <c r="E312" s="27" t="s">
        <v>32</v>
      </c>
      <c r="F312" s="27" t="s">
        <v>194</v>
      </c>
      <c r="G312" s="28" t="s">
        <v>66</v>
      </c>
      <c r="H312" s="28" t="s">
        <v>193</v>
      </c>
      <c r="I312" s="36">
        <v>59</v>
      </c>
      <c r="J312" s="27"/>
      <c r="K312" s="29"/>
      <c r="L312" s="29"/>
      <c r="M312" s="29"/>
      <c r="N312" s="29"/>
    </row>
    <row r="313" spans="2:14" x14ac:dyDescent="0.25">
      <c r="B313" s="27" t="s">
        <v>123</v>
      </c>
      <c r="C313" s="28">
        <v>557079</v>
      </c>
      <c r="D313" s="28" t="s">
        <v>443</v>
      </c>
      <c r="E313" s="27" t="s">
        <v>32</v>
      </c>
      <c r="F313" s="27" t="s">
        <v>194</v>
      </c>
      <c r="G313" s="28" t="s">
        <v>66</v>
      </c>
      <c r="H313" s="28" t="s">
        <v>193</v>
      </c>
      <c r="I313" s="36">
        <v>279</v>
      </c>
      <c r="J313" s="27"/>
      <c r="K313" s="29"/>
      <c r="L313" s="29"/>
      <c r="M313" s="29"/>
      <c r="N313" s="29"/>
    </row>
    <row r="314" spans="2:14" x14ac:dyDescent="0.25">
      <c r="B314" s="27" t="s">
        <v>123</v>
      </c>
      <c r="C314" s="28">
        <v>557078</v>
      </c>
      <c r="D314" s="28" t="s">
        <v>444</v>
      </c>
      <c r="E314" s="27" t="s">
        <v>32</v>
      </c>
      <c r="F314" s="27" t="s">
        <v>194</v>
      </c>
      <c r="G314" s="28" t="s">
        <v>66</v>
      </c>
      <c r="H314" s="28" t="s">
        <v>193</v>
      </c>
      <c r="I314" s="36">
        <v>389</v>
      </c>
      <c r="J314" s="27"/>
      <c r="K314" s="29"/>
      <c r="L314" s="29"/>
      <c r="M314" s="29"/>
      <c r="N314" s="29"/>
    </row>
    <row r="315" spans="2:14" x14ac:dyDescent="0.25">
      <c r="B315" s="27" t="s">
        <v>123</v>
      </c>
      <c r="C315" s="28">
        <v>565228</v>
      </c>
      <c r="D315" s="28" t="s">
        <v>445</v>
      </c>
      <c r="E315" s="27" t="s">
        <v>32</v>
      </c>
      <c r="F315" s="27" t="s">
        <v>194</v>
      </c>
      <c r="G315" s="28" t="s">
        <v>66</v>
      </c>
      <c r="H315" s="28" t="s">
        <v>193</v>
      </c>
      <c r="I315" s="36">
        <v>639</v>
      </c>
      <c r="J315" s="27"/>
      <c r="K315" s="29"/>
      <c r="L315" s="29"/>
      <c r="M315" s="29"/>
      <c r="N315" s="29"/>
    </row>
    <row r="316" spans="2:14" x14ac:dyDescent="0.25">
      <c r="B316" s="27" t="s">
        <v>123</v>
      </c>
      <c r="C316" s="28">
        <v>543881</v>
      </c>
      <c r="D316" s="28" t="s">
        <v>154</v>
      </c>
      <c r="E316" s="27" t="s">
        <v>32</v>
      </c>
      <c r="F316" s="27" t="s">
        <v>194</v>
      </c>
      <c r="G316" s="28" t="s">
        <v>66</v>
      </c>
      <c r="H316" s="28" t="s">
        <v>193</v>
      </c>
      <c r="I316" s="36">
        <v>395</v>
      </c>
      <c r="J316" s="27"/>
      <c r="K316" s="29"/>
      <c r="L316" s="29"/>
      <c r="M316" s="29"/>
      <c r="N316" s="29"/>
    </row>
    <row r="317" spans="2:14" x14ac:dyDescent="0.25">
      <c r="B317" s="27" t="s">
        <v>123</v>
      </c>
      <c r="C317" s="28">
        <v>497005</v>
      </c>
      <c r="D317" s="28" t="s">
        <v>446</v>
      </c>
      <c r="E317" s="27" t="s">
        <v>32</v>
      </c>
      <c r="F317" s="27" t="s">
        <v>194</v>
      </c>
      <c r="G317" s="28" t="s">
        <v>66</v>
      </c>
      <c r="H317" s="28" t="s">
        <v>193</v>
      </c>
      <c r="I317" s="36">
        <v>34</v>
      </c>
      <c r="J317" s="27"/>
      <c r="K317" s="29"/>
      <c r="L317" s="29"/>
      <c r="M317" s="29"/>
      <c r="N317" s="29"/>
    </row>
    <row r="318" spans="2:14" x14ac:dyDescent="0.25">
      <c r="B318" s="27" t="s">
        <v>123</v>
      </c>
      <c r="C318" s="28">
        <v>562809</v>
      </c>
      <c r="D318" s="28" t="s">
        <v>447</v>
      </c>
      <c r="E318" s="27" t="s">
        <v>32</v>
      </c>
      <c r="F318" s="27" t="s">
        <v>194</v>
      </c>
      <c r="G318" s="28" t="s">
        <v>66</v>
      </c>
      <c r="H318" s="28" t="s">
        <v>193</v>
      </c>
      <c r="I318" s="36">
        <v>34</v>
      </c>
      <c r="J318" s="27"/>
      <c r="K318" s="29"/>
      <c r="L318" s="29"/>
      <c r="M318" s="29"/>
      <c r="N318" s="29"/>
    </row>
    <row r="319" spans="2:14" x14ac:dyDescent="0.25">
      <c r="B319" s="27" t="s">
        <v>123</v>
      </c>
      <c r="C319" s="28">
        <v>562811</v>
      </c>
      <c r="D319" s="28" t="s">
        <v>448</v>
      </c>
      <c r="E319" s="27" t="s">
        <v>32</v>
      </c>
      <c r="F319" s="27" t="s">
        <v>194</v>
      </c>
      <c r="G319" s="28" t="s">
        <v>66</v>
      </c>
      <c r="H319" s="28" t="s">
        <v>193</v>
      </c>
      <c r="I319" s="36">
        <v>34</v>
      </c>
      <c r="J319" s="27"/>
      <c r="K319" s="29"/>
      <c r="L319" s="29"/>
      <c r="M319" s="29"/>
      <c r="N319" s="29"/>
    </row>
    <row r="320" spans="2:14" x14ac:dyDescent="0.25">
      <c r="B320" s="27" t="s">
        <v>123</v>
      </c>
      <c r="C320" s="28">
        <v>525538</v>
      </c>
      <c r="D320" s="28" t="s">
        <v>449</v>
      </c>
      <c r="E320" s="27" t="s">
        <v>32</v>
      </c>
      <c r="F320" s="27" t="s">
        <v>194</v>
      </c>
      <c r="G320" s="28" t="s">
        <v>66</v>
      </c>
      <c r="H320" s="28" t="s">
        <v>193</v>
      </c>
      <c r="I320" s="36">
        <v>149</v>
      </c>
      <c r="J320" s="27"/>
      <c r="K320" s="29"/>
      <c r="L320" s="29"/>
      <c r="M320" s="29"/>
      <c r="N320" s="29"/>
    </row>
    <row r="321" spans="2:14" x14ac:dyDescent="0.25">
      <c r="B321" s="27" t="s">
        <v>123</v>
      </c>
      <c r="C321" s="28">
        <v>550588</v>
      </c>
      <c r="D321" s="28" t="s">
        <v>450</v>
      </c>
      <c r="E321" s="27" t="s">
        <v>32</v>
      </c>
      <c r="F321" s="27" t="s">
        <v>194</v>
      </c>
      <c r="G321" s="28" t="s">
        <v>66</v>
      </c>
      <c r="H321" s="28" t="s">
        <v>193</v>
      </c>
      <c r="I321" s="36">
        <v>149</v>
      </c>
      <c r="J321" s="27"/>
      <c r="K321" s="29"/>
      <c r="L321" s="29"/>
      <c r="M321" s="29"/>
      <c r="N321" s="29"/>
    </row>
    <row r="322" spans="2:14" x14ac:dyDescent="0.25">
      <c r="B322" s="27" t="s">
        <v>123</v>
      </c>
      <c r="C322" s="28">
        <v>554008</v>
      </c>
      <c r="D322" s="28" t="s">
        <v>451</v>
      </c>
      <c r="E322" s="27" t="s">
        <v>32</v>
      </c>
      <c r="F322" s="27" t="s">
        <v>194</v>
      </c>
      <c r="G322" s="28" t="s">
        <v>66</v>
      </c>
      <c r="H322" s="28" t="s">
        <v>193</v>
      </c>
      <c r="I322" s="36">
        <v>329</v>
      </c>
      <c r="J322" s="27"/>
      <c r="K322" s="29"/>
      <c r="L322" s="29"/>
      <c r="M322" s="29"/>
      <c r="N322" s="29"/>
    </row>
    <row r="323" spans="2:14" x14ac:dyDescent="0.25">
      <c r="B323" s="27" t="s">
        <v>123</v>
      </c>
      <c r="C323" s="28">
        <v>506385</v>
      </c>
      <c r="D323" s="28" t="s">
        <v>452</v>
      </c>
      <c r="E323" s="27" t="s">
        <v>32</v>
      </c>
      <c r="F323" s="27" t="s">
        <v>194</v>
      </c>
      <c r="G323" s="28" t="s">
        <v>66</v>
      </c>
      <c r="H323" s="28" t="s">
        <v>193</v>
      </c>
      <c r="I323" s="36">
        <v>19</v>
      </c>
      <c r="J323" s="27"/>
      <c r="K323" s="29"/>
      <c r="L323" s="29"/>
      <c r="M323" s="29"/>
      <c r="N323" s="29"/>
    </row>
    <row r="324" spans="2:14" x14ac:dyDescent="0.25">
      <c r="B324" s="27" t="s">
        <v>123</v>
      </c>
      <c r="C324" s="28">
        <v>564504</v>
      </c>
      <c r="D324" s="28" t="s">
        <v>155</v>
      </c>
      <c r="E324" s="27" t="s">
        <v>32</v>
      </c>
      <c r="F324" s="27" t="s">
        <v>194</v>
      </c>
      <c r="G324" s="28" t="s">
        <v>66</v>
      </c>
      <c r="H324" s="28" t="s">
        <v>193</v>
      </c>
      <c r="I324" s="36">
        <v>1049</v>
      </c>
      <c r="J324" s="27"/>
      <c r="K324" s="29"/>
      <c r="L324" s="29"/>
      <c r="M324" s="29"/>
      <c r="N324" s="29"/>
    </row>
    <row r="325" spans="2:14" x14ac:dyDescent="0.25">
      <c r="B325" s="27" t="s">
        <v>123</v>
      </c>
      <c r="C325" s="28">
        <v>563126</v>
      </c>
      <c r="D325" s="28" t="s">
        <v>156</v>
      </c>
      <c r="E325" s="27" t="s">
        <v>32</v>
      </c>
      <c r="F325" s="27" t="s">
        <v>194</v>
      </c>
      <c r="G325" s="28" t="s">
        <v>66</v>
      </c>
      <c r="H325" s="28" t="s">
        <v>193</v>
      </c>
      <c r="I325" s="36">
        <v>1119</v>
      </c>
      <c r="J325" s="27"/>
      <c r="K325" s="29"/>
      <c r="L325" s="29"/>
      <c r="M325" s="29"/>
      <c r="N325" s="29"/>
    </row>
    <row r="326" spans="2:14" x14ac:dyDescent="0.25">
      <c r="B326" s="27" t="s">
        <v>123</v>
      </c>
      <c r="C326" s="28">
        <v>535297</v>
      </c>
      <c r="D326" s="28" t="s">
        <v>453</v>
      </c>
      <c r="E326" s="27" t="s">
        <v>32</v>
      </c>
      <c r="F326" s="27" t="s">
        <v>194</v>
      </c>
      <c r="G326" s="28" t="s">
        <v>66</v>
      </c>
      <c r="H326" s="28" t="s">
        <v>193</v>
      </c>
      <c r="I326" s="36">
        <v>45</v>
      </c>
      <c r="J326" s="27"/>
      <c r="K326" s="29"/>
      <c r="L326" s="29"/>
      <c r="M326" s="29"/>
      <c r="N326" s="29"/>
    </row>
    <row r="327" spans="2:14" x14ac:dyDescent="0.25">
      <c r="B327" s="27" t="s">
        <v>123</v>
      </c>
      <c r="C327" s="28">
        <v>535296</v>
      </c>
      <c r="D327" s="28" t="s">
        <v>454</v>
      </c>
      <c r="E327" s="27" t="s">
        <v>32</v>
      </c>
      <c r="F327" s="27" t="s">
        <v>194</v>
      </c>
      <c r="G327" s="28" t="s">
        <v>66</v>
      </c>
      <c r="H327" s="28" t="s">
        <v>193</v>
      </c>
      <c r="I327" s="36">
        <v>99</v>
      </c>
      <c r="J327" s="27"/>
      <c r="K327" s="29"/>
      <c r="L327" s="29"/>
      <c r="M327" s="29"/>
      <c r="N327" s="29"/>
    </row>
    <row r="328" spans="2:14" x14ac:dyDescent="0.25">
      <c r="B328" s="27" t="s">
        <v>123</v>
      </c>
      <c r="C328" s="28">
        <v>550586</v>
      </c>
      <c r="D328" s="28" t="s">
        <v>150</v>
      </c>
      <c r="E328" s="27" t="s">
        <v>32</v>
      </c>
      <c r="F328" s="27" t="s">
        <v>194</v>
      </c>
      <c r="G328" s="28" t="s">
        <v>66</v>
      </c>
      <c r="H328" s="28" t="s">
        <v>193</v>
      </c>
      <c r="I328" s="36">
        <v>929</v>
      </c>
      <c r="J328" s="27"/>
      <c r="K328" s="29"/>
      <c r="L328" s="29"/>
      <c r="M328" s="29"/>
      <c r="N328" s="29"/>
    </row>
    <row r="329" spans="2:14" x14ac:dyDescent="0.25">
      <c r="B329" s="27" t="s">
        <v>123</v>
      </c>
      <c r="C329" s="28">
        <v>557991</v>
      </c>
      <c r="D329" s="28" t="s">
        <v>149</v>
      </c>
      <c r="E329" s="27" t="s">
        <v>32</v>
      </c>
      <c r="F329" s="27" t="s">
        <v>194</v>
      </c>
      <c r="G329" s="28" t="s">
        <v>66</v>
      </c>
      <c r="H329" s="28" t="s">
        <v>193</v>
      </c>
      <c r="I329" s="36">
        <v>929</v>
      </c>
      <c r="J329" s="27"/>
      <c r="K329" s="29"/>
      <c r="L329" s="29"/>
      <c r="M329" s="29"/>
      <c r="N329" s="29"/>
    </row>
    <row r="330" spans="2:14" x14ac:dyDescent="0.25">
      <c r="B330" s="27" t="s">
        <v>123</v>
      </c>
      <c r="C330" s="28">
        <v>561576</v>
      </c>
      <c r="D330" s="28" t="s">
        <v>455</v>
      </c>
      <c r="E330" s="27" t="s">
        <v>32</v>
      </c>
      <c r="F330" s="27" t="s">
        <v>194</v>
      </c>
      <c r="G330" s="28" t="s">
        <v>66</v>
      </c>
      <c r="H330" s="28" t="s">
        <v>193</v>
      </c>
      <c r="I330" s="36">
        <v>819</v>
      </c>
      <c r="J330" s="27"/>
      <c r="K330" s="29"/>
      <c r="L330" s="29"/>
      <c r="M330" s="29"/>
      <c r="N330" s="29"/>
    </row>
    <row r="331" spans="2:14" x14ac:dyDescent="0.25">
      <c r="B331" s="27" t="s">
        <v>123</v>
      </c>
      <c r="C331" s="28">
        <v>545123</v>
      </c>
      <c r="D331" s="28" t="s">
        <v>456</v>
      </c>
      <c r="E331" s="27" t="s">
        <v>32</v>
      </c>
      <c r="F331" s="27" t="s">
        <v>194</v>
      </c>
      <c r="G331" s="28" t="s">
        <v>66</v>
      </c>
      <c r="H331" s="28" t="s">
        <v>193</v>
      </c>
      <c r="I331" s="36">
        <v>709</v>
      </c>
      <c r="J331" s="27"/>
      <c r="K331" s="29"/>
      <c r="L331" s="29"/>
      <c r="M331" s="29"/>
      <c r="N331" s="29"/>
    </row>
    <row r="332" spans="2:14" x14ac:dyDescent="0.25">
      <c r="B332" s="27" t="s">
        <v>123</v>
      </c>
      <c r="C332" s="28">
        <v>552628</v>
      </c>
      <c r="D332" s="28" t="s">
        <v>457</v>
      </c>
      <c r="E332" s="27" t="s">
        <v>32</v>
      </c>
      <c r="F332" s="27" t="s">
        <v>194</v>
      </c>
      <c r="G332" s="28" t="s">
        <v>66</v>
      </c>
      <c r="H332" s="28" t="s">
        <v>193</v>
      </c>
      <c r="I332" s="36">
        <v>929</v>
      </c>
      <c r="J332" s="27"/>
      <c r="K332" s="29"/>
      <c r="L332" s="29"/>
      <c r="M332" s="29"/>
      <c r="N332" s="29"/>
    </row>
    <row r="333" spans="2:14" x14ac:dyDescent="0.25">
      <c r="B333" s="27" t="s">
        <v>123</v>
      </c>
      <c r="C333" s="28">
        <v>535298</v>
      </c>
      <c r="D333" s="28" t="s">
        <v>458</v>
      </c>
      <c r="E333" s="27" t="s">
        <v>32</v>
      </c>
      <c r="F333" s="27" t="s">
        <v>194</v>
      </c>
      <c r="G333" s="28" t="s">
        <v>66</v>
      </c>
      <c r="H333" s="28" t="s">
        <v>193</v>
      </c>
      <c r="I333" s="36">
        <v>109</v>
      </c>
      <c r="J333" s="27"/>
      <c r="K333" s="29"/>
      <c r="L333" s="29"/>
      <c r="M333" s="29"/>
      <c r="N333" s="29"/>
    </row>
    <row r="334" spans="2:14" x14ac:dyDescent="0.25">
      <c r="B334" s="27" t="s">
        <v>123</v>
      </c>
      <c r="C334" s="28">
        <v>563128</v>
      </c>
      <c r="D334" s="28" t="s">
        <v>459</v>
      </c>
      <c r="E334" s="27" t="s">
        <v>32</v>
      </c>
      <c r="F334" s="27" t="s">
        <v>194</v>
      </c>
      <c r="G334" s="28" t="s">
        <v>66</v>
      </c>
      <c r="H334" s="28" t="s">
        <v>193</v>
      </c>
      <c r="I334" s="36">
        <v>79</v>
      </c>
      <c r="J334" s="27"/>
      <c r="K334" s="29"/>
      <c r="L334" s="29"/>
      <c r="M334" s="29"/>
      <c r="N334" s="29"/>
    </row>
    <row r="335" spans="2:14" x14ac:dyDescent="0.25">
      <c r="B335" s="27" t="s">
        <v>123</v>
      </c>
      <c r="C335" s="28">
        <v>535301</v>
      </c>
      <c r="D335" s="28" t="s">
        <v>460</v>
      </c>
      <c r="E335" s="27" t="s">
        <v>32</v>
      </c>
      <c r="F335" s="27" t="s">
        <v>194</v>
      </c>
      <c r="G335" s="28" t="s">
        <v>66</v>
      </c>
      <c r="H335" s="28" t="s">
        <v>193</v>
      </c>
      <c r="I335" s="36">
        <v>119</v>
      </c>
      <c r="J335" s="27"/>
      <c r="K335" s="29"/>
      <c r="L335" s="29"/>
      <c r="M335" s="29"/>
      <c r="N335" s="29"/>
    </row>
    <row r="336" spans="2:14" x14ac:dyDescent="0.25">
      <c r="B336" s="27" t="s">
        <v>123</v>
      </c>
      <c r="C336" s="28">
        <v>563127</v>
      </c>
      <c r="D336" s="28" t="s">
        <v>461</v>
      </c>
      <c r="E336" s="27" t="s">
        <v>32</v>
      </c>
      <c r="F336" s="27" t="s">
        <v>194</v>
      </c>
      <c r="G336" s="28" t="s">
        <v>66</v>
      </c>
      <c r="H336" s="28" t="s">
        <v>193</v>
      </c>
      <c r="I336" s="36">
        <v>109</v>
      </c>
      <c r="J336" s="27"/>
      <c r="K336" s="29"/>
      <c r="L336" s="29"/>
      <c r="M336" s="29"/>
      <c r="N336" s="29"/>
    </row>
    <row r="337" spans="2:14" x14ac:dyDescent="0.25">
      <c r="B337" s="27" t="s">
        <v>123</v>
      </c>
      <c r="C337" s="28">
        <v>447544</v>
      </c>
      <c r="D337" s="28" t="s">
        <v>462</v>
      </c>
      <c r="E337" s="27" t="s">
        <v>32</v>
      </c>
      <c r="F337" s="27" t="s">
        <v>194</v>
      </c>
      <c r="G337" s="28" t="s">
        <v>66</v>
      </c>
      <c r="H337" s="28" t="s">
        <v>193</v>
      </c>
      <c r="I337" s="36">
        <v>109</v>
      </c>
      <c r="J337" s="27"/>
      <c r="K337" s="29"/>
      <c r="L337" s="29"/>
      <c r="M337" s="29"/>
      <c r="N337" s="29"/>
    </row>
    <row r="338" spans="2:14" x14ac:dyDescent="0.25">
      <c r="B338" s="27" t="s">
        <v>123</v>
      </c>
      <c r="C338" s="28">
        <v>550599</v>
      </c>
      <c r="D338" s="28" t="s">
        <v>463</v>
      </c>
      <c r="E338" s="27" t="s">
        <v>32</v>
      </c>
      <c r="F338" s="27" t="s">
        <v>194</v>
      </c>
      <c r="G338" s="28" t="s">
        <v>66</v>
      </c>
      <c r="H338" s="28" t="s">
        <v>193</v>
      </c>
      <c r="I338" s="36">
        <v>95</v>
      </c>
      <c r="J338" s="27"/>
      <c r="K338" s="29"/>
      <c r="L338" s="29"/>
      <c r="M338" s="29"/>
      <c r="N338" s="29"/>
    </row>
    <row r="339" spans="2:14" x14ac:dyDescent="0.25">
      <c r="B339" s="27" t="s">
        <v>123</v>
      </c>
      <c r="C339" s="28">
        <v>550597</v>
      </c>
      <c r="D339" s="28" t="s">
        <v>464</v>
      </c>
      <c r="E339" s="27" t="s">
        <v>32</v>
      </c>
      <c r="F339" s="27" t="s">
        <v>194</v>
      </c>
      <c r="G339" s="28" t="s">
        <v>66</v>
      </c>
      <c r="H339" s="28" t="s">
        <v>193</v>
      </c>
      <c r="I339" s="36">
        <v>95</v>
      </c>
      <c r="J339" s="27"/>
      <c r="K339" s="29"/>
      <c r="L339" s="29"/>
      <c r="M339" s="29"/>
      <c r="N339" s="29"/>
    </row>
    <row r="340" spans="2:14" x14ac:dyDescent="0.25">
      <c r="B340" s="27" t="s">
        <v>123</v>
      </c>
      <c r="C340" s="28">
        <v>550590</v>
      </c>
      <c r="D340" s="28" t="s">
        <v>465</v>
      </c>
      <c r="E340" s="27" t="s">
        <v>32</v>
      </c>
      <c r="F340" s="27" t="s">
        <v>194</v>
      </c>
      <c r="G340" s="28" t="s">
        <v>66</v>
      </c>
      <c r="H340" s="28" t="s">
        <v>193</v>
      </c>
      <c r="I340" s="36">
        <v>109</v>
      </c>
      <c r="J340" s="27"/>
      <c r="K340" s="29"/>
      <c r="L340" s="29"/>
      <c r="M340" s="29"/>
      <c r="N340" s="29"/>
    </row>
    <row r="341" spans="2:14" x14ac:dyDescent="0.25">
      <c r="B341" s="27" t="s">
        <v>123</v>
      </c>
      <c r="C341" s="28">
        <v>535299</v>
      </c>
      <c r="D341" s="28" t="s">
        <v>466</v>
      </c>
      <c r="E341" s="27" t="s">
        <v>32</v>
      </c>
      <c r="F341" s="27" t="s">
        <v>194</v>
      </c>
      <c r="G341" s="28" t="s">
        <v>66</v>
      </c>
      <c r="H341" s="28" t="s">
        <v>193</v>
      </c>
      <c r="I341" s="36">
        <v>109</v>
      </c>
      <c r="J341" s="27"/>
      <c r="K341" s="29"/>
      <c r="L341" s="29"/>
      <c r="M341" s="29"/>
      <c r="N341" s="29"/>
    </row>
    <row r="342" spans="2:14" x14ac:dyDescent="0.25">
      <c r="B342" s="27" t="s">
        <v>123</v>
      </c>
      <c r="C342" s="28">
        <v>550589</v>
      </c>
      <c r="D342" s="28" t="s">
        <v>467</v>
      </c>
      <c r="E342" s="27" t="s">
        <v>32</v>
      </c>
      <c r="F342" s="27" t="s">
        <v>194</v>
      </c>
      <c r="G342" s="28" t="s">
        <v>66</v>
      </c>
      <c r="H342" s="28" t="s">
        <v>193</v>
      </c>
      <c r="I342" s="36">
        <v>109</v>
      </c>
      <c r="J342" s="27"/>
      <c r="K342" s="29"/>
      <c r="L342" s="29"/>
      <c r="M342" s="29"/>
      <c r="N342" s="29"/>
    </row>
    <row r="343" spans="2:14" x14ac:dyDescent="0.25">
      <c r="B343" s="27" t="s">
        <v>123</v>
      </c>
      <c r="C343" s="28">
        <v>552627</v>
      </c>
      <c r="D343" s="28" t="s">
        <v>468</v>
      </c>
      <c r="E343" s="27" t="s">
        <v>32</v>
      </c>
      <c r="F343" s="27" t="s">
        <v>194</v>
      </c>
      <c r="G343" s="28" t="s">
        <v>66</v>
      </c>
      <c r="H343" s="28" t="s">
        <v>193</v>
      </c>
      <c r="I343" s="36">
        <v>629</v>
      </c>
      <c r="J343" s="27"/>
      <c r="K343" s="29"/>
      <c r="L343" s="29"/>
      <c r="M343" s="29"/>
      <c r="N343" s="29"/>
    </row>
    <row r="344" spans="2:14" x14ac:dyDescent="0.25">
      <c r="B344" s="27" t="s">
        <v>123</v>
      </c>
      <c r="C344" s="28">
        <v>551460</v>
      </c>
      <c r="D344" s="28" t="s">
        <v>469</v>
      </c>
      <c r="E344" s="27" t="s">
        <v>32</v>
      </c>
      <c r="F344" s="27" t="s">
        <v>194</v>
      </c>
      <c r="G344" s="28" t="s">
        <v>66</v>
      </c>
      <c r="H344" s="28" t="s">
        <v>193</v>
      </c>
      <c r="I344" s="36">
        <v>319</v>
      </c>
      <c r="J344" s="27"/>
      <c r="K344" s="29"/>
      <c r="L344" s="29"/>
      <c r="M344" s="29"/>
      <c r="N344" s="29"/>
    </row>
    <row r="345" spans="2:14" x14ac:dyDescent="0.25">
      <c r="B345" s="27" t="s">
        <v>123</v>
      </c>
      <c r="C345" s="28">
        <v>551461</v>
      </c>
      <c r="D345" s="28" t="s">
        <v>470</v>
      </c>
      <c r="E345" s="27" t="s">
        <v>32</v>
      </c>
      <c r="F345" s="27" t="s">
        <v>194</v>
      </c>
      <c r="G345" s="28" t="s">
        <v>66</v>
      </c>
      <c r="H345" s="28" t="s">
        <v>193</v>
      </c>
      <c r="I345" s="36">
        <v>319</v>
      </c>
      <c r="J345" s="27"/>
      <c r="K345" s="29"/>
      <c r="L345" s="29"/>
      <c r="M345" s="29"/>
      <c r="N345" s="29"/>
    </row>
    <row r="346" spans="2:14" x14ac:dyDescent="0.25">
      <c r="B346" s="27" t="s">
        <v>123</v>
      </c>
      <c r="C346" s="28">
        <v>545124</v>
      </c>
      <c r="D346" s="28" t="s">
        <v>471</v>
      </c>
      <c r="E346" s="27" t="s">
        <v>32</v>
      </c>
      <c r="F346" s="27" t="s">
        <v>194</v>
      </c>
      <c r="G346" s="28" t="s">
        <v>66</v>
      </c>
      <c r="H346" s="28" t="s">
        <v>193</v>
      </c>
      <c r="I346" s="36">
        <v>459</v>
      </c>
      <c r="J346" s="27"/>
      <c r="K346" s="29"/>
      <c r="L346" s="29"/>
      <c r="M346" s="29"/>
      <c r="N346" s="29"/>
    </row>
    <row r="347" spans="2:14" x14ac:dyDescent="0.25">
      <c r="B347" s="27" t="s">
        <v>123</v>
      </c>
      <c r="C347" s="28">
        <v>514990</v>
      </c>
      <c r="D347" s="28" t="s">
        <v>472</v>
      </c>
      <c r="E347" s="27" t="s">
        <v>32</v>
      </c>
      <c r="F347" s="27" t="s">
        <v>194</v>
      </c>
      <c r="G347" s="28" t="s">
        <v>66</v>
      </c>
      <c r="H347" s="28" t="s">
        <v>193</v>
      </c>
      <c r="I347" s="36">
        <v>199</v>
      </c>
      <c r="J347" s="27"/>
      <c r="K347" s="29"/>
      <c r="L347" s="29"/>
      <c r="M347" s="29"/>
      <c r="N347" s="29"/>
    </row>
    <row r="348" spans="2:14" x14ac:dyDescent="0.25">
      <c r="B348" s="27" t="s">
        <v>123</v>
      </c>
      <c r="C348" s="28">
        <v>546129</v>
      </c>
      <c r="D348" s="28" t="s">
        <v>473</v>
      </c>
      <c r="E348" s="27" t="s">
        <v>32</v>
      </c>
      <c r="F348" s="27" t="s">
        <v>194</v>
      </c>
      <c r="G348" s="28" t="s">
        <v>66</v>
      </c>
      <c r="H348" s="28" t="s">
        <v>193</v>
      </c>
      <c r="I348" s="36">
        <v>189</v>
      </c>
      <c r="J348" s="27"/>
      <c r="K348" s="29"/>
      <c r="L348" s="29"/>
      <c r="M348" s="29"/>
      <c r="N348" s="29"/>
    </row>
    <row r="349" spans="2:14" x14ac:dyDescent="0.25">
      <c r="B349" s="27" t="s">
        <v>123</v>
      </c>
      <c r="C349" s="28">
        <v>564015</v>
      </c>
      <c r="D349" s="28" t="s">
        <v>474</v>
      </c>
      <c r="E349" s="27" t="s">
        <v>32</v>
      </c>
      <c r="F349" s="27" t="s">
        <v>194</v>
      </c>
      <c r="G349" s="28" t="s">
        <v>66</v>
      </c>
      <c r="H349" s="28" t="s">
        <v>193</v>
      </c>
      <c r="I349" s="36">
        <v>119</v>
      </c>
      <c r="J349" s="27"/>
      <c r="K349" s="29"/>
      <c r="L349" s="29"/>
      <c r="M349" s="29"/>
      <c r="N349" s="29"/>
    </row>
    <row r="350" spans="2:14" x14ac:dyDescent="0.25">
      <c r="B350" s="27" t="s">
        <v>123</v>
      </c>
      <c r="C350" s="28">
        <v>564016</v>
      </c>
      <c r="D350" s="28" t="s">
        <v>475</v>
      </c>
      <c r="E350" s="27" t="s">
        <v>32</v>
      </c>
      <c r="F350" s="27" t="s">
        <v>194</v>
      </c>
      <c r="G350" s="28" t="s">
        <v>66</v>
      </c>
      <c r="H350" s="28" t="s">
        <v>193</v>
      </c>
      <c r="I350" s="36">
        <v>159</v>
      </c>
      <c r="J350" s="27"/>
      <c r="K350" s="29"/>
      <c r="L350" s="29"/>
      <c r="M350" s="29"/>
      <c r="N350" s="29"/>
    </row>
    <row r="351" spans="2:14" x14ac:dyDescent="0.25">
      <c r="B351" s="27" t="s">
        <v>123</v>
      </c>
      <c r="C351" s="28">
        <v>564017</v>
      </c>
      <c r="D351" s="28" t="s">
        <v>476</v>
      </c>
      <c r="E351" s="27" t="s">
        <v>32</v>
      </c>
      <c r="F351" s="27" t="s">
        <v>194</v>
      </c>
      <c r="G351" s="28" t="s">
        <v>66</v>
      </c>
      <c r="H351" s="28" t="s">
        <v>193</v>
      </c>
      <c r="I351" s="36">
        <v>189</v>
      </c>
      <c r="J351" s="27"/>
      <c r="K351" s="29"/>
      <c r="L351" s="29"/>
      <c r="M351" s="29"/>
      <c r="N351" s="29"/>
    </row>
    <row r="352" spans="2:14" x14ac:dyDescent="0.25">
      <c r="B352" s="27" t="s">
        <v>123</v>
      </c>
      <c r="C352" s="28">
        <v>549196</v>
      </c>
      <c r="D352" s="28" t="s">
        <v>477</v>
      </c>
      <c r="E352" s="27" t="s">
        <v>32</v>
      </c>
      <c r="F352" s="27" t="s">
        <v>194</v>
      </c>
      <c r="G352" s="28" t="s">
        <v>66</v>
      </c>
      <c r="H352" s="28" t="s">
        <v>193</v>
      </c>
      <c r="I352" s="36">
        <v>318</v>
      </c>
      <c r="J352" s="27"/>
      <c r="K352" s="29"/>
      <c r="L352" s="29"/>
      <c r="M352" s="29"/>
      <c r="N352" s="29"/>
    </row>
    <row r="353" spans="2:14" x14ac:dyDescent="0.25">
      <c r="B353" s="27" t="s">
        <v>123</v>
      </c>
      <c r="C353" s="28">
        <v>452696</v>
      </c>
      <c r="D353" s="28" t="s">
        <v>478</v>
      </c>
      <c r="E353" s="27" t="s">
        <v>32</v>
      </c>
      <c r="F353" s="27" t="s">
        <v>194</v>
      </c>
      <c r="G353" s="28" t="s">
        <v>66</v>
      </c>
      <c r="H353" s="28" t="s">
        <v>193</v>
      </c>
      <c r="I353" s="36">
        <v>189</v>
      </c>
      <c r="J353" s="27"/>
      <c r="K353" s="29"/>
      <c r="L353" s="29"/>
      <c r="M353" s="29"/>
      <c r="N353" s="29"/>
    </row>
    <row r="354" spans="2:14" x14ac:dyDescent="0.25">
      <c r="B354" s="27" t="s">
        <v>123</v>
      </c>
      <c r="C354" s="28">
        <v>549440</v>
      </c>
      <c r="D354" s="28" t="s">
        <v>479</v>
      </c>
      <c r="E354" s="27" t="s">
        <v>32</v>
      </c>
      <c r="F354" s="27" t="s">
        <v>194</v>
      </c>
      <c r="G354" s="28" t="s">
        <v>66</v>
      </c>
      <c r="H354" s="28" t="s">
        <v>193</v>
      </c>
      <c r="I354" s="36">
        <v>199</v>
      </c>
      <c r="J354" s="27"/>
      <c r="K354" s="29"/>
      <c r="L354" s="29"/>
      <c r="M354" s="29"/>
      <c r="N354" s="29"/>
    </row>
    <row r="355" spans="2:14" x14ac:dyDescent="0.25">
      <c r="B355" s="27" t="s">
        <v>123</v>
      </c>
      <c r="C355" s="28">
        <v>556842</v>
      </c>
      <c r="D355" s="28" t="s">
        <v>480</v>
      </c>
      <c r="E355" s="27" t="s">
        <v>32</v>
      </c>
      <c r="F355" s="27" t="s">
        <v>194</v>
      </c>
      <c r="G355" s="28" t="s">
        <v>66</v>
      </c>
      <c r="H355" s="28" t="s">
        <v>193</v>
      </c>
      <c r="I355" s="36">
        <v>159</v>
      </c>
      <c r="J355" s="27"/>
      <c r="K355" s="29"/>
      <c r="L355" s="29"/>
      <c r="M355" s="29"/>
      <c r="N355" s="29"/>
    </row>
    <row r="356" spans="2:14" x14ac:dyDescent="0.25">
      <c r="B356" s="27" t="s">
        <v>123</v>
      </c>
      <c r="C356" s="28">
        <v>564018</v>
      </c>
      <c r="D356" s="28" t="s">
        <v>481</v>
      </c>
      <c r="E356" s="27" t="s">
        <v>32</v>
      </c>
      <c r="F356" s="27" t="s">
        <v>194</v>
      </c>
      <c r="G356" s="28" t="s">
        <v>66</v>
      </c>
      <c r="H356" s="28" t="s">
        <v>193</v>
      </c>
      <c r="I356" s="36">
        <v>249</v>
      </c>
      <c r="J356" s="27"/>
      <c r="K356" s="29"/>
      <c r="L356" s="29"/>
      <c r="M356" s="29"/>
      <c r="N356" s="29"/>
    </row>
    <row r="357" spans="2:14" x14ac:dyDescent="0.25">
      <c r="B357" s="27" t="s">
        <v>123</v>
      </c>
      <c r="C357" s="28">
        <v>527174</v>
      </c>
      <c r="D357" s="28" t="s">
        <v>135</v>
      </c>
      <c r="E357" s="27" t="s">
        <v>32</v>
      </c>
      <c r="F357" s="27" t="s">
        <v>194</v>
      </c>
      <c r="G357" s="28" t="s">
        <v>66</v>
      </c>
      <c r="H357" s="28" t="s">
        <v>193</v>
      </c>
      <c r="I357" s="36">
        <v>399</v>
      </c>
      <c r="J357" s="27"/>
      <c r="K357" s="29"/>
      <c r="L357" s="29"/>
      <c r="M357" s="29"/>
      <c r="N357" s="29"/>
    </row>
    <row r="358" spans="2:14" x14ac:dyDescent="0.25">
      <c r="B358" s="27" t="s">
        <v>123</v>
      </c>
      <c r="C358" s="28">
        <v>506685</v>
      </c>
      <c r="D358" s="28" t="s">
        <v>482</v>
      </c>
      <c r="E358" s="27" t="s">
        <v>32</v>
      </c>
      <c r="F358" s="27" t="s">
        <v>194</v>
      </c>
      <c r="G358" s="28" t="s">
        <v>66</v>
      </c>
      <c r="H358" s="28" t="s">
        <v>193</v>
      </c>
      <c r="I358" s="36">
        <v>439</v>
      </c>
      <c r="J358" s="27"/>
      <c r="K358" s="29"/>
      <c r="L358" s="29"/>
      <c r="M358" s="29"/>
      <c r="N358" s="29"/>
    </row>
    <row r="359" spans="2:14" x14ac:dyDescent="0.25">
      <c r="B359" s="27" t="s">
        <v>123</v>
      </c>
      <c r="C359" s="28">
        <v>506683</v>
      </c>
      <c r="D359" s="28" t="s">
        <v>483</v>
      </c>
      <c r="E359" s="27" t="s">
        <v>32</v>
      </c>
      <c r="F359" s="27" t="s">
        <v>194</v>
      </c>
      <c r="G359" s="28" t="s">
        <v>66</v>
      </c>
      <c r="H359" s="28" t="s">
        <v>193</v>
      </c>
      <c r="I359" s="36">
        <v>349</v>
      </c>
      <c r="J359" s="27"/>
      <c r="K359" s="29"/>
      <c r="L359" s="29"/>
      <c r="M359" s="29"/>
      <c r="N359" s="29"/>
    </row>
    <row r="360" spans="2:14" x14ac:dyDescent="0.25">
      <c r="B360" s="27" t="s">
        <v>123</v>
      </c>
      <c r="C360" s="28">
        <v>506686</v>
      </c>
      <c r="D360" s="28" t="s">
        <v>484</v>
      </c>
      <c r="E360" s="27" t="s">
        <v>32</v>
      </c>
      <c r="F360" s="27" t="s">
        <v>194</v>
      </c>
      <c r="G360" s="28" t="s">
        <v>66</v>
      </c>
      <c r="H360" s="28" t="s">
        <v>193</v>
      </c>
      <c r="I360" s="36">
        <v>639</v>
      </c>
      <c r="J360" s="27"/>
      <c r="K360" s="29"/>
      <c r="L360" s="29"/>
      <c r="M360" s="29"/>
      <c r="N360" s="29"/>
    </row>
    <row r="361" spans="2:14" x14ac:dyDescent="0.25">
      <c r="B361" s="27" t="s">
        <v>123</v>
      </c>
      <c r="C361" s="28">
        <v>527175</v>
      </c>
      <c r="D361" s="28" t="s">
        <v>136</v>
      </c>
      <c r="E361" s="27" t="s">
        <v>32</v>
      </c>
      <c r="F361" s="27" t="s">
        <v>194</v>
      </c>
      <c r="G361" s="28" t="s">
        <v>66</v>
      </c>
      <c r="H361" s="28" t="s">
        <v>193</v>
      </c>
      <c r="I361" s="36">
        <v>489</v>
      </c>
      <c r="J361" s="27"/>
      <c r="K361" s="29"/>
      <c r="L361" s="29"/>
      <c r="M361" s="29"/>
      <c r="N361" s="29"/>
    </row>
    <row r="362" spans="2:14" x14ac:dyDescent="0.25">
      <c r="B362" s="27" t="s">
        <v>123</v>
      </c>
      <c r="C362" s="28">
        <v>527177</v>
      </c>
      <c r="D362" s="28" t="s">
        <v>137</v>
      </c>
      <c r="E362" s="27" t="s">
        <v>32</v>
      </c>
      <c r="F362" s="27" t="s">
        <v>194</v>
      </c>
      <c r="G362" s="28" t="s">
        <v>66</v>
      </c>
      <c r="H362" s="28" t="s">
        <v>193</v>
      </c>
      <c r="I362" s="36">
        <v>849</v>
      </c>
      <c r="J362" s="27"/>
      <c r="K362" s="29"/>
      <c r="L362" s="29"/>
      <c r="M362" s="29"/>
      <c r="N362" s="29"/>
    </row>
    <row r="363" spans="2:14" x14ac:dyDescent="0.25">
      <c r="B363" s="27" t="s">
        <v>123</v>
      </c>
      <c r="C363" s="28">
        <v>525868</v>
      </c>
      <c r="D363" s="28" t="s">
        <v>485</v>
      </c>
      <c r="E363" s="27" t="s">
        <v>32</v>
      </c>
      <c r="F363" s="27" t="s">
        <v>194</v>
      </c>
      <c r="G363" s="28" t="s">
        <v>66</v>
      </c>
      <c r="H363" s="28" t="s">
        <v>193</v>
      </c>
      <c r="I363" s="36">
        <v>579</v>
      </c>
      <c r="J363" s="27"/>
      <c r="K363" s="29"/>
      <c r="L363" s="29"/>
      <c r="M363" s="29"/>
      <c r="N363" s="29"/>
    </row>
    <row r="364" spans="2:14" x14ac:dyDescent="0.25">
      <c r="B364" s="27" t="s">
        <v>123</v>
      </c>
      <c r="C364" s="28">
        <v>525869</v>
      </c>
      <c r="D364" s="28" t="s">
        <v>486</v>
      </c>
      <c r="E364" s="27" t="s">
        <v>32</v>
      </c>
      <c r="F364" s="27" t="s">
        <v>194</v>
      </c>
      <c r="G364" s="28" t="s">
        <v>66</v>
      </c>
      <c r="H364" s="28" t="s">
        <v>193</v>
      </c>
      <c r="I364" s="36">
        <v>649</v>
      </c>
      <c r="J364" s="27"/>
      <c r="K364" s="29"/>
      <c r="L364" s="29"/>
      <c r="M364" s="29"/>
      <c r="N364" s="29"/>
    </row>
    <row r="365" spans="2:14" x14ac:dyDescent="0.25">
      <c r="B365" s="27" t="s">
        <v>123</v>
      </c>
      <c r="C365" s="28">
        <v>561303</v>
      </c>
      <c r="D365" s="28" t="s">
        <v>487</v>
      </c>
      <c r="E365" s="27" t="s">
        <v>32</v>
      </c>
      <c r="F365" s="27" t="s">
        <v>194</v>
      </c>
      <c r="G365" s="28" t="s">
        <v>66</v>
      </c>
      <c r="H365" s="28" t="s">
        <v>193</v>
      </c>
      <c r="I365" s="36">
        <v>439</v>
      </c>
      <c r="J365" s="27"/>
      <c r="K365" s="29"/>
      <c r="L365" s="29"/>
      <c r="M365" s="29"/>
      <c r="N365" s="29"/>
    </row>
    <row r="366" spans="2:14" x14ac:dyDescent="0.25">
      <c r="B366" s="27" t="s">
        <v>123</v>
      </c>
      <c r="C366" s="28">
        <v>561304</v>
      </c>
      <c r="D366" s="28" t="s">
        <v>134</v>
      </c>
      <c r="E366" s="27" t="s">
        <v>32</v>
      </c>
      <c r="F366" s="27" t="s">
        <v>194</v>
      </c>
      <c r="G366" s="28" t="s">
        <v>66</v>
      </c>
      <c r="H366" s="28" t="s">
        <v>193</v>
      </c>
      <c r="I366" s="36">
        <v>549</v>
      </c>
      <c r="J366" s="27"/>
      <c r="K366" s="29"/>
      <c r="L366" s="29"/>
      <c r="M366" s="29"/>
      <c r="N366" s="29"/>
    </row>
    <row r="367" spans="2:14" x14ac:dyDescent="0.25">
      <c r="B367" s="27" t="s">
        <v>123</v>
      </c>
      <c r="C367" s="28">
        <v>504583</v>
      </c>
      <c r="D367" s="28" t="s">
        <v>488</v>
      </c>
      <c r="E367" s="27" t="s">
        <v>32</v>
      </c>
      <c r="F367" s="27" t="s">
        <v>194</v>
      </c>
      <c r="G367" s="28" t="s">
        <v>66</v>
      </c>
      <c r="H367" s="28" t="s">
        <v>193</v>
      </c>
      <c r="I367" s="36">
        <v>229</v>
      </c>
      <c r="J367" s="27"/>
      <c r="K367" s="29"/>
      <c r="L367" s="29"/>
      <c r="M367" s="29"/>
      <c r="N367" s="29"/>
    </row>
    <row r="368" spans="2:14" x14ac:dyDescent="0.25">
      <c r="B368" s="27" t="s">
        <v>123</v>
      </c>
      <c r="C368" s="28">
        <v>558834</v>
      </c>
      <c r="D368" s="28" t="s">
        <v>489</v>
      </c>
      <c r="E368" s="27" t="s">
        <v>32</v>
      </c>
      <c r="F368" s="27" t="s">
        <v>194</v>
      </c>
      <c r="G368" s="28" t="s">
        <v>66</v>
      </c>
      <c r="H368" s="28" t="s">
        <v>193</v>
      </c>
      <c r="I368" s="36">
        <v>639</v>
      </c>
      <c r="J368" s="27"/>
      <c r="K368" s="29"/>
      <c r="L368" s="29"/>
      <c r="M368" s="29"/>
      <c r="N368" s="29"/>
    </row>
    <row r="369" spans="2:14" x14ac:dyDescent="0.25">
      <c r="B369" s="27" t="s">
        <v>123</v>
      </c>
      <c r="C369" s="28">
        <v>561311</v>
      </c>
      <c r="D369" s="28" t="s">
        <v>490</v>
      </c>
      <c r="E369" s="27" t="s">
        <v>32</v>
      </c>
      <c r="F369" s="27" t="s">
        <v>194</v>
      </c>
      <c r="G369" s="28" t="s">
        <v>66</v>
      </c>
      <c r="H369" s="28" t="s">
        <v>193</v>
      </c>
      <c r="I369" s="36">
        <v>789</v>
      </c>
      <c r="J369" s="27"/>
      <c r="K369" s="29"/>
      <c r="L369" s="29"/>
      <c r="M369" s="29"/>
      <c r="N369" s="29"/>
    </row>
    <row r="370" spans="2:14" x14ac:dyDescent="0.25">
      <c r="B370" s="27" t="s">
        <v>123</v>
      </c>
      <c r="C370" s="28">
        <v>549611</v>
      </c>
      <c r="D370" s="28" t="s">
        <v>491</v>
      </c>
      <c r="E370" s="27" t="s">
        <v>32</v>
      </c>
      <c r="F370" s="27" t="s">
        <v>194</v>
      </c>
      <c r="G370" s="28" t="s">
        <v>66</v>
      </c>
      <c r="H370" s="28" t="s">
        <v>193</v>
      </c>
      <c r="I370" s="36">
        <v>349</v>
      </c>
      <c r="J370" s="27"/>
      <c r="K370" s="29"/>
      <c r="L370" s="29"/>
      <c r="M370" s="29"/>
      <c r="N370" s="29"/>
    </row>
    <row r="371" spans="2:14" x14ac:dyDescent="0.25">
      <c r="B371" s="27" t="s">
        <v>123</v>
      </c>
      <c r="C371" s="28">
        <v>562683</v>
      </c>
      <c r="D371" s="28" t="s">
        <v>492</v>
      </c>
      <c r="E371" s="27" t="s">
        <v>32</v>
      </c>
      <c r="F371" s="27" t="s">
        <v>194</v>
      </c>
      <c r="G371" s="28" t="s">
        <v>66</v>
      </c>
      <c r="H371" s="28" t="s">
        <v>193</v>
      </c>
      <c r="I371" s="36">
        <v>1299</v>
      </c>
      <c r="J371" s="27"/>
      <c r="K371" s="29"/>
      <c r="L371" s="29"/>
      <c r="M371" s="29"/>
      <c r="N371" s="29"/>
    </row>
    <row r="372" spans="2:14" x14ac:dyDescent="0.25">
      <c r="B372" s="27" t="s">
        <v>123</v>
      </c>
      <c r="C372" s="28">
        <v>529651</v>
      </c>
      <c r="D372" s="28" t="s">
        <v>493</v>
      </c>
      <c r="E372" s="27" t="s">
        <v>32</v>
      </c>
      <c r="F372" s="27" t="s">
        <v>194</v>
      </c>
      <c r="G372" s="28" t="s">
        <v>66</v>
      </c>
      <c r="H372" s="28" t="s">
        <v>193</v>
      </c>
      <c r="I372" s="36">
        <v>579</v>
      </c>
      <c r="J372" s="27"/>
      <c r="K372" s="29"/>
      <c r="L372" s="29"/>
      <c r="M372" s="29"/>
      <c r="N372" s="29"/>
    </row>
    <row r="373" spans="2:14" x14ac:dyDescent="0.25">
      <c r="B373" s="27" t="s">
        <v>123</v>
      </c>
      <c r="C373" s="28">
        <v>521034</v>
      </c>
      <c r="D373" s="28" t="s">
        <v>494</v>
      </c>
      <c r="E373" s="27" t="s">
        <v>32</v>
      </c>
      <c r="F373" s="27" t="s">
        <v>194</v>
      </c>
      <c r="G373" s="28" t="s">
        <v>66</v>
      </c>
      <c r="H373" s="28" t="s">
        <v>193</v>
      </c>
      <c r="I373" s="36">
        <v>1399</v>
      </c>
      <c r="J373" s="27"/>
      <c r="K373" s="29"/>
      <c r="L373" s="29"/>
      <c r="M373" s="29"/>
      <c r="N373" s="29"/>
    </row>
    <row r="374" spans="2:14" x14ac:dyDescent="0.25">
      <c r="B374" s="27" t="s">
        <v>123</v>
      </c>
      <c r="C374" s="28">
        <v>552648</v>
      </c>
      <c r="D374" s="28" t="s">
        <v>495</v>
      </c>
      <c r="E374" s="27" t="s">
        <v>32</v>
      </c>
      <c r="F374" s="27" t="s">
        <v>194</v>
      </c>
      <c r="G374" s="28" t="s">
        <v>66</v>
      </c>
      <c r="H374" s="28" t="s">
        <v>193</v>
      </c>
      <c r="I374" s="36">
        <v>429</v>
      </c>
      <c r="J374" s="27"/>
      <c r="K374" s="29"/>
      <c r="L374" s="29"/>
      <c r="M374" s="29"/>
      <c r="N374" s="29"/>
    </row>
    <row r="375" spans="2:14" x14ac:dyDescent="0.25">
      <c r="B375" s="27" t="s">
        <v>123</v>
      </c>
      <c r="C375" s="28">
        <v>535113</v>
      </c>
      <c r="D375" s="28" t="s">
        <v>148</v>
      </c>
      <c r="E375" s="27" t="s">
        <v>32</v>
      </c>
      <c r="F375" s="27" t="s">
        <v>194</v>
      </c>
      <c r="G375" s="28" t="s">
        <v>66</v>
      </c>
      <c r="H375" s="28" t="s">
        <v>193</v>
      </c>
      <c r="I375" s="36">
        <v>399</v>
      </c>
      <c r="J375" s="27"/>
      <c r="K375" s="29"/>
      <c r="L375" s="29"/>
      <c r="M375" s="29"/>
      <c r="N375" s="29"/>
    </row>
    <row r="376" spans="2:14" x14ac:dyDescent="0.25">
      <c r="B376" s="27" t="s">
        <v>123</v>
      </c>
      <c r="C376" s="28">
        <v>535114</v>
      </c>
      <c r="D376" s="28" t="s">
        <v>496</v>
      </c>
      <c r="E376" s="27" t="s">
        <v>32</v>
      </c>
      <c r="F376" s="27" t="s">
        <v>194</v>
      </c>
      <c r="G376" s="28" t="s">
        <v>66</v>
      </c>
      <c r="H376" s="28" t="s">
        <v>193</v>
      </c>
      <c r="I376" s="36">
        <v>499</v>
      </c>
      <c r="J376" s="27"/>
      <c r="K376" s="29"/>
      <c r="L376" s="29"/>
      <c r="M376" s="29"/>
      <c r="N376" s="29"/>
    </row>
    <row r="377" spans="2:14" x14ac:dyDescent="0.25">
      <c r="B377" s="27" t="s">
        <v>123</v>
      </c>
      <c r="C377" s="28">
        <v>534539</v>
      </c>
      <c r="D377" s="28" t="s">
        <v>497</v>
      </c>
      <c r="E377" s="27" t="s">
        <v>32</v>
      </c>
      <c r="F377" s="27" t="s">
        <v>194</v>
      </c>
      <c r="G377" s="28" t="s">
        <v>66</v>
      </c>
      <c r="H377" s="28" t="s">
        <v>193</v>
      </c>
      <c r="I377" s="36">
        <v>749</v>
      </c>
      <c r="J377" s="27"/>
      <c r="K377" s="29"/>
      <c r="L377" s="29"/>
      <c r="M377" s="29"/>
      <c r="N377" s="29"/>
    </row>
    <row r="378" spans="2:14" x14ac:dyDescent="0.25">
      <c r="B378" s="27" t="s">
        <v>123</v>
      </c>
      <c r="C378" s="28">
        <v>534593</v>
      </c>
      <c r="D378" s="28" t="s">
        <v>498</v>
      </c>
      <c r="E378" s="27" t="s">
        <v>32</v>
      </c>
      <c r="F378" s="27" t="s">
        <v>194</v>
      </c>
      <c r="G378" s="28" t="s">
        <v>66</v>
      </c>
      <c r="H378" s="28" t="s">
        <v>193</v>
      </c>
      <c r="I378" s="36">
        <v>1199</v>
      </c>
      <c r="J378" s="27"/>
      <c r="K378" s="29"/>
      <c r="L378" s="29"/>
      <c r="M378" s="29"/>
      <c r="N378" s="29"/>
    </row>
    <row r="379" spans="2:14" x14ac:dyDescent="0.25">
      <c r="B379" s="27" t="s">
        <v>123</v>
      </c>
      <c r="C379" s="28">
        <v>534705</v>
      </c>
      <c r="D379" s="28" t="s">
        <v>499</v>
      </c>
      <c r="E379" s="27" t="s">
        <v>32</v>
      </c>
      <c r="F379" s="27" t="s">
        <v>194</v>
      </c>
      <c r="G379" s="28" t="s">
        <v>66</v>
      </c>
      <c r="H379" s="28" t="s">
        <v>193</v>
      </c>
      <c r="I379" s="36">
        <v>1559</v>
      </c>
      <c r="J379" s="27"/>
      <c r="K379" s="29"/>
      <c r="L379" s="29"/>
      <c r="M379" s="29"/>
      <c r="N379" s="29"/>
    </row>
    <row r="380" spans="2:14" x14ac:dyDescent="0.25">
      <c r="B380" s="27" t="s">
        <v>123</v>
      </c>
      <c r="C380" s="28">
        <v>565229</v>
      </c>
      <c r="D380" s="28" t="s">
        <v>153</v>
      </c>
      <c r="E380" s="27" t="s">
        <v>32</v>
      </c>
      <c r="F380" s="27" t="s">
        <v>194</v>
      </c>
      <c r="G380" s="28" t="s">
        <v>66</v>
      </c>
      <c r="H380" s="28" t="s">
        <v>193</v>
      </c>
      <c r="I380" s="36">
        <v>699</v>
      </c>
      <c r="J380" s="27"/>
      <c r="K380" s="29"/>
      <c r="L380" s="29"/>
      <c r="M380" s="29"/>
      <c r="N380" s="29"/>
    </row>
    <row r="381" spans="2:14" x14ac:dyDescent="0.25">
      <c r="B381" s="27" t="s">
        <v>123</v>
      </c>
      <c r="C381" s="28">
        <v>564135</v>
      </c>
      <c r="D381" s="28" t="s">
        <v>151</v>
      </c>
      <c r="E381" s="27" t="s">
        <v>32</v>
      </c>
      <c r="F381" s="27" t="s">
        <v>194</v>
      </c>
      <c r="G381" s="28" t="s">
        <v>66</v>
      </c>
      <c r="H381" s="28" t="s">
        <v>193</v>
      </c>
      <c r="I381" s="36">
        <v>52</v>
      </c>
      <c r="J381" s="27"/>
      <c r="K381" s="29"/>
      <c r="L381" s="29"/>
      <c r="M381" s="29"/>
      <c r="N381" s="29"/>
    </row>
    <row r="382" spans="2:14" x14ac:dyDescent="0.25">
      <c r="B382" s="27" t="s">
        <v>123</v>
      </c>
      <c r="C382" s="28">
        <v>564125</v>
      </c>
      <c r="D382" s="28" t="s">
        <v>500</v>
      </c>
      <c r="E382" s="27" t="s">
        <v>32</v>
      </c>
      <c r="F382" s="27" t="s">
        <v>194</v>
      </c>
      <c r="G382" s="28" t="s">
        <v>66</v>
      </c>
      <c r="H382" s="28" t="s">
        <v>193</v>
      </c>
      <c r="I382" s="36">
        <v>25</v>
      </c>
      <c r="J382" s="27"/>
      <c r="K382" s="29"/>
      <c r="L382" s="29"/>
      <c r="M382" s="29"/>
      <c r="N382" s="29"/>
    </row>
    <row r="383" spans="2:14" x14ac:dyDescent="0.25">
      <c r="B383" s="27" t="s">
        <v>123</v>
      </c>
      <c r="C383" s="28">
        <v>564119</v>
      </c>
      <c r="D383" s="28" t="s">
        <v>501</v>
      </c>
      <c r="E383" s="27" t="s">
        <v>32</v>
      </c>
      <c r="F383" s="27" t="s">
        <v>194</v>
      </c>
      <c r="G383" s="28" t="s">
        <v>66</v>
      </c>
      <c r="H383" s="28" t="s">
        <v>193</v>
      </c>
      <c r="I383" s="36">
        <v>25</v>
      </c>
      <c r="J383" s="27"/>
      <c r="K383" s="29"/>
      <c r="L383" s="29"/>
      <c r="M383" s="29"/>
      <c r="N383" s="29"/>
    </row>
    <row r="384" spans="2:14" x14ac:dyDescent="0.25">
      <c r="B384" s="27" t="s">
        <v>123</v>
      </c>
      <c r="C384" s="28">
        <v>564127</v>
      </c>
      <c r="D384" s="28" t="s">
        <v>502</v>
      </c>
      <c r="E384" s="27" t="s">
        <v>32</v>
      </c>
      <c r="F384" s="27" t="s">
        <v>194</v>
      </c>
      <c r="G384" s="28" t="s">
        <v>66</v>
      </c>
      <c r="H384" s="28" t="s">
        <v>193</v>
      </c>
      <c r="I384" s="36">
        <v>25</v>
      </c>
      <c r="J384" s="27"/>
      <c r="K384" s="29"/>
      <c r="L384" s="29"/>
      <c r="M384" s="29"/>
      <c r="N384" s="29"/>
    </row>
    <row r="385" spans="2:14" x14ac:dyDescent="0.25">
      <c r="B385" s="27" t="s">
        <v>123</v>
      </c>
      <c r="C385" s="28">
        <v>564122</v>
      </c>
      <c r="D385" s="28" t="s">
        <v>503</v>
      </c>
      <c r="E385" s="27" t="s">
        <v>32</v>
      </c>
      <c r="F385" s="27" t="s">
        <v>194</v>
      </c>
      <c r="G385" s="28" t="s">
        <v>66</v>
      </c>
      <c r="H385" s="28" t="s">
        <v>193</v>
      </c>
      <c r="I385" s="36">
        <v>25</v>
      </c>
      <c r="J385" s="27"/>
      <c r="K385" s="29"/>
      <c r="L385" s="29"/>
      <c r="M385" s="29"/>
      <c r="N385" s="29"/>
    </row>
    <row r="386" spans="2:14" x14ac:dyDescent="0.25">
      <c r="B386" s="27" t="s">
        <v>123</v>
      </c>
      <c r="C386" s="28">
        <v>534909</v>
      </c>
      <c r="D386" s="28" t="s">
        <v>504</v>
      </c>
      <c r="E386" s="27" t="s">
        <v>32</v>
      </c>
      <c r="F386" s="27" t="s">
        <v>194</v>
      </c>
      <c r="G386" s="28" t="s">
        <v>66</v>
      </c>
      <c r="H386" s="28" t="s">
        <v>193</v>
      </c>
      <c r="I386" s="36">
        <v>299</v>
      </c>
      <c r="J386" s="27"/>
      <c r="K386" s="29"/>
      <c r="L386" s="29"/>
      <c r="M386" s="29"/>
      <c r="N386" s="29"/>
    </row>
    <row r="387" spans="2:14" x14ac:dyDescent="0.25">
      <c r="B387" s="27" t="s">
        <v>123</v>
      </c>
      <c r="C387" s="28">
        <v>534910</v>
      </c>
      <c r="D387" s="28" t="s">
        <v>505</v>
      </c>
      <c r="E387" s="27" t="s">
        <v>32</v>
      </c>
      <c r="F387" s="27" t="s">
        <v>194</v>
      </c>
      <c r="G387" s="28" t="s">
        <v>66</v>
      </c>
      <c r="H387" s="28" t="s">
        <v>193</v>
      </c>
      <c r="I387" s="36">
        <v>299</v>
      </c>
      <c r="J387" s="27"/>
      <c r="K387" s="29"/>
      <c r="L387" s="29"/>
      <c r="M387" s="29"/>
      <c r="N387" s="29"/>
    </row>
    <row r="388" spans="2:14" x14ac:dyDescent="0.25">
      <c r="B388" s="27" t="s">
        <v>123</v>
      </c>
      <c r="C388" s="28">
        <v>548787</v>
      </c>
      <c r="D388" s="28" t="s">
        <v>506</v>
      </c>
      <c r="E388" s="27" t="s">
        <v>32</v>
      </c>
      <c r="F388" s="27" t="s">
        <v>194</v>
      </c>
      <c r="G388" s="28" t="s">
        <v>66</v>
      </c>
      <c r="H388" s="28" t="s">
        <v>193</v>
      </c>
      <c r="I388" s="36">
        <v>59</v>
      </c>
      <c r="J388" s="27"/>
      <c r="K388" s="29"/>
      <c r="L388" s="29"/>
      <c r="M388" s="29"/>
      <c r="N388" s="29"/>
    </row>
    <row r="389" spans="2:14" x14ac:dyDescent="0.25">
      <c r="B389" s="27" t="s">
        <v>123</v>
      </c>
      <c r="C389" s="28">
        <v>563487</v>
      </c>
      <c r="D389" s="28" t="s">
        <v>507</v>
      </c>
      <c r="E389" s="27" t="s">
        <v>32</v>
      </c>
      <c r="F389" s="27" t="s">
        <v>194</v>
      </c>
      <c r="G389" s="28" t="s">
        <v>66</v>
      </c>
      <c r="H389" s="28" t="s">
        <v>193</v>
      </c>
      <c r="I389" s="36">
        <v>59</v>
      </c>
      <c r="J389" s="27"/>
      <c r="K389" s="29"/>
      <c r="L389" s="29"/>
      <c r="M389" s="29"/>
      <c r="N389" s="29"/>
    </row>
    <row r="390" spans="2:14" x14ac:dyDescent="0.25">
      <c r="B390" s="27" t="s">
        <v>123</v>
      </c>
      <c r="C390" s="28">
        <v>554424</v>
      </c>
      <c r="D390" s="28" t="s">
        <v>508</v>
      </c>
      <c r="E390" s="27" t="s">
        <v>32</v>
      </c>
      <c r="F390" s="27" t="s">
        <v>194</v>
      </c>
      <c r="G390" s="28" t="s">
        <v>66</v>
      </c>
      <c r="H390" s="28" t="s">
        <v>193</v>
      </c>
      <c r="I390" s="36">
        <v>59</v>
      </c>
      <c r="J390" s="27"/>
      <c r="K390" s="29"/>
      <c r="L390" s="29"/>
      <c r="M390" s="29"/>
      <c r="N390" s="29"/>
    </row>
    <row r="391" spans="2:14" x14ac:dyDescent="0.25">
      <c r="B391" s="27" t="s">
        <v>123</v>
      </c>
      <c r="C391" s="28">
        <v>548784</v>
      </c>
      <c r="D391" s="28" t="s">
        <v>509</v>
      </c>
      <c r="E391" s="27" t="s">
        <v>32</v>
      </c>
      <c r="F391" s="27" t="s">
        <v>194</v>
      </c>
      <c r="G391" s="28" t="s">
        <v>66</v>
      </c>
      <c r="H391" s="28" t="s">
        <v>193</v>
      </c>
      <c r="I391" s="36">
        <v>59</v>
      </c>
      <c r="J391" s="27"/>
      <c r="K391" s="29"/>
      <c r="L391" s="29"/>
      <c r="M391" s="29"/>
      <c r="N391" s="29"/>
    </row>
    <row r="392" spans="2:14" x14ac:dyDescent="0.25">
      <c r="B392" s="27" t="s">
        <v>123</v>
      </c>
      <c r="C392" s="28">
        <v>554426</v>
      </c>
      <c r="D392" s="28" t="s">
        <v>510</v>
      </c>
      <c r="E392" s="27" t="s">
        <v>32</v>
      </c>
      <c r="F392" s="27" t="s">
        <v>194</v>
      </c>
      <c r="G392" s="28" t="s">
        <v>66</v>
      </c>
      <c r="H392" s="28" t="s">
        <v>193</v>
      </c>
      <c r="I392" s="36">
        <v>59</v>
      </c>
      <c r="J392" s="27"/>
      <c r="K392" s="29"/>
      <c r="L392" s="29"/>
      <c r="M392" s="29"/>
      <c r="N392" s="29"/>
    </row>
    <row r="393" spans="2:14" x14ac:dyDescent="0.25">
      <c r="B393" s="27" t="s">
        <v>123</v>
      </c>
      <c r="C393" s="28">
        <v>548785</v>
      </c>
      <c r="D393" s="28" t="s">
        <v>511</v>
      </c>
      <c r="E393" s="27" t="s">
        <v>32</v>
      </c>
      <c r="F393" s="27" t="s">
        <v>194</v>
      </c>
      <c r="G393" s="28" t="s">
        <v>66</v>
      </c>
      <c r="H393" s="28" t="s">
        <v>193</v>
      </c>
      <c r="I393" s="36">
        <v>59</v>
      </c>
      <c r="J393" s="27"/>
      <c r="K393" s="29"/>
      <c r="L393" s="29"/>
      <c r="M393" s="29"/>
      <c r="N393" s="29"/>
    </row>
    <row r="394" spans="2:14" x14ac:dyDescent="0.25">
      <c r="B394" s="27" t="s">
        <v>123</v>
      </c>
      <c r="C394" s="28">
        <v>548775</v>
      </c>
      <c r="D394" s="28" t="s">
        <v>512</v>
      </c>
      <c r="E394" s="27" t="s">
        <v>32</v>
      </c>
      <c r="F394" s="27" t="s">
        <v>194</v>
      </c>
      <c r="G394" s="28" t="s">
        <v>66</v>
      </c>
      <c r="H394" s="28" t="s">
        <v>193</v>
      </c>
      <c r="I394" s="36">
        <v>35</v>
      </c>
      <c r="J394" s="27"/>
      <c r="K394" s="29"/>
      <c r="L394" s="29"/>
      <c r="M394" s="29"/>
      <c r="N394" s="29"/>
    </row>
    <row r="395" spans="2:14" x14ac:dyDescent="0.25">
      <c r="B395" s="27" t="s">
        <v>123</v>
      </c>
      <c r="C395" s="28">
        <v>548774</v>
      </c>
      <c r="D395" s="28" t="s">
        <v>513</v>
      </c>
      <c r="E395" s="27" t="s">
        <v>32</v>
      </c>
      <c r="F395" s="27" t="s">
        <v>194</v>
      </c>
      <c r="G395" s="28" t="s">
        <v>66</v>
      </c>
      <c r="H395" s="28" t="s">
        <v>193</v>
      </c>
      <c r="I395" s="36">
        <v>35</v>
      </c>
      <c r="J395" s="27"/>
      <c r="K395" s="29"/>
      <c r="L395" s="29"/>
      <c r="M395" s="29"/>
      <c r="N395" s="29"/>
    </row>
    <row r="396" spans="2:14" x14ac:dyDescent="0.25">
      <c r="B396" s="27" t="s">
        <v>123</v>
      </c>
      <c r="C396" s="28">
        <v>548773</v>
      </c>
      <c r="D396" s="28" t="s">
        <v>514</v>
      </c>
      <c r="E396" s="27" t="s">
        <v>32</v>
      </c>
      <c r="F396" s="27" t="s">
        <v>194</v>
      </c>
      <c r="G396" s="28" t="s">
        <v>66</v>
      </c>
      <c r="H396" s="28" t="s">
        <v>193</v>
      </c>
      <c r="I396" s="36">
        <v>35</v>
      </c>
      <c r="J396" s="27"/>
      <c r="K396" s="29"/>
      <c r="L396" s="29"/>
      <c r="M396" s="29"/>
      <c r="N396" s="29"/>
    </row>
    <row r="397" spans="2:14" x14ac:dyDescent="0.25">
      <c r="B397" s="27" t="s">
        <v>123</v>
      </c>
      <c r="C397" s="28">
        <v>548782</v>
      </c>
      <c r="D397" s="28" t="s">
        <v>515</v>
      </c>
      <c r="E397" s="27" t="s">
        <v>32</v>
      </c>
      <c r="F397" s="27" t="s">
        <v>194</v>
      </c>
      <c r="G397" s="28" t="s">
        <v>66</v>
      </c>
      <c r="H397" s="28" t="s">
        <v>193</v>
      </c>
      <c r="I397" s="36">
        <v>42</v>
      </c>
      <c r="J397" s="27"/>
      <c r="K397" s="29"/>
      <c r="L397" s="29"/>
      <c r="M397" s="29"/>
      <c r="N397" s="29"/>
    </row>
    <row r="398" spans="2:14" x14ac:dyDescent="0.25">
      <c r="B398" s="27" t="s">
        <v>123</v>
      </c>
      <c r="C398" s="28">
        <v>548783</v>
      </c>
      <c r="D398" s="28" t="s">
        <v>516</v>
      </c>
      <c r="E398" s="27" t="s">
        <v>32</v>
      </c>
      <c r="F398" s="27" t="s">
        <v>194</v>
      </c>
      <c r="G398" s="28" t="s">
        <v>66</v>
      </c>
      <c r="H398" s="28" t="s">
        <v>193</v>
      </c>
      <c r="I398" s="36">
        <v>42</v>
      </c>
      <c r="J398" s="27"/>
      <c r="K398" s="29"/>
      <c r="L398" s="29"/>
      <c r="M398" s="29"/>
      <c r="N398" s="29"/>
    </row>
    <row r="399" spans="2:14" x14ac:dyDescent="0.25">
      <c r="B399" s="27" t="s">
        <v>123</v>
      </c>
      <c r="C399" s="28">
        <v>568117</v>
      </c>
      <c r="D399" s="28" t="s">
        <v>517</v>
      </c>
      <c r="E399" s="27" t="s">
        <v>32</v>
      </c>
      <c r="F399" s="27" t="s">
        <v>194</v>
      </c>
      <c r="G399" s="28" t="s">
        <v>66</v>
      </c>
      <c r="H399" s="28" t="s">
        <v>193</v>
      </c>
      <c r="I399" s="36">
        <v>17</v>
      </c>
      <c r="J399" s="27"/>
      <c r="K399" s="29"/>
      <c r="L399" s="29"/>
      <c r="M399" s="29"/>
      <c r="N399" s="29"/>
    </row>
    <row r="400" spans="2:14" x14ac:dyDescent="0.25">
      <c r="B400" s="27" t="s">
        <v>123</v>
      </c>
      <c r="C400" s="28">
        <v>568118</v>
      </c>
      <c r="D400" s="28" t="s">
        <v>518</v>
      </c>
      <c r="E400" s="27" t="s">
        <v>32</v>
      </c>
      <c r="F400" s="27" t="s">
        <v>194</v>
      </c>
      <c r="G400" s="28" t="s">
        <v>66</v>
      </c>
      <c r="H400" s="28" t="s">
        <v>193</v>
      </c>
      <c r="I400" s="36">
        <v>17</v>
      </c>
      <c r="J400" s="27"/>
      <c r="K400" s="29"/>
      <c r="L400" s="29"/>
      <c r="M400" s="29"/>
      <c r="N400" s="29"/>
    </row>
    <row r="401" spans="2:14" x14ac:dyDescent="0.25">
      <c r="B401" s="27" t="s">
        <v>123</v>
      </c>
      <c r="C401" s="28">
        <v>568115</v>
      </c>
      <c r="D401" s="28" t="s">
        <v>519</v>
      </c>
      <c r="E401" s="27" t="s">
        <v>32</v>
      </c>
      <c r="F401" s="27" t="s">
        <v>194</v>
      </c>
      <c r="G401" s="28" t="s">
        <v>66</v>
      </c>
      <c r="H401" s="28" t="s">
        <v>193</v>
      </c>
      <c r="I401" s="36">
        <v>39</v>
      </c>
      <c r="J401" s="27"/>
      <c r="K401" s="29"/>
      <c r="L401" s="29"/>
      <c r="M401" s="29"/>
      <c r="N401" s="29"/>
    </row>
    <row r="402" spans="2:14" x14ac:dyDescent="0.25">
      <c r="B402" s="27" t="s">
        <v>123</v>
      </c>
      <c r="C402" s="28">
        <v>562810</v>
      </c>
      <c r="D402" s="28" t="s">
        <v>520</v>
      </c>
      <c r="E402" s="27" t="s">
        <v>32</v>
      </c>
      <c r="F402" s="27" t="s">
        <v>194</v>
      </c>
      <c r="G402" s="28" t="s">
        <v>66</v>
      </c>
      <c r="H402" s="28" t="s">
        <v>193</v>
      </c>
      <c r="I402" s="36">
        <v>9</v>
      </c>
      <c r="J402" s="27"/>
      <c r="K402" s="29"/>
      <c r="L402" s="29"/>
      <c r="M402" s="29"/>
      <c r="N402" s="29"/>
    </row>
    <row r="403" spans="2:14" x14ac:dyDescent="0.25">
      <c r="B403" s="27" t="s">
        <v>123</v>
      </c>
      <c r="C403" s="28">
        <v>497003</v>
      </c>
      <c r="D403" s="28" t="s">
        <v>521</v>
      </c>
      <c r="E403" s="27" t="s">
        <v>32</v>
      </c>
      <c r="F403" s="27" t="s">
        <v>194</v>
      </c>
      <c r="G403" s="28" t="s">
        <v>66</v>
      </c>
      <c r="H403" s="28" t="s">
        <v>193</v>
      </c>
      <c r="I403" s="36">
        <v>39</v>
      </c>
      <c r="J403" s="27"/>
      <c r="K403" s="29"/>
      <c r="L403" s="29"/>
      <c r="M403" s="29"/>
      <c r="N403" s="29"/>
    </row>
    <row r="404" spans="2:14" x14ac:dyDescent="0.25">
      <c r="B404" s="27" t="s">
        <v>123</v>
      </c>
      <c r="C404" s="28">
        <v>506370</v>
      </c>
      <c r="D404" s="28" t="s">
        <v>522</v>
      </c>
      <c r="E404" s="27" t="s">
        <v>32</v>
      </c>
      <c r="F404" s="27" t="s">
        <v>194</v>
      </c>
      <c r="G404" s="28" t="s">
        <v>66</v>
      </c>
      <c r="H404" s="28" t="s">
        <v>193</v>
      </c>
      <c r="I404" s="36">
        <v>19</v>
      </c>
      <c r="J404" s="27"/>
      <c r="K404" s="29"/>
      <c r="L404" s="29"/>
      <c r="M404" s="29"/>
      <c r="N404" s="29"/>
    </row>
    <row r="405" spans="2:14" x14ac:dyDescent="0.25">
      <c r="B405" s="27" t="s">
        <v>123</v>
      </c>
      <c r="C405" s="28">
        <v>500646</v>
      </c>
      <c r="D405" s="28" t="s">
        <v>523</v>
      </c>
      <c r="E405" s="27" t="s">
        <v>32</v>
      </c>
      <c r="F405" s="27" t="s">
        <v>194</v>
      </c>
      <c r="G405" s="28" t="s">
        <v>66</v>
      </c>
      <c r="H405" s="28" t="s">
        <v>193</v>
      </c>
      <c r="I405" s="36">
        <v>9</v>
      </c>
      <c r="J405" s="27"/>
      <c r="K405" s="29"/>
      <c r="L405" s="29"/>
      <c r="M405" s="29"/>
      <c r="N405" s="29"/>
    </row>
    <row r="406" spans="2:14" x14ac:dyDescent="0.25">
      <c r="B406" s="27" t="s">
        <v>123</v>
      </c>
      <c r="C406" s="28">
        <v>506281</v>
      </c>
      <c r="D406" s="28" t="s">
        <v>524</v>
      </c>
      <c r="E406" s="27" t="s">
        <v>32</v>
      </c>
      <c r="F406" s="27" t="s">
        <v>194</v>
      </c>
      <c r="G406" s="28" t="s">
        <v>66</v>
      </c>
      <c r="H406" s="28" t="s">
        <v>193</v>
      </c>
      <c r="I406" s="36">
        <v>9</v>
      </c>
      <c r="J406" s="27"/>
      <c r="K406" s="29"/>
      <c r="L406" s="29"/>
      <c r="M406" s="29"/>
      <c r="N406" s="29"/>
    </row>
    <row r="407" spans="2:14" x14ac:dyDescent="0.25">
      <c r="B407" s="27" t="s">
        <v>123</v>
      </c>
      <c r="C407" s="28">
        <v>524003</v>
      </c>
      <c r="D407" s="28" t="s">
        <v>525</v>
      </c>
      <c r="E407" s="27" t="s">
        <v>32</v>
      </c>
      <c r="F407" s="27" t="s">
        <v>194</v>
      </c>
      <c r="G407" s="28" t="s">
        <v>66</v>
      </c>
      <c r="H407" s="28" t="s">
        <v>193</v>
      </c>
      <c r="I407" s="36">
        <v>15</v>
      </c>
      <c r="J407" s="27"/>
      <c r="K407" s="29"/>
      <c r="L407" s="29"/>
      <c r="M407" s="29"/>
      <c r="N407" s="29"/>
    </row>
    <row r="408" spans="2:14" x14ac:dyDescent="0.25">
      <c r="B408" s="27" t="s">
        <v>123</v>
      </c>
      <c r="C408" s="28">
        <v>500096</v>
      </c>
      <c r="D408" s="28" t="s">
        <v>526</v>
      </c>
      <c r="E408" s="27" t="s">
        <v>32</v>
      </c>
      <c r="F408" s="27" t="s">
        <v>194</v>
      </c>
      <c r="G408" s="28" t="s">
        <v>66</v>
      </c>
      <c r="H408" s="28" t="s">
        <v>193</v>
      </c>
      <c r="I408" s="36">
        <v>19</v>
      </c>
      <c r="J408" s="27"/>
      <c r="K408" s="29"/>
      <c r="L408" s="29"/>
      <c r="M408" s="29"/>
      <c r="N408" s="29"/>
    </row>
    <row r="409" spans="2:14" x14ac:dyDescent="0.25">
      <c r="B409" s="27" t="s">
        <v>123</v>
      </c>
      <c r="C409" s="28">
        <v>500647</v>
      </c>
      <c r="D409" s="28" t="s">
        <v>527</v>
      </c>
      <c r="E409" s="27" t="s">
        <v>32</v>
      </c>
      <c r="F409" s="27" t="s">
        <v>194</v>
      </c>
      <c r="G409" s="28" t="s">
        <v>66</v>
      </c>
      <c r="H409" s="28" t="s">
        <v>193</v>
      </c>
      <c r="I409" s="36">
        <v>9</v>
      </c>
      <c r="J409" s="27"/>
      <c r="K409" s="29"/>
      <c r="L409" s="29"/>
      <c r="M409" s="29"/>
      <c r="N409" s="29"/>
    </row>
    <row r="410" spans="2:14" x14ac:dyDescent="0.25">
      <c r="B410" s="27" t="s">
        <v>123</v>
      </c>
      <c r="C410" s="28">
        <v>481511</v>
      </c>
      <c r="D410" s="28" t="s">
        <v>528</v>
      </c>
      <c r="E410" s="27" t="s">
        <v>32</v>
      </c>
      <c r="F410" s="27" t="s">
        <v>194</v>
      </c>
      <c r="G410" s="28" t="s">
        <v>66</v>
      </c>
      <c r="H410" s="28" t="s">
        <v>193</v>
      </c>
      <c r="I410" s="36">
        <v>33</v>
      </c>
      <c r="J410" s="27"/>
      <c r="K410" s="29"/>
      <c r="L410" s="29"/>
      <c r="M410" s="29"/>
      <c r="N410" s="29"/>
    </row>
    <row r="411" spans="2:14" x14ac:dyDescent="0.25">
      <c r="B411" s="27" t="s">
        <v>123</v>
      </c>
      <c r="C411" s="28">
        <v>506387</v>
      </c>
      <c r="D411" s="28" t="s">
        <v>529</v>
      </c>
      <c r="E411" s="27" t="s">
        <v>32</v>
      </c>
      <c r="F411" s="27" t="s">
        <v>194</v>
      </c>
      <c r="G411" s="28" t="s">
        <v>66</v>
      </c>
      <c r="H411" s="28" t="s">
        <v>193</v>
      </c>
      <c r="I411" s="36">
        <v>11</v>
      </c>
      <c r="J411" s="27"/>
      <c r="K411" s="29"/>
      <c r="L411" s="29"/>
      <c r="M411" s="29"/>
      <c r="N411" s="29"/>
    </row>
    <row r="412" spans="2:14" x14ac:dyDescent="0.25">
      <c r="B412" s="27" t="s">
        <v>123</v>
      </c>
      <c r="C412" s="28">
        <v>563491</v>
      </c>
      <c r="D412" s="28" t="s">
        <v>530</v>
      </c>
      <c r="E412" s="27" t="s">
        <v>32</v>
      </c>
      <c r="F412" s="27" t="s">
        <v>194</v>
      </c>
      <c r="G412" s="28" t="s">
        <v>66</v>
      </c>
      <c r="H412" s="28" t="s">
        <v>193</v>
      </c>
      <c r="I412" s="36">
        <v>549</v>
      </c>
      <c r="J412" s="27"/>
      <c r="K412" s="29"/>
      <c r="L412" s="29"/>
      <c r="M412" s="29"/>
      <c r="N412" s="29"/>
    </row>
    <row r="413" spans="2:14" x14ac:dyDescent="0.25">
      <c r="B413" s="27" t="s">
        <v>123</v>
      </c>
      <c r="C413" s="28">
        <v>565242</v>
      </c>
      <c r="D413" s="28" t="s">
        <v>531</v>
      </c>
      <c r="E413" s="27" t="s">
        <v>32</v>
      </c>
      <c r="F413" s="27" t="s">
        <v>194</v>
      </c>
      <c r="G413" s="28" t="s">
        <v>66</v>
      </c>
      <c r="H413" s="28" t="s">
        <v>193</v>
      </c>
      <c r="I413" s="36">
        <v>389</v>
      </c>
      <c r="J413" s="27"/>
      <c r="K413" s="29"/>
      <c r="L413" s="29"/>
      <c r="M413" s="29"/>
      <c r="N413" s="29"/>
    </row>
    <row r="414" spans="2:14" x14ac:dyDescent="0.25">
      <c r="B414" s="27" t="s">
        <v>123</v>
      </c>
      <c r="C414" s="28">
        <v>561478</v>
      </c>
      <c r="D414" s="28" t="s">
        <v>532</v>
      </c>
      <c r="E414" s="27" t="s">
        <v>32</v>
      </c>
      <c r="F414" s="27" t="s">
        <v>194</v>
      </c>
      <c r="G414" s="28" t="s">
        <v>66</v>
      </c>
      <c r="H414" s="28" t="s">
        <v>193</v>
      </c>
      <c r="I414" s="36">
        <v>539</v>
      </c>
      <c r="J414" s="27"/>
      <c r="K414" s="29"/>
      <c r="L414" s="29"/>
      <c r="M414" s="29"/>
      <c r="N414" s="29"/>
    </row>
    <row r="415" spans="2:14" x14ac:dyDescent="0.25">
      <c r="B415" s="27" t="s">
        <v>123</v>
      </c>
      <c r="C415" s="28">
        <v>563218</v>
      </c>
      <c r="D415" s="28" t="s">
        <v>533</v>
      </c>
      <c r="E415" s="27" t="s">
        <v>32</v>
      </c>
      <c r="F415" s="27" t="s">
        <v>194</v>
      </c>
      <c r="G415" s="28" t="s">
        <v>66</v>
      </c>
      <c r="H415" s="28" t="s">
        <v>193</v>
      </c>
      <c r="I415" s="36">
        <v>659</v>
      </c>
      <c r="J415" s="27"/>
      <c r="K415" s="29"/>
      <c r="L415" s="29"/>
      <c r="M415" s="29"/>
      <c r="N415" s="29"/>
    </row>
    <row r="416" spans="2:14" x14ac:dyDescent="0.25">
      <c r="B416" s="27" t="s">
        <v>123</v>
      </c>
      <c r="C416" s="28">
        <v>565241</v>
      </c>
      <c r="D416" s="28" t="s">
        <v>534</v>
      </c>
      <c r="E416" s="27" t="s">
        <v>32</v>
      </c>
      <c r="F416" s="27" t="s">
        <v>194</v>
      </c>
      <c r="G416" s="28" t="s">
        <v>66</v>
      </c>
      <c r="H416" s="28" t="s">
        <v>193</v>
      </c>
      <c r="I416" s="36">
        <v>689</v>
      </c>
      <c r="J416" s="27"/>
      <c r="K416" s="29"/>
      <c r="L416" s="29"/>
      <c r="M416" s="29"/>
      <c r="N416" s="29"/>
    </row>
    <row r="417" spans="2:14" x14ac:dyDescent="0.25">
      <c r="B417" s="27" t="s">
        <v>123</v>
      </c>
      <c r="C417" s="28">
        <v>563220</v>
      </c>
      <c r="D417" s="28" t="s">
        <v>535</v>
      </c>
      <c r="E417" s="27" t="s">
        <v>32</v>
      </c>
      <c r="F417" s="27" t="s">
        <v>194</v>
      </c>
      <c r="G417" s="28" t="s">
        <v>66</v>
      </c>
      <c r="H417" s="28" t="s">
        <v>193</v>
      </c>
      <c r="I417" s="36">
        <v>849</v>
      </c>
      <c r="J417" s="27"/>
      <c r="K417" s="29"/>
      <c r="L417" s="29"/>
      <c r="M417" s="29"/>
      <c r="N417" s="29"/>
    </row>
    <row r="418" spans="2:14" x14ac:dyDescent="0.25">
      <c r="B418" s="27" t="s">
        <v>123</v>
      </c>
      <c r="C418" s="28">
        <v>565213</v>
      </c>
      <c r="D418" s="28" t="s">
        <v>536</v>
      </c>
      <c r="E418" s="27" t="s">
        <v>32</v>
      </c>
      <c r="F418" s="27" t="s">
        <v>194</v>
      </c>
      <c r="G418" s="28" t="s">
        <v>66</v>
      </c>
      <c r="H418" s="28" t="s">
        <v>193</v>
      </c>
      <c r="I418" s="36">
        <v>15</v>
      </c>
      <c r="J418" s="27"/>
      <c r="K418" s="29"/>
      <c r="L418" s="29"/>
      <c r="M418" s="29"/>
      <c r="N418" s="29"/>
    </row>
    <row r="419" spans="2:14" x14ac:dyDescent="0.25">
      <c r="B419" s="27" t="s">
        <v>123</v>
      </c>
      <c r="C419" s="28">
        <v>565214</v>
      </c>
      <c r="D419" s="28" t="s">
        <v>537</v>
      </c>
      <c r="E419" s="27" t="s">
        <v>32</v>
      </c>
      <c r="F419" s="27" t="s">
        <v>194</v>
      </c>
      <c r="G419" s="28" t="s">
        <v>66</v>
      </c>
      <c r="H419" s="28" t="s">
        <v>193</v>
      </c>
      <c r="I419" s="36">
        <v>15</v>
      </c>
      <c r="J419" s="27"/>
      <c r="K419" s="29"/>
      <c r="L419" s="29"/>
      <c r="M419" s="29"/>
      <c r="N419" s="29"/>
    </row>
    <row r="420" spans="2:14" x14ac:dyDescent="0.25">
      <c r="B420" s="27" t="s">
        <v>123</v>
      </c>
      <c r="C420" s="28">
        <v>565215</v>
      </c>
      <c r="D420" s="28" t="s">
        <v>538</v>
      </c>
      <c r="E420" s="27" t="s">
        <v>32</v>
      </c>
      <c r="F420" s="27" t="s">
        <v>194</v>
      </c>
      <c r="G420" s="28" t="s">
        <v>66</v>
      </c>
      <c r="H420" s="28" t="s">
        <v>193</v>
      </c>
      <c r="I420" s="36">
        <v>15</v>
      </c>
      <c r="J420" s="27"/>
      <c r="K420" s="29"/>
      <c r="L420" s="29"/>
      <c r="M420" s="29"/>
      <c r="N420" s="29"/>
    </row>
    <row r="421" spans="2:14" x14ac:dyDescent="0.25">
      <c r="B421" s="27" t="s">
        <v>123</v>
      </c>
      <c r="C421" s="28">
        <v>565217</v>
      </c>
      <c r="D421" s="28" t="s">
        <v>539</v>
      </c>
      <c r="E421" s="27" t="s">
        <v>32</v>
      </c>
      <c r="F421" s="27" t="s">
        <v>194</v>
      </c>
      <c r="G421" s="28" t="s">
        <v>66</v>
      </c>
      <c r="H421" s="28" t="s">
        <v>193</v>
      </c>
      <c r="I421" s="36">
        <v>15</v>
      </c>
      <c r="J421" s="27"/>
      <c r="K421" s="29"/>
      <c r="L421" s="29"/>
      <c r="M421" s="29"/>
      <c r="N421" s="29"/>
    </row>
    <row r="422" spans="2:14" x14ac:dyDescent="0.25">
      <c r="B422" s="27" t="s">
        <v>123</v>
      </c>
      <c r="C422" s="28">
        <v>419264</v>
      </c>
      <c r="D422" s="28" t="s">
        <v>540</v>
      </c>
      <c r="E422" s="27" t="s">
        <v>32</v>
      </c>
      <c r="F422" s="27" t="s">
        <v>194</v>
      </c>
      <c r="G422" s="28" t="s">
        <v>66</v>
      </c>
      <c r="H422" s="28" t="s">
        <v>193</v>
      </c>
      <c r="I422" s="36">
        <v>25</v>
      </c>
      <c r="J422" s="27"/>
      <c r="K422" s="29"/>
      <c r="L422" s="29"/>
      <c r="M422" s="29"/>
      <c r="N422" s="29"/>
    </row>
    <row r="423" spans="2:14" x14ac:dyDescent="0.25">
      <c r="B423" s="27" t="s">
        <v>123</v>
      </c>
      <c r="C423" s="28">
        <v>419261</v>
      </c>
      <c r="D423" s="28" t="s">
        <v>541</v>
      </c>
      <c r="E423" s="27" t="s">
        <v>32</v>
      </c>
      <c r="F423" s="27" t="s">
        <v>194</v>
      </c>
      <c r="G423" s="28" t="s">
        <v>66</v>
      </c>
      <c r="H423" s="28" t="s">
        <v>193</v>
      </c>
      <c r="I423" s="36">
        <v>45</v>
      </c>
      <c r="J423" s="27"/>
      <c r="K423" s="29"/>
      <c r="L423" s="29"/>
      <c r="M423" s="29"/>
      <c r="N423" s="29"/>
    </row>
    <row r="424" spans="2:14" x14ac:dyDescent="0.25">
      <c r="B424" s="27" t="s">
        <v>123</v>
      </c>
      <c r="C424" s="28">
        <v>550468</v>
      </c>
      <c r="D424" s="28" t="s">
        <v>542</v>
      </c>
      <c r="E424" s="27" t="s">
        <v>32</v>
      </c>
      <c r="F424" s="27" t="s">
        <v>194</v>
      </c>
      <c r="G424" s="28" t="s">
        <v>66</v>
      </c>
      <c r="H424" s="28" t="s">
        <v>193</v>
      </c>
      <c r="I424" s="36">
        <v>209</v>
      </c>
      <c r="J424" s="27"/>
      <c r="K424" s="29"/>
      <c r="L424" s="29"/>
      <c r="M424" s="29"/>
      <c r="N424" s="29"/>
    </row>
    <row r="425" spans="2:14" x14ac:dyDescent="0.25">
      <c r="B425" s="27" t="s">
        <v>123</v>
      </c>
      <c r="C425" s="28">
        <v>550471</v>
      </c>
      <c r="D425" s="28" t="s">
        <v>543</v>
      </c>
      <c r="E425" s="27" t="s">
        <v>32</v>
      </c>
      <c r="F425" s="27" t="s">
        <v>194</v>
      </c>
      <c r="G425" s="28" t="s">
        <v>66</v>
      </c>
      <c r="H425" s="28" t="s">
        <v>193</v>
      </c>
      <c r="I425" s="36">
        <v>499</v>
      </c>
      <c r="J425" s="27"/>
      <c r="K425" s="29"/>
      <c r="L425" s="29"/>
      <c r="M425" s="29"/>
      <c r="N425" s="29"/>
    </row>
    <row r="426" spans="2:14" x14ac:dyDescent="0.25">
      <c r="B426" s="27" t="s">
        <v>123</v>
      </c>
      <c r="C426" s="28">
        <v>550473</v>
      </c>
      <c r="D426" s="28" t="s">
        <v>544</v>
      </c>
      <c r="E426" s="27" t="s">
        <v>32</v>
      </c>
      <c r="F426" s="27" t="s">
        <v>194</v>
      </c>
      <c r="G426" s="28" t="s">
        <v>66</v>
      </c>
      <c r="H426" s="28" t="s">
        <v>193</v>
      </c>
      <c r="I426" s="36">
        <v>629</v>
      </c>
      <c r="J426" s="27"/>
      <c r="K426" s="29"/>
      <c r="L426" s="29"/>
      <c r="M426" s="29"/>
      <c r="N426" s="29"/>
    </row>
    <row r="427" spans="2:14" x14ac:dyDescent="0.25">
      <c r="B427" s="27" t="s">
        <v>123</v>
      </c>
      <c r="C427" s="28">
        <v>550469</v>
      </c>
      <c r="D427" s="28" t="s">
        <v>545</v>
      </c>
      <c r="E427" s="27" t="s">
        <v>32</v>
      </c>
      <c r="F427" s="27" t="s">
        <v>194</v>
      </c>
      <c r="G427" s="28" t="s">
        <v>66</v>
      </c>
      <c r="H427" s="28" t="s">
        <v>193</v>
      </c>
      <c r="I427" s="36">
        <v>329</v>
      </c>
      <c r="J427" s="27"/>
      <c r="K427" s="29"/>
      <c r="L427" s="29"/>
      <c r="M427" s="29"/>
      <c r="N427" s="29"/>
    </row>
    <row r="428" spans="2:14" x14ac:dyDescent="0.25">
      <c r="B428" s="27" t="s">
        <v>123</v>
      </c>
      <c r="C428" s="28">
        <v>550470</v>
      </c>
      <c r="D428" s="28" t="s">
        <v>546</v>
      </c>
      <c r="E428" s="27" t="s">
        <v>32</v>
      </c>
      <c r="F428" s="27" t="s">
        <v>194</v>
      </c>
      <c r="G428" s="28" t="s">
        <v>66</v>
      </c>
      <c r="H428" s="28" t="s">
        <v>193</v>
      </c>
      <c r="I428" s="36">
        <v>439</v>
      </c>
      <c r="J428" s="27"/>
      <c r="K428" s="29"/>
      <c r="L428" s="29"/>
      <c r="M428" s="29"/>
      <c r="N428" s="29"/>
    </row>
    <row r="429" spans="2:14" x14ac:dyDescent="0.25">
      <c r="B429" s="27" t="s">
        <v>123</v>
      </c>
      <c r="C429" s="28">
        <v>525618</v>
      </c>
      <c r="D429" s="28" t="s">
        <v>547</v>
      </c>
      <c r="E429" s="27" t="s">
        <v>32</v>
      </c>
      <c r="F429" s="27" t="s">
        <v>194</v>
      </c>
      <c r="G429" s="28" t="s">
        <v>66</v>
      </c>
      <c r="H429" s="28" t="s">
        <v>129</v>
      </c>
      <c r="I429" s="36">
        <v>439</v>
      </c>
      <c r="J429" s="27"/>
      <c r="K429" s="29"/>
      <c r="L429" s="29"/>
      <c r="M429" s="29"/>
      <c r="N429" s="29"/>
    </row>
    <row r="430" spans="2:14" x14ac:dyDescent="0.25">
      <c r="B430" s="27" t="s">
        <v>123</v>
      </c>
      <c r="C430" s="28">
        <v>525617</v>
      </c>
      <c r="D430" s="28" t="s">
        <v>548</v>
      </c>
      <c r="E430" s="27" t="s">
        <v>32</v>
      </c>
      <c r="F430" s="27" t="s">
        <v>194</v>
      </c>
      <c r="G430" s="28" t="s">
        <v>66</v>
      </c>
      <c r="H430" s="28" t="s">
        <v>129</v>
      </c>
      <c r="I430" s="36">
        <v>439</v>
      </c>
      <c r="J430" s="27"/>
      <c r="K430" s="29"/>
      <c r="L430" s="29"/>
      <c r="M430" s="29"/>
      <c r="N430" s="29"/>
    </row>
    <row r="431" spans="2:14" x14ac:dyDescent="0.25">
      <c r="B431" s="27" t="s">
        <v>123</v>
      </c>
      <c r="C431" s="28">
        <v>494902</v>
      </c>
      <c r="D431" s="28" t="s">
        <v>549</v>
      </c>
      <c r="E431" s="27" t="s">
        <v>32</v>
      </c>
      <c r="F431" s="27" t="s">
        <v>194</v>
      </c>
      <c r="G431" s="28" t="s">
        <v>66</v>
      </c>
      <c r="H431" s="28" t="s">
        <v>129</v>
      </c>
      <c r="I431" s="36">
        <v>329</v>
      </c>
      <c r="J431" s="27"/>
      <c r="K431" s="29"/>
      <c r="L431" s="29"/>
      <c r="M431" s="29"/>
      <c r="N431" s="29"/>
    </row>
    <row r="432" spans="2:14" x14ac:dyDescent="0.25">
      <c r="B432" s="27" t="s">
        <v>123</v>
      </c>
      <c r="C432" s="28">
        <v>518402</v>
      </c>
      <c r="D432" s="28" t="s">
        <v>550</v>
      </c>
      <c r="E432" s="27" t="s">
        <v>32</v>
      </c>
      <c r="F432" s="27" t="s">
        <v>194</v>
      </c>
      <c r="G432" s="28" t="s">
        <v>66</v>
      </c>
      <c r="H432" s="28" t="s">
        <v>129</v>
      </c>
      <c r="I432" s="36">
        <v>439</v>
      </c>
      <c r="J432" s="27"/>
      <c r="K432" s="29"/>
      <c r="L432" s="29"/>
      <c r="M432" s="29"/>
      <c r="N432" s="29"/>
    </row>
    <row r="433" spans="2:14" x14ac:dyDescent="0.25">
      <c r="B433" s="27" t="s">
        <v>123</v>
      </c>
      <c r="C433" s="28">
        <v>494217</v>
      </c>
      <c r="D433" s="28" t="s">
        <v>551</v>
      </c>
      <c r="E433" s="27" t="s">
        <v>32</v>
      </c>
      <c r="F433" s="27" t="s">
        <v>194</v>
      </c>
      <c r="G433" s="28" t="s">
        <v>66</v>
      </c>
      <c r="H433" s="28" t="s">
        <v>129</v>
      </c>
      <c r="I433" s="36">
        <v>329</v>
      </c>
      <c r="J433" s="27"/>
      <c r="K433" s="29"/>
      <c r="L433" s="29"/>
      <c r="M433" s="29"/>
      <c r="N433" s="29"/>
    </row>
    <row r="434" spans="2:14" x14ac:dyDescent="0.25">
      <c r="B434" s="27" t="s">
        <v>123</v>
      </c>
      <c r="C434" s="28">
        <v>494215</v>
      </c>
      <c r="D434" s="28" t="s">
        <v>552</v>
      </c>
      <c r="E434" s="27" t="s">
        <v>32</v>
      </c>
      <c r="F434" s="27" t="s">
        <v>194</v>
      </c>
      <c r="G434" s="28" t="s">
        <v>66</v>
      </c>
      <c r="H434" s="28" t="s">
        <v>129</v>
      </c>
      <c r="I434" s="36">
        <v>439</v>
      </c>
      <c r="J434" s="27"/>
      <c r="K434" s="29"/>
      <c r="L434" s="29"/>
      <c r="M434" s="29"/>
      <c r="N434" s="29"/>
    </row>
    <row r="435" spans="2:14" x14ac:dyDescent="0.25">
      <c r="B435" s="27" t="s">
        <v>123</v>
      </c>
      <c r="C435" s="28">
        <v>494203</v>
      </c>
      <c r="D435" s="28" t="s">
        <v>553</v>
      </c>
      <c r="E435" s="27" t="s">
        <v>32</v>
      </c>
      <c r="F435" s="27" t="s">
        <v>194</v>
      </c>
      <c r="G435" s="28" t="s">
        <v>66</v>
      </c>
      <c r="H435" s="28" t="s">
        <v>129</v>
      </c>
      <c r="I435" s="36">
        <v>1089</v>
      </c>
      <c r="J435" s="27"/>
      <c r="K435" s="29"/>
      <c r="L435" s="29"/>
      <c r="M435" s="29"/>
      <c r="N435" s="29"/>
    </row>
    <row r="436" spans="2:14" x14ac:dyDescent="0.25">
      <c r="B436" s="27" t="s">
        <v>123</v>
      </c>
      <c r="C436" s="28">
        <v>525770</v>
      </c>
      <c r="D436" s="28" t="s">
        <v>554</v>
      </c>
      <c r="E436" s="27" t="s">
        <v>32</v>
      </c>
      <c r="F436" s="27" t="s">
        <v>194</v>
      </c>
      <c r="G436" s="28" t="s">
        <v>66</v>
      </c>
      <c r="H436" s="28" t="s">
        <v>129</v>
      </c>
      <c r="I436" s="36">
        <v>439</v>
      </c>
      <c r="J436" s="27"/>
      <c r="K436" s="29"/>
      <c r="L436" s="29"/>
      <c r="M436" s="29"/>
      <c r="N436" s="29"/>
    </row>
    <row r="437" spans="2:14" x14ac:dyDescent="0.25">
      <c r="B437" s="27" t="s">
        <v>123</v>
      </c>
      <c r="C437" s="28">
        <v>494907</v>
      </c>
      <c r="D437" s="28" t="s">
        <v>555</v>
      </c>
      <c r="E437" s="27" t="s">
        <v>32</v>
      </c>
      <c r="F437" s="27" t="s">
        <v>194</v>
      </c>
      <c r="G437" s="28" t="s">
        <v>66</v>
      </c>
      <c r="H437" s="28" t="s">
        <v>129</v>
      </c>
      <c r="I437" s="36">
        <v>329</v>
      </c>
      <c r="J437" s="27"/>
      <c r="K437" s="29"/>
      <c r="L437" s="29"/>
      <c r="M437" s="29"/>
      <c r="N437" s="29"/>
    </row>
    <row r="438" spans="2:14" x14ac:dyDescent="0.25">
      <c r="B438" s="27" t="s">
        <v>123</v>
      </c>
      <c r="C438" s="28">
        <v>494207</v>
      </c>
      <c r="D438" s="28" t="s">
        <v>556</v>
      </c>
      <c r="E438" s="27" t="s">
        <v>32</v>
      </c>
      <c r="F438" s="27" t="s">
        <v>194</v>
      </c>
      <c r="G438" s="28" t="s">
        <v>66</v>
      </c>
      <c r="H438" s="28" t="s">
        <v>129</v>
      </c>
      <c r="I438" s="36">
        <v>769</v>
      </c>
      <c r="J438" s="27"/>
      <c r="K438" s="29"/>
      <c r="L438" s="29"/>
      <c r="M438" s="29"/>
      <c r="N438" s="29"/>
    </row>
    <row r="439" spans="2:14" x14ac:dyDescent="0.25">
      <c r="B439" s="27" t="s">
        <v>123</v>
      </c>
      <c r="C439" s="28">
        <v>509868</v>
      </c>
      <c r="D439" s="28" t="s">
        <v>557</v>
      </c>
      <c r="E439" s="27" t="s">
        <v>32</v>
      </c>
      <c r="F439" s="27" t="s">
        <v>194</v>
      </c>
      <c r="G439" s="28" t="s">
        <v>66</v>
      </c>
      <c r="H439" s="28" t="s">
        <v>129</v>
      </c>
      <c r="I439" s="36">
        <v>759.00000000000011</v>
      </c>
      <c r="J439" s="27"/>
      <c r="K439" s="29"/>
      <c r="L439" s="29"/>
      <c r="M439" s="29"/>
      <c r="N439" s="29"/>
    </row>
    <row r="440" spans="2:14" x14ac:dyDescent="0.25">
      <c r="B440" s="27" t="s">
        <v>123</v>
      </c>
      <c r="C440" s="28">
        <v>518396</v>
      </c>
      <c r="D440" s="28" t="s">
        <v>558</v>
      </c>
      <c r="E440" s="27" t="s">
        <v>32</v>
      </c>
      <c r="F440" s="27" t="s">
        <v>194</v>
      </c>
      <c r="G440" s="28" t="s">
        <v>66</v>
      </c>
      <c r="H440" s="28" t="s">
        <v>129</v>
      </c>
      <c r="I440" s="36">
        <v>769</v>
      </c>
      <c r="J440" s="27"/>
      <c r="K440" s="29"/>
      <c r="L440" s="29"/>
      <c r="M440" s="29"/>
      <c r="N440" s="29"/>
    </row>
    <row r="441" spans="2:14" x14ac:dyDescent="0.25">
      <c r="B441" s="27" t="s">
        <v>123</v>
      </c>
      <c r="C441" s="28">
        <v>475494</v>
      </c>
      <c r="D441" s="28" t="s">
        <v>559</v>
      </c>
      <c r="E441" s="27" t="s">
        <v>32</v>
      </c>
      <c r="F441" s="27" t="s">
        <v>194</v>
      </c>
      <c r="G441" s="28" t="s">
        <v>66</v>
      </c>
      <c r="H441" s="28" t="s">
        <v>129</v>
      </c>
      <c r="I441" s="36">
        <v>439</v>
      </c>
      <c r="J441" s="27"/>
      <c r="K441" s="29"/>
      <c r="L441" s="29"/>
      <c r="M441" s="29"/>
      <c r="N441" s="29"/>
    </row>
    <row r="442" spans="2:14" x14ac:dyDescent="0.25">
      <c r="B442" s="27" t="s">
        <v>123</v>
      </c>
      <c r="C442" s="28">
        <v>509852</v>
      </c>
      <c r="D442" s="28" t="s">
        <v>560</v>
      </c>
      <c r="E442" s="27" t="s">
        <v>32</v>
      </c>
      <c r="F442" s="27" t="s">
        <v>194</v>
      </c>
      <c r="G442" s="28" t="s">
        <v>66</v>
      </c>
      <c r="H442" s="28" t="s">
        <v>129</v>
      </c>
      <c r="I442" s="36">
        <v>890</v>
      </c>
      <c r="J442" s="27"/>
      <c r="K442" s="29"/>
      <c r="L442" s="29"/>
      <c r="M442" s="29"/>
      <c r="N442" s="29"/>
    </row>
    <row r="443" spans="2:14" x14ac:dyDescent="0.25">
      <c r="B443" s="27" t="s">
        <v>123</v>
      </c>
      <c r="C443" s="28">
        <v>494212</v>
      </c>
      <c r="D443" s="28" t="s">
        <v>561</v>
      </c>
      <c r="E443" s="27" t="s">
        <v>32</v>
      </c>
      <c r="F443" s="27" t="s">
        <v>194</v>
      </c>
      <c r="G443" s="28" t="s">
        <v>66</v>
      </c>
      <c r="H443" s="28" t="s">
        <v>129</v>
      </c>
      <c r="I443" s="36">
        <v>659</v>
      </c>
      <c r="J443" s="27"/>
      <c r="K443" s="29"/>
      <c r="L443" s="29"/>
      <c r="M443" s="29"/>
      <c r="N443" s="29"/>
    </row>
    <row r="444" spans="2:14" x14ac:dyDescent="0.25">
      <c r="B444" s="27" t="s">
        <v>123</v>
      </c>
      <c r="C444" s="28">
        <v>526211</v>
      </c>
      <c r="D444" s="28" t="s">
        <v>562</v>
      </c>
      <c r="E444" s="27" t="s">
        <v>32</v>
      </c>
      <c r="F444" s="27" t="s">
        <v>194</v>
      </c>
      <c r="G444" s="28" t="s">
        <v>66</v>
      </c>
      <c r="H444" s="28" t="s">
        <v>129</v>
      </c>
      <c r="I444" s="36">
        <v>2189</v>
      </c>
      <c r="J444" s="27"/>
      <c r="K444" s="29"/>
      <c r="L444" s="29"/>
      <c r="M444" s="29"/>
      <c r="N444" s="29"/>
    </row>
    <row r="445" spans="2:14" x14ac:dyDescent="0.25">
      <c r="B445" s="27" t="s">
        <v>123</v>
      </c>
      <c r="C445" s="28">
        <v>488653</v>
      </c>
      <c r="D445" s="28" t="s">
        <v>563</v>
      </c>
      <c r="E445" s="27" t="s">
        <v>32</v>
      </c>
      <c r="F445" s="27" t="s">
        <v>194</v>
      </c>
      <c r="G445" s="28" t="s">
        <v>66</v>
      </c>
      <c r="H445" s="28" t="s">
        <v>129</v>
      </c>
      <c r="I445" s="36">
        <v>3895</v>
      </c>
      <c r="J445" s="27"/>
      <c r="K445" s="29"/>
      <c r="L445" s="29"/>
      <c r="M445" s="29"/>
      <c r="N445" s="29"/>
    </row>
    <row r="446" spans="2:14" x14ac:dyDescent="0.25">
      <c r="B446" s="27" t="s">
        <v>123</v>
      </c>
      <c r="C446" s="28">
        <v>518400</v>
      </c>
      <c r="D446" s="28" t="s">
        <v>564</v>
      </c>
      <c r="E446" s="27" t="s">
        <v>32</v>
      </c>
      <c r="F446" s="27" t="s">
        <v>194</v>
      </c>
      <c r="G446" s="28" t="s">
        <v>66</v>
      </c>
      <c r="H446" s="28" t="s">
        <v>129</v>
      </c>
      <c r="I446" s="36">
        <v>439</v>
      </c>
      <c r="J446" s="27"/>
      <c r="K446" s="29"/>
      <c r="L446" s="29"/>
      <c r="M446" s="29"/>
      <c r="N446" s="29"/>
    </row>
    <row r="447" spans="2:14" x14ac:dyDescent="0.25">
      <c r="B447" s="27" t="s">
        <v>123</v>
      </c>
      <c r="C447" s="28">
        <v>509740</v>
      </c>
      <c r="D447" s="28" t="s">
        <v>565</v>
      </c>
      <c r="E447" s="27" t="s">
        <v>32</v>
      </c>
      <c r="F447" s="27" t="s">
        <v>194</v>
      </c>
      <c r="G447" s="28" t="s">
        <v>66</v>
      </c>
      <c r="H447" s="28" t="s">
        <v>129</v>
      </c>
      <c r="I447" s="36">
        <v>439</v>
      </c>
      <c r="J447" s="27"/>
      <c r="K447" s="29"/>
      <c r="L447" s="29"/>
      <c r="M447" s="29"/>
      <c r="N447" s="29"/>
    </row>
    <row r="448" spans="2:14" x14ac:dyDescent="0.25">
      <c r="B448" s="27" t="s">
        <v>123</v>
      </c>
      <c r="C448" s="28">
        <v>518397</v>
      </c>
      <c r="D448" s="28" t="s">
        <v>566</v>
      </c>
      <c r="E448" s="27" t="s">
        <v>32</v>
      </c>
      <c r="F448" s="27" t="s">
        <v>194</v>
      </c>
      <c r="G448" s="28" t="s">
        <v>66</v>
      </c>
      <c r="H448" s="28" t="s">
        <v>129</v>
      </c>
      <c r="I448" s="36">
        <v>329</v>
      </c>
      <c r="J448" s="27"/>
      <c r="K448" s="29"/>
      <c r="L448" s="29"/>
      <c r="M448" s="29"/>
      <c r="N448" s="29"/>
    </row>
    <row r="449" spans="2:14" x14ac:dyDescent="0.25">
      <c r="B449" s="27" t="s">
        <v>123</v>
      </c>
      <c r="C449" s="28">
        <v>525619</v>
      </c>
      <c r="D449" s="28" t="s">
        <v>567</v>
      </c>
      <c r="E449" s="27" t="s">
        <v>32</v>
      </c>
      <c r="F449" s="27" t="s">
        <v>194</v>
      </c>
      <c r="G449" s="28" t="s">
        <v>66</v>
      </c>
      <c r="H449" s="28" t="s">
        <v>129</v>
      </c>
      <c r="I449" s="36">
        <v>7190</v>
      </c>
      <c r="J449" s="27"/>
      <c r="K449" s="29"/>
      <c r="L449" s="29"/>
      <c r="M449" s="29"/>
      <c r="N449" s="29"/>
    </row>
    <row r="450" spans="2:14" x14ac:dyDescent="0.25">
      <c r="B450" s="27" t="s">
        <v>123</v>
      </c>
      <c r="C450" s="28">
        <v>461729</v>
      </c>
      <c r="D450" s="28" t="s">
        <v>568</v>
      </c>
      <c r="E450" s="27" t="s">
        <v>32</v>
      </c>
      <c r="F450" s="27" t="s">
        <v>194</v>
      </c>
      <c r="G450" s="28" t="s">
        <v>66</v>
      </c>
      <c r="H450" s="28" t="s">
        <v>129</v>
      </c>
      <c r="I450" s="36">
        <v>3490</v>
      </c>
      <c r="J450" s="27"/>
      <c r="K450" s="29"/>
      <c r="L450" s="29"/>
      <c r="M450" s="29"/>
      <c r="N450" s="29"/>
    </row>
    <row r="451" spans="2:14" x14ac:dyDescent="0.25">
      <c r="B451" s="27" t="s">
        <v>123</v>
      </c>
      <c r="C451" s="28">
        <v>518398</v>
      </c>
      <c r="D451" s="28" t="s">
        <v>569</v>
      </c>
      <c r="E451" s="27" t="s">
        <v>32</v>
      </c>
      <c r="F451" s="27" t="s">
        <v>194</v>
      </c>
      <c r="G451" s="28" t="s">
        <v>66</v>
      </c>
      <c r="H451" s="28" t="s">
        <v>129</v>
      </c>
      <c r="I451" s="36">
        <v>439</v>
      </c>
      <c r="J451" s="27"/>
      <c r="K451" s="29"/>
      <c r="L451" s="29"/>
      <c r="M451" s="29"/>
      <c r="N451" s="29"/>
    </row>
    <row r="452" spans="2:14" x14ac:dyDescent="0.25">
      <c r="B452" s="27" t="s">
        <v>123</v>
      </c>
      <c r="C452" s="28">
        <v>509850</v>
      </c>
      <c r="D452" s="28" t="s">
        <v>570</v>
      </c>
      <c r="E452" s="27" t="s">
        <v>32</v>
      </c>
      <c r="F452" s="27" t="s">
        <v>194</v>
      </c>
      <c r="G452" s="28" t="s">
        <v>66</v>
      </c>
      <c r="H452" s="28" t="s">
        <v>129</v>
      </c>
      <c r="I452" s="36">
        <v>890</v>
      </c>
      <c r="J452" s="27"/>
      <c r="K452" s="29"/>
      <c r="L452" s="29"/>
      <c r="M452" s="29"/>
      <c r="N452" s="29"/>
    </row>
    <row r="453" spans="2:14" x14ac:dyDescent="0.25">
      <c r="B453" s="27" t="s">
        <v>123</v>
      </c>
      <c r="C453" s="28">
        <v>472064</v>
      </c>
      <c r="D453" s="28" t="s">
        <v>571</v>
      </c>
      <c r="E453" s="27" t="s">
        <v>32</v>
      </c>
      <c r="F453" s="27" t="s">
        <v>194</v>
      </c>
      <c r="G453" s="28" t="s">
        <v>66</v>
      </c>
      <c r="H453" s="28" t="s">
        <v>129</v>
      </c>
      <c r="I453" s="36">
        <v>4939</v>
      </c>
      <c r="J453" s="27"/>
      <c r="K453" s="29"/>
      <c r="L453" s="29"/>
      <c r="M453" s="29"/>
      <c r="N453" s="29"/>
    </row>
    <row r="454" spans="2:14" x14ac:dyDescent="0.25">
      <c r="B454" s="27" t="s">
        <v>123</v>
      </c>
      <c r="C454" s="28">
        <v>509747</v>
      </c>
      <c r="D454" s="28" t="s">
        <v>572</v>
      </c>
      <c r="E454" s="27" t="s">
        <v>32</v>
      </c>
      <c r="F454" s="27" t="s">
        <v>194</v>
      </c>
      <c r="G454" s="28" t="s">
        <v>66</v>
      </c>
      <c r="H454" s="28" t="s">
        <v>129</v>
      </c>
      <c r="I454" s="36">
        <v>1089</v>
      </c>
      <c r="J454" s="27"/>
      <c r="K454" s="29"/>
      <c r="L454" s="29"/>
      <c r="M454" s="29"/>
      <c r="N454" s="29"/>
    </row>
    <row r="455" spans="2:14" x14ac:dyDescent="0.25">
      <c r="B455" s="27" t="s">
        <v>123</v>
      </c>
      <c r="C455" s="28">
        <v>525613</v>
      </c>
      <c r="D455" s="28" t="s">
        <v>573</v>
      </c>
      <c r="E455" s="27" t="s">
        <v>32</v>
      </c>
      <c r="F455" s="27" t="s">
        <v>194</v>
      </c>
      <c r="G455" s="28" t="s">
        <v>66</v>
      </c>
      <c r="H455" s="28" t="s">
        <v>129</v>
      </c>
      <c r="I455" s="36">
        <v>8789</v>
      </c>
      <c r="J455" s="27"/>
      <c r="K455" s="29"/>
      <c r="L455" s="29"/>
      <c r="M455" s="29"/>
      <c r="N455" s="29"/>
    </row>
    <row r="456" spans="2:14" x14ac:dyDescent="0.25">
      <c r="B456" s="27" t="s">
        <v>123</v>
      </c>
      <c r="C456" s="28">
        <v>461734</v>
      </c>
      <c r="D456" s="28" t="s">
        <v>574</v>
      </c>
      <c r="E456" s="27" t="s">
        <v>32</v>
      </c>
      <c r="F456" s="27" t="s">
        <v>194</v>
      </c>
      <c r="G456" s="28" t="s">
        <v>66</v>
      </c>
      <c r="H456" s="28" t="s">
        <v>129</v>
      </c>
      <c r="I456" s="36">
        <v>7190</v>
      </c>
      <c r="J456" s="27"/>
      <c r="K456" s="29"/>
      <c r="L456" s="29"/>
      <c r="M456" s="29"/>
      <c r="N456" s="29"/>
    </row>
    <row r="457" spans="2:14" x14ac:dyDescent="0.25">
      <c r="B457" s="27" t="s">
        <v>123</v>
      </c>
      <c r="C457" s="28">
        <v>511277</v>
      </c>
      <c r="D457" s="28" t="s">
        <v>575</v>
      </c>
      <c r="E457" s="27" t="s">
        <v>32</v>
      </c>
      <c r="F457" s="27" t="s">
        <v>194</v>
      </c>
      <c r="G457" s="28" t="s">
        <v>66</v>
      </c>
      <c r="H457" s="28" t="s">
        <v>129</v>
      </c>
      <c r="I457" s="36">
        <v>869.00000000000011</v>
      </c>
      <c r="J457" s="27"/>
      <c r="K457" s="29"/>
      <c r="L457" s="29"/>
      <c r="M457" s="29"/>
      <c r="N457" s="29"/>
    </row>
    <row r="458" spans="2:14" x14ac:dyDescent="0.25">
      <c r="B458" s="27" t="s">
        <v>123</v>
      </c>
      <c r="C458" s="28">
        <v>525616</v>
      </c>
      <c r="D458" s="28" t="s">
        <v>576</v>
      </c>
      <c r="E458" s="27" t="s">
        <v>32</v>
      </c>
      <c r="F458" s="27" t="s">
        <v>194</v>
      </c>
      <c r="G458" s="28" t="s">
        <v>66</v>
      </c>
      <c r="H458" s="28" t="s">
        <v>129</v>
      </c>
      <c r="I458" s="36">
        <v>11990</v>
      </c>
      <c r="J458" s="27"/>
      <c r="K458" s="29"/>
      <c r="L458" s="29"/>
      <c r="M458" s="29"/>
      <c r="N458" s="29"/>
    </row>
    <row r="459" spans="2:14" x14ac:dyDescent="0.25">
      <c r="B459" s="27" t="s">
        <v>123</v>
      </c>
      <c r="C459" s="28">
        <v>525621</v>
      </c>
      <c r="D459" s="28" t="s">
        <v>577</v>
      </c>
      <c r="E459" s="27" t="s">
        <v>32</v>
      </c>
      <c r="F459" s="27" t="s">
        <v>194</v>
      </c>
      <c r="G459" s="28" t="s">
        <v>66</v>
      </c>
      <c r="H459" s="28" t="s">
        <v>129</v>
      </c>
      <c r="I459" s="36">
        <v>7990</v>
      </c>
      <c r="J459" s="27"/>
      <c r="K459" s="29"/>
      <c r="L459" s="29"/>
      <c r="M459" s="29"/>
      <c r="N459" s="29"/>
    </row>
    <row r="460" spans="2:14" x14ac:dyDescent="0.25">
      <c r="B460" s="27" t="s">
        <v>123</v>
      </c>
      <c r="C460" s="28">
        <v>525615</v>
      </c>
      <c r="D460" s="28" t="s">
        <v>578</v>
      </c>
      <c r="E460" s="27" t="s">
        <v>32</v>
      </c>
      <c r="F460" s="27" t="s">
        <v>194</v>
      </c>
      <c r="G460" s="28" t="s">
        <v>66</v>
      </c>
      <c r="H460" s="28" t="s">
        <v>129</v>
      </c>
      <c r="I460" s="36">
        <v>5489</v>
      </c>
      <c r="J460" s="27"/>
      <c r="K460" s="29"/>
      <c r="L460" s="29"/>
      <c r="M460" s="29"/>
      <c r="N460" s="29"/>
    </row>
    <row r="461" spans="2:14" x14ac:dyDescent="0.25">
      <c r="B461" s="27" t="s">
        <v>123</v>
      </c>
      <c r="C461" s="28">
        <v>509775</v>
      </c>
      <c r="D461" s="28" t="s">
        <v>579</v>
      </c>
      <c r="E461" s="27" t="s">
        <v>32</v>
      </c>
      <c r="F461" s="27" t="s">
        <v>194</v>
      </c>
      <c r="G461" s="28" t="s">
        <v>66</v>
      </c>
      <c r="H461" s="28" t="s">
        <v>129</v>
      </c>
      <c r="I461" s="36">
        <v>1089</v>
      </c>
      <c r="J461" s="27"/>
      <c r="K461" s="29"/>
      <c r="L461" s="29"/>
      <c r="M461" s="29"/>
      <c r="N461" s="29"/>
    </row>
    <row r="462" spans="2:14" x14ac:dyDescent="0.25">
      <c r="B462" s="27" t="s">
        <v>123</v>
      </c>
      <c r="C462" s="28">
        <v>511280</v>
      </c>
      <c r="D462" s="28" t="s">
        <v>580</v>
      </c>
      <c r="E462" s="27" t="s">
        <v>32</v>
      </c>
      <c r="F462" s="27" t="s">
        <v>194</v>
      </c>
      <c r="G462" s="28" t="s">
        <v>66</v>
      </c>
      <c r="H462" s="28" t="s">
        <v>129</v>
      </c>
      <c r="I462" s="36">
        <v>1419.0000000000002</v>
      </c>
      <c r="J462" s="27"/>
      <c r="K462" s="29"/>
      <c r="L462" s="29"/>
      <c r="M462" s="29"/>
      <c r="N462" s="29"/>
    </row>
    <row r="463" spans="2:14" x14ac:dyDescent="0.25">
      <c r="B463" s="27" t="s">
        <v>123</v>
      </c>
      <c r="C463" s="28">
        <v>461733</v>
      </c>
      <c r="D463" s="28" t="s">
        <v>581</v>
      </c>
      <c r="E463" s="27" t="s">
        <v>32</v>
      </c>
      <c r="F463" s="27" t="s">
        <v>194</v>
      </c>
      <c r="G463" s="28" t="s">
        <v>66</v>
      </c>
      <c r="H463" s="28" t="s">
        <v>129</v>
      </c>
      <c r="I463" s="36">
        <v>10990</v>
      </c>
      <c r="J463" s="27"/>
      <c r="K463" s="29"/>
      <c r="L463" s="29"/>
      <c r="M463" s="29"/>
      <c r="N463" s="29"/>
    </row>
    <row r="464" spans="2:14" x14ac:dyDescent="0.25">
      <c r="B464" s="27" t="s">
        <v>123</v>
      </c>
      <c r="C464" s="28">
        <v>525614</v>
      </c>
      <c r="D464" s="28" t="s">
        <v>582</v>
      </c>
      <c r="E464" s="27" t="s">
        <v>32</v>
      </c>
      <c r="F464" s="27" t="s">
        <v>194</v>
      </c>
      <c r="G464" s="28" t="s">
        <v>66</v>
      </c>
      <c r="H464" s="28" t="s">
        <v>129</v>
      </c>
      <c r="I464" s="36">
        <v>2409</v>
      </c>
      <c r="J464" s="27"/>
      <c r="K464" s="29"/>
      <c r="L464" s="29"/>
      <c r="M464" s="29"/>
      <c r="N464" s="29"/>
    </row>
    <row r="465" spans="2:14" x14ac:dyDescent="0.25">
      <c r="B465" s="27" t="s">
        <v>123</v>
      </c>
      <c r="C465" s="28">
        <v>509738</v>
      </c>
      <c r="D465" s="28" t="s">
        <v>583</v>
      </c>
      <c r="E465" s="27" t="s">
        <v>32</v>
      </c>
      <c r="F465" s="27" t="s">
        <v>194</v>
      </c>
      <c r="G465" s="28" t="s">
        <v>66</v>
      </c>
      <c r="H465" s="28" t="s">
        <v>129</v>
      </c>
      <c r="I465" s="36">
        <v>759.00000000000011</v>
      </c>
      <c r="J465" s="27"/>
      <c r="K465" s="29"/>
      <c r="L465" s="29"/>
      <c r="M465" s="29"/>
      <c r="N465" s="29"/>
    </row>
    <row r="466" spans="2:14" x14ac:dyDescent="0.25">
      <c r="B466" s="27" t="s">
        <v>123</v>
      </c>
      <c r="C466" s="28">
        <v>509750</v>
      </c>
      <c r="D466" s="28" t="s">
        <v>584</v>
      </c>
      <c r="E466" s="27" t="s">
        <v>32</v>
      </c>
      <c r="F466" s="27" t="s">
        <v>194</v>
      </c>
      <c r="G466" s="28" t="s">
        <v>66</v>
      </c>
      <c r="H466" s="28" t="s">
        <v>129</v>
      </c>
      <c r="I466" s="36">
        <v>2189</v>
      </c>
      <c r="J466" s="27"/>
      <c r="K466" s="29"/>
      <c r="L466" s="29"/>
      <c r="M466" s="29"/>
      <c r="N466" s="29"/>
    </row>
    <row r="467" spans="2:14" x14ac:dyDescent="0.25">
      <c r="B467" s="27" t="s">
        <v>123</v>
      </c>
      <c r="C467" s="28">
        <v>509844</v>
      </c>
      <c r="D467" s="28" t="s">
        <v>585</v>
      </c>
      <c r="E467" s="27" t="s">
        <v>32</v>
      </c>
      <c r="F467" s="27" t="s">
        <v>194</v>
      </c>
      <c r="G467" s="28" t="s">
        <v>66</v>
      </c>
      <c r="H467" s="28" t="s">
        <v>129</v>
      </c>
      <c r="I467" s="36">
        <v>759.00000000000011</v>
      </c>
      <c r="J467" s="27"/>
      <c r="K467" s="29"/>
      <c r="L467" s="29"/>
      <c r="M467" s="29"/>
      <c r="N467" s="29"/>
    </row>
    <row r="468" spans="2:14" x14ac:dyDescent="0.25">
      <c r="B468" s="27" t="s">
        <v>123</v>
      </c>
      <c r="C468" s="28">
        <v>461731</v>
      </c>
      <c r="D468" s="28" t="s">
        <v>586</v>
      </c>
      <c r="E468" s="27" t="s">
        <v>32</v>
      </c>
      <c r="F468" s="27" t="s">
        <v>194</v>
      </c>
      <c r="G468" s="28" t="s">
        <v>66</v>
      </c>
      <c r="H468" s="28" t="s">
        <v>129</v>
      </c>
      <c r="I468" s="36">
        <v>7190</v>
      </c>
      <c r="J468" s="27"/>
      <c r="K468" s="29"/>
      <c r="L468" s="29"/>
      <c r="M468" s="29"/>
      <c r="N468" s="29"/>
    </row>
    <row r="469" spans="2:14" x14ac:dyDescent="0.25">
      <c r="B469" s="27" t="s">
        <v>123</v>
      </c>
      <c r="C469" s="28">
        <v>461730</v>
      </c>
      <c r="D469" s="28" t="s">
        <v>587</v>
      </c>
      <c r="E469" s="27" t="s">
        <v>32</v>
      </c>
      <c r="F469" s="27" t="s">
        <v>194</v>
      </c>
      <c r="G469" s="28" t="s">
        <v>66</v>
      </c>
      <c r="H469" s="28" t="s">
        <v>129</v>
      </c>
      <c r="I469" s="36">
        <v>7990</v>
      </c>
      <c r="J469" s="27"/>
      <c r="K469" s="29"/>
      <c r="L469" s="29"/>
      <c r="M469" s="29"/>
      <c r="N469" s="29"/>
    </row>
    <row r="470" spans="2:14" x14ac:dyDescent="0.25">
      <c r="B470" s="27" t="s">
        <v>123</v>
      </c>
      <c r="C470" s="28">
        <v>488652</v>
      </c>
      <c r="D470" s="28" t="s">
        <v>588</v>
      </c>
      <c r="E470" s="27" t="s">
        <v>32</v>
      </c>
      <c r="F470" s="27" t="s">
        <v>194</v>
      </c>
      <c r="G470" s="28" t="s">
        <v>66</v>
      </c>
      <c r="H470" s="28" t="s">
        <v>129</v>
      </c>
      <c r="I470" s="36">
        <v>7190</v>
      </c>
      <c r="J470" s="27"/>
      <c r="K470" s="29"/>
      <c r="L470" s="29"/>
      <c r="M470" s="29"/>
      <c r="N470" s="29"/>
    </row>
    <row r="471" spans="2:14" x14ac:dyDescent="0.25">
      <c r="B471" s="27" t="s">
        <v>123</v>
      </c>
      <c r="C471" s="28">
        <v>461669</v>
      </c>
      <c r="D471" s="28" t="s">
        <v>589</v>
      </c>
      <c r="E471" s="27" t="s">
        <v>32</v>
      </c>
      <c r="F471" s="27" t="s">
        <v>194</v>
      </c>
      <c r="G471" s="28" t="s">
        <v>66</v>
      </c>
      <c r="H471" s="28" t="s">
        <v>129</v>
      </c>
      <c r="I471" s="36">
        <v>2749</v>
      </c>
      <c r="J471" s="27"/>
      <c r="K471" s="29"/>
      <c r="L471" s="29"/>
      <c r="M471" s="29"/>
      <c r="N471" s="29"/>
    </row>
    <row r="472" spans="2:14" x14ac:dyDescent="0.25">
      <c r="B472" s="27" t="s">
        <v>123</v>
      </c>
      <c r="C472" s="28">
        <v>472089</v>
      </c>
      <c r="D472" s="28" t="s">
        <v>590</v>
      </c>
      <c r="E472" s="27" t="s">
        <v>32</v>
      </c>
      <c r="F472" s="27" t="s">
        <v>194</v>
      </c>
      <c r="G472" s="28" t="s">
        <v>66</v>
      </c>
      <c r="H472" s="28" t="s">
        <v>129</v>
      </c>
      <c r="I472" s="36">
        <v>2749</v>
      </c>
      <c r="J472" s="27"/>
      <c r="K472" s="29"/>
      <c r="L472" s="29"/>
      <c r="M472" s="29"/>
      <c r="N472" s="29"/>
    </row>
    <row r="473" spans="2:14" x14ac:dyDescent="0.25">
      <c r="B473" s="27" t="s">
        <v>123</v>
      </c>
      <c r="C473" s="28">
        <v>461723</v>
      </c>
      <c r="D473" s="28" t="s">
        <v>591</v>
      </c>
      <c r="E473" s="27" t="s">
        <v>32</v>
      </c>
      <c r="F473" s="27" t="s">
        <v>194</v>
      </c>
      <c r="G473" s="28" t="s">
        <v>66</v>
      </c>
      <c r="H473" s="28" t="s">
        <v>129</v>
      </c>
      <c r="I473" s="36">
        <v>9889</v>
      </c>
      <c r="J473" s="27"/>
      <c r="K473" s="29"/>
      <c r="L473" s="29"/>
      <c r="M473" s="29"/>
      <c r="N473" s="29"/>
    </row>
    <row r="474" spans="2:14" x14ac:dyDescent="0.25">
      <c r="B474" s="27" t="s">
        <v>123</v>
      </c>
      <c r="C474" s="28">
        <v>472087</v>
      </c>
      <c r="D474" s="28" t="s">
        <v>592</v>
      </c>
      <c r="E474" s="27" t="s">
        <v>32</v>
      </c>
      <c r="F474" s="27" t="s">
        <v>194</v>
      </c>
      <c r="G474" s="28" t="s">
        <v>66</v>
      </c>
      <c r="H474" s="28" t="s">
        <v>129</v>
      </c>
      <c r="I474" s="36">
        <v>3190</v>
      </c>
      <c r="J474" s="27"/>
      <c r="K474" s="29"/>
      <c r="L474" s="29"/>
      <c r="M474" s="29"/>
      <c r="N474" s="29"/>
    </row>
    <row r="475" spans="2:14" x14ac:dyDescent="0.25">
      <c r="B475" s="27" t="s">
        <v>123</v>
      </c>
      <c r="C475" s="28">
        <v>494200</v>
      </c>
      <c r="D475" s="28" t="s">
        <v>593</v>
      </c>
      <c r="E475" s="27" t="s">
        <v>32</v>
      </c>
      <c r="F475" s="27" t="s">
        <v>194</v>
      </c>
      <c r="G475" s="28" t="s">
        <v>66</v>
      </c>
      <c r="H475" s="28" t="s">
        <v>129</v>
      </c>
      <c r="I475" s="36">
        <v>1309</v>
      </c>
      <c r="J475" s="27"/>
      <c r="K475" s="29"/>
      <c r="L475" s="29"/>
      <c r="M475" s="29"/>
      <c r="N475" s="29"/>
    </row>
    <row r="476" spans="2:14" x14ac:dyDescent="0.25">
      <c r="B476" s="27" t="s">
        <v>123</v>
      </c>
      <c r="C476" s="28">
        <v>565183</v>
      </c>
      <c r="D476" s="28" t="s">
        <v>594</v>
      </c>
      <c r="E476" s="27" t="s">
        <v>32</v>
      </c>
      <c r="F476" s="27" t="s">
        <v>194</v>
      </c>
      <c r="G476" s="28" t="s">
        <v>66</v>
      </c>
      <c r="H476" s="28" t="s">
        <v>129</v>
      </c>
      <c r="I476" s="36">
        <v>7990</v>
      </c>
      <c r="J476" s="27"/>
      <c r="K476" s="29"/>
      <c r="L476" s="29"/>
      <c r="M476" s="29"/>
      <c r="N476" s="29"/>
    </row>
    <row r="477" spans="2:14" x14ac:dyDescent="0.25">
      <c r="B477" s="27" t="s">
        <v>123</v>
      </c>
      <c r="C477" s="28">
        <v>381468</v>
      </c>
      <c r="D477" s="28" t="s">
        <v>595</v>
      </c>
      <c r="E477" s="27" t="s">
        <v>32</v>
      </c>
      <c r="F477" s="27" t="s">
        <v>194</v>
      </c>
      <c r="G477" s="28" t="s">
        <v>66</v>
      </c>
      <c r="H477" s="28" t="s">
        <v>129</v>
      </c>
      <c r="I477" s="36">
        <v>769</v>
      </c>
      <c r="J477" s="27"/>
      <c r="K477" s="29"/>
      <c r="L477" s="29"/>
      <c r="M477" s="29"/>
      <c r="N477" s="29"/>
    </row>
    <row r="478" spans="2:14" x14ac:dyDescent="0.25">
      <c r="B478" s="27" t="s">
        <v>123</v>
      </c>
      <c r="C478" s="28">
        <v>421293</v>
      </c>
      <c r="D478" s="28" t="s">
        <v>596</v>
      </c>
      <c r="E478" s="27" t="s">
        <v>32</v>
      </c>
      <c r="F478" s="27" t="s">
        <v>194</v>
      </c>
      <c r="G478" s="28" t="s">
        <v>66</v>
      </c>
      <c r="H478" s="28" t="s">
        <v>129</v>
      </c>
      <c r="I478" s="36">
        <v>669</v>
      </c>
      <c r="J478" s="27"/>
      <c r="K478" s="29"/>
      <c r="L478" s="29"/>
      <c r="M478" s="29"/>
      <c r="N478" s="29"/>
    </row>
    <row r="479" spans="2:14" x14ac:dyDescent="0.25">
      <c r="B479" s="27" t="s">
        <v>123</v>
      </c>
      <c r="C479" s="28">
        <v>510745</v>
      </c>
      <c r="D479" s="28" t="s">
        <v>597</v>
      </c>
      <c r="E479" s="27" t="s">
        <v>32</v>
      </c>
      <c r="F479" s="27" t="s">
        <v>194</v>
      </c>
      <c r="G479" s="28" t="s">
        <v>66</v>
      </c>
      <c r="H479" s="28" t="s">
        <v>129</v>
      </c>
      <c r="I479" s="36">
        <v>339</v>
      </c>
      <c r="J479" s="27"/>
      <c r="K479" s="29"/>
      <c r="L479" s="29"/>
      <c r="M479" s="29"/>
      <c r="N479" s="29"/>
    </row>
    <row r="480" spans="2:14" x14ac:dyDescent="0.25">
      <c r="B480" s="27" t="s">
        <v>123</v>
      </c>
      <c r="C480" s="28">
        <v>518102</v>
      </c>
      <c r="D480" s="28" t="s">
        <v>598</v>
      </c>
      <c r="E480" s="27" t="s">
        <v>32</v>
      </c>
      <c r="F480" s="27" t="s">
        <v>194</v>
      </c>
      <c r="G480" s="28" t="s">
        <v>66</v>
      </c>
      <c r="H480" s="28" t="s">
        <v>129</v>
      </c>
      <c r="I480" s="36">
        <v>769</v>
      </c>
      <c r="J480" s="27"/>
      <c r="K480" s="29"/>
      <c r="L480" s="29"/>
      <c r="M480" s="29"/>
      <c r="N480" s="29"/>
    </row>
    <row r="481" spans="2:14" x14ac:dyDescent="0.25">
      <c r="B481" s="27" t="s">
        <v>123</v>
      </c>
      <c r="C481" s="28">
        <v>515860</v>
      </c>
      <c r="D481" s="28" t="s">
        <v>599</v>
      </c>
      <c r="E481" s="27" t="s">
        <v>32</v>
      </c>
      <c r="F481" s="27" t="s">
        <v>194</v>
      </c>
      <c r="G481" s="28" t="s">
        <v>66</v>
      </c>
      <c r="H481" s="28" t="s">
        <v>129</v>
      </c>
      <c r="I481" s="36">
        <v>990</v>
      </c>
      <c r="J481" s="27"/>
      <c r="K481" s="29"/>
      <c r="L481" s="29"/>
      <c r="M481" s="29"/>
      <c r="N481" s="29"/>
    </row>
    <row r="482" spans="2:14" x14ac:dyDescent="0.25">
      <c r="B482" s="27" t="s">
        <v>123</v>
      </c>
      <c r="C482" s="28">
        <v>534935</v>
      </c>
      <c r="D482" s="28" t="s">
        <v>600</v>
      </c>
      <c r="E482" s="27" t="s">
        <v>32</v>
      </c>
      <c r="F482" s="27" t="s">
        <v>194</v>
      </c>
      <c r="G482" s="28" t="s">
        <v>66</v>
      </c>
      <c r="H482" s="28" t="s">
        <v>129</v>
      </c>
      <c r="I482" s="36">
        <v>790</v>
      </c>
      <c r="J482" s="27"/>
      <c r="K482" s="29"/>
      <c r="L482" s="29"/>
      <c r="M482" s="29"/>
      <c r="N482" s="29"/>
    </row>
    <row r="483" spans="2:14" x14ac:dyDescent="0.25">
      <c r="B483" s="27" t="s">
        <v>123</v>
      </c>
      <c r="C483" s="28">
        <v>481599</v>
      </c>
      <c r="D483" s="28" t="s">
        <v>601</v>
      </c>
      <c r="E483" s="27" t="s">
        <v>32</v>
      </c>
      <c r="F483" s="27" t="s">
        <v>194</v>
      </c>
      <c r="G483" s="28" t="s">
        <v>66</v>
      </c>
      <c r="H483" s="28" t="s">
        <v>129</v>
      </c>
      <c r="I483" s="36">
        <v>339</v>
      </c>
      <c r="J483" s="27"/>
      <c r="K483" s="29"/>
      <c r="L483" s="29"/>
      <c r="M483" s="29"/>
      <c r="N483" s="29"/>
    </row>
    <row r="484" spans="2:14" x14ac:dyDescent="0.25">
      <c r="B484" s="27" t="s">
        <v>123</v>
      </c>
      <c r="C484" s="28">
        <v>519904</v>
      </c>
      <c r="D484" s="28" t="s">
        <v>602</v>
      </c>
      <c r="E484" s="27" t="s">
        <v>32</v>
      </c>
      <c r="F484" s="27" t="s">
        <v>194</v>
      </c>
      <c r="G484" s="28" t="s">
        <v>66</v>
      </c>
      <c r="H484" s="28" t="s">
        <v>129</v>
      </c>
      <c r="I484" s="36">
        <v>759</v>
      </c>
      <c r="J484" s="27"/>
      <c r="K484" s="29"/>
      <c r="L484" s="29"/>
      <c r="M484" s="29"/>
      <c r="N484" s="29"/>
    </row>
    <row r="485" spans="2:14" x14ac:dyDescent="0.25">
      <c r="B485" s="27" t="s">
        <v>123</v>
      </c>
      <c r="C485" s="28">
        <v>399011</v>
      </c>
      <c r="D485" s="28" t="s">
        <v>603</v>
      </c>
      <c r="E485" s="27" t="s">
        <v>32</v>
      </c>
      <c r="F485" s="27" t="s">
        <v>194</v>
      </c>
      <c r="G485" s="28" t="s">
        <v>66</v>
      </c>
      <c r="H485" s="28" t="s">
        <v>129</v>
      </c>
      <c r="I485" s="36">
        <v>690</v>
      </c>
      <c r="J485" s="27"/>
      <c r="K485" s="29"/>
      <c r="L485" s="29"/>
      <c r="M485" s="29"/>
      <c r="N485" s="29"/>
    </row>
    <row r="486" spans="2:14" x14ac:dyDescent="0.25">
      <c r="B486" s="27" t="s">
        <v>123</v>
      </c>
      <c r="C486" s="28">
        <v>523481</v>
      </c>
      <c r="D486" s="28" t="s">
        <v>604</v>
      </c>
      <c r="E486" s="27" t="s">
        <v>32</v>
      </c>
      <c r="F486" s="27" t="s">
        <v>194</v>
      </c>
      <c r="G486" s="28" t="s">
        <v>66</v>
      </c>
      <c r="H486" s="28" t="s">
        <v>129</v>
      </c>
      <c r="I486" s="36">
        <v>790</v>
      </c>
      <c r="J486" s="27"/>
      <c r="K486" s="29"/>
      <c r="L486" s="29"/>
      <c r="M486" s="29"/>
      <c r="N486" s="29"/>
    </row>
    <row r="487" spans="2:14" x14ac:dyDescent="0.25">
      <c r="B487" s="27" t="s">
        <v>123</v>
      </c>
      <c r="C487" s="28">
        <v>425637</v>
      </c>
      <c r="D487" s="28" t="s">
        <v>605</v>
      </c>
      <c r="E487" s="27" t="s">
        <v>32</v>
      </c>
      <c r="F487" s="27" t="s">
        <v>194</v>
      </c>
      <c r="G487" s="28" t="s">
        <v>66</v>
      </c>
      <c r="H487" s="28" t="s">
        <v>129</v>
      </c>
      <c r="I487" s="36">
        <v>699</v>
      </c>
      <c r="J487" s="27"/>
      <c r="K487" s="29"/>
      <c r="L487" s="29"/>
      <c r="M487" s="29"/>
      <c r="N487" s="29"/>
    </row>
    <row r="488" spans="2:14" x14ac:dyDescent="0.25">
      <c r="B488" s="27" t="s">
        <v>123</v>
      </c>
      <c r="C488" s="28">
        <v>238333</v>
      </c>
      <c r="D488" s="28" t="s">
        <v>606</v>
      </c>
      <c r="E488" s="27" t="s">
        <v>32</v>
      </c>
      <c r="F488" s="27" t="s">
        <v>194</v>
      </c>
      <c r="G488" s="28" t="s">
        <v>66</v>
      </c>
      <c r="H488" s="28" t="s">
        <v>129</v>
      </c>
      <c r="I488" s="36">
        <v>399</v>
      </c>
      <c r="J488" s="27"/>
      <c r="K488" s="29"/>
      <c r="L488" s="29"/>
      <c r="M488" s="29"/>
      <c r="N488" s="29"/>
    </row>
    <row r="489" spans="2:14" x14ac:dyDescent="0.25">
      <c r="B489" s="27" t="s">
        <v>123</v>
      </c>
      <c r="C489" s="28">
        <v>523480</v>
      </c>
      <c r="D489" s="28" t="s">
        <v>607</v>
      </c>
      <c r="E489" s="27" t="s">
        <v>32</v>
      </c>
      <c r="F489" s="27" t="s">
        <v>194</v>
      </c>
      <c r="G489" s="28" t="s">
        <v>66</v>
      </c>
      <c r="H489" s="28" t="s">
        <v>129</v>
      </c>
      <c r="I489" s="36">
        <v>690</v>
      </c>
      <c r="J489" s="27"/>
      <c r="K489" s="29"/>
      <c r="L489" s="29"/>
      <c r="M489" s="29"/>
      <c r="N489" s="29"/>
    </row>
    <row r="490" spans="2:14" x14ac:dyDescent="0.25">
      <c r="B490" s="27" t="s">
        <v>123</v>
      </c>
      <c r="C490" s="28">
        <v>545540</v>
      </c>
      <c r="D490" s="28" t="s">
        <v>608</v>
      </c>
      <c r="E490" s="27" t="s">
        <v>32</v>
      </c>
      <c r="F490" s="27" t="s">
        <v>194</v>
      </c>
      <c r="G490" s="28" t="s">
        <v>66</v>
      </c>
      <c r="H490" s="28" t="s">
        <v>129</v>
      </c>
      <c r="I490" s="36">
        <v>629</v>
      </c>
      <c r="J490" s="27"/>
      <c r="K490" s="29"/>
      <c r="L490" s="29"/>
      <c r="M490" s="29"/>
      <c r="N490" s="29"/>
    </row>
    <row r="491" spans="2:14" x14ac:dyDescent="0.25">
      <c r="B491" s="27" t="s">
        <v>123</v>
      </c>
      <c r="C491" s="28">
        <v>475253</v>
      </c>
      <c r="D491" s="28" t="s">
        <v>609</v>
      </c>
      <c r="E491" s="27" t="s">
        <v>32</v>
      </c>
      <c r="F491" s="27" t="s">
        <v>194</v>
      </c>
      <c r="G491" s="28" t="s">
        <v>33</v>
      </c>
      <c r="H491" s="28" t="s">
        <v>129</v>
      </c>
      <c r="I491" s="28" t="s">
        <v>738</v>
      </c>
      <c r="J491" s="27"/>
      <c r="K491" s="29"/>
      <c r="L491" s="29"/>
      <c r="M491" s="29"/>
      <c r="N491" s="29"/>
    </row>
    <row r="492" spans="2:14" x14ac:dyDescent="0.25">
      <c r="B492" s="27" t="s">
        <v>123</v>
      </c>
      <c r="C492" s="28">
        <v>552639</v>
      </c>
      <c r="D492" s="28" t="s">
        <v>610</v>
      </c>
      <c r="E492" s="27" t="s">
        <v>32</v>
      </c>
      <c r="F492" s="27" t="s">
        <v>194</v>
      </c>
      <c r="G492" s="28" t="s">
        <v>33</v>
      </c>
      <c r="H492" s="28" t="s">
        <v>129</v>
      </c>
      <c r="I492" s="28" t="s">
        <v>738</v>
      </c>
      <c r="J492" s="27"/>
      <c r="K492" s="29"/>
      <c r="L492" s="29"/>
      <c r="M492" s="29"/>
      <c r="N492" s="29"/>
    </row>
    <row r="493" spans="2:14" x14ac:dyDescent="0.25">
      <c r="B493" s="27" t="s">
        <v>123</v>
      </c>
      <c r="C493" s="28">
        <v>552640</v>
      </c>
      <c r="D493" s="28" t="s">
        <v>611</v>
      </c>
      <c r="E493" s="27" t="s">
        <v>32</v>
      </c>
      <c r="F493" s="27" t="s">
        <v>194</v>
      </c>
      <c r="G493" s="28" t="s">
        <v>33</v>
      </c>
      <c r="H493" s="28" t="s">
        <v>129</v>
      </c>
      <c r="I493" s="28" t="s">
        <v>738</v>
      </c>
      <c r="J493" s="27"/>
      <c r="K493" s="29"/>
      <c r="L493" s="29"/>
      <c r="M493" s="29"/>
      <c r="N493" s="29"/>
    </row>
    <row r="494" spans="2:14" x14ac:dyDescent="0.25">
      <c r="B494" s="27" t="s">
        <v>123</v>
      </c>
      <c r="C494" s="28">
        <v>552643</v>
      </c>
      <c r="D494" s="28" t="s">
        <v>612</v>
      </c>
      <c r="E494" s="27" t="s">
        <v>32</v>
      </c>
      <c r="F494" s="27" t="s">
        <v>194</v>
      </c>
      <c r="G494" s="28" t="s">
        <v>33</v>
      </c>
      <c r="H494" s="28" t="s">
        <v>129</v>
      </c>
      <c r="I494" s="28" t="s">
        <v>738</v>
      </c>
      <c r="J494" s="27"/>
      <c r="K494" s="29"/>
      <c r="L494" s="29"/>
      <c r="M494" s="29"/>
      <c r="N494" s="29"/>
    </row>
    <row r="495" spans="2:14" x14ac:dyDescent="0.25">
      <c r="B495" s="27" t="s">
        <v>123</v>
      </c>
      <c r="C495" s="28">
        <v>552645</v>
      </c>
      <c r="D495" s="28" t="s">
        <v>613</v>
      </c>
      <c r="E495" s="27" t="s">
        <v>32</v>
      </c>
      <c r="F495" s="27" t="s">
        <v>194</v>
      </c>
      <c r="G495" s="28" t="s">
        <v>33</v>
      </c>
      <c r="H495" s="28" t="s">
        <v>129</v>
      </c>
      <c r="I495" s="28" t="s">
        <v>738</v>
      </c>
      <c r="J495" s="27"/>
      <c r="K495" s="29"/>
      <c r="L495" s="29"/>
      <c r="M495" s="29"/>
      <c r="N495" s="29"/>
    </row>
    <row r="496" spans="2:14" x14ac:dyDescent="0.25">
      <c r="B496" s="27" t="s">
        <v>123</v>
      </c>
      <c r="C496" s="28">
        <v>552647</v>
      </c>
      <c r="D496" s="28" t="s">
        <v>614</v>
      </c>
      <c r="E496" s="27" t="s">
        <v>32</v>
      </c>
      <c r="F496" s="27" t="s">
        <v>194</v>
      </c>
      <c r="G496" s="28" t="s">
        <v>33</v>
      </c>
      <c r="H496" s="28" t="s">
        <v>129</v>
      </c>
      <c r="I496" s="28" t="s">
        <v>738</v>
      </c>
      <c r="J496" s="27"/>
      <c r="K496" s="29"/>
      <c r="L496" s="29"/>
      <c r="M496" s="29"/>
      <c r="N496" s="29"/>
    </row>
    <row r="497" spans="2:14" x14ac:dyDescent="0.25">
      <c r="B497" s="27" t="s">
        <v>123</v>
      </c>
      <c r="C497" s="28">
        <v>552649</v>
      </c>
      <c r="D497" s="28" t="s">
        <v>615</v>
      </c>
      <c r="E497" s="27" t="s">
        <v>32</v>
      </c>
      <c r="F497" s="27" t="s">
        <v>194</v>
      </c>
      <c r="G497" s="28" t="s">
        <v>33</v>
      </c>
      <c r="H497" s="28" t="s">
        <v>129</v>
      </c>
      <c r="I497" s="28" t="s">
        <v>738</v>
      </c>
      <c r="J497" s="27"/>
      <c r="K497" s="29"/>
      <c r="L497" s="29"/>
      <c r="M497" s="29"/>
      <c r="N497" s="29"/>
    </row>
    <row r="498" spans="2:14" x14ac:dyDescent="0.25">
      <c r="B498" s="27" t="s">
        <v>123</v>
      </c>
      <c r="C498" s="28">
        <v>552651</v>
      </c>
      <c r="D498" s="28" t="s">
        <v>616</v>
      </c>
      <c r="E498" s="27" t="s">
        <v>32</v>
      </c>
      <c r="F498" s="27" t="s">
        <v>194</v>
      </c>
      <c r="G498" s="28" t="s">
        <v>33</v>
      </c>
      <c r="H498" s="28" t="s">
        <v>129</v>
      </c>
      <c r="I498" s="28" t="s">
        <v>738</v>
      </c>
      <c r="J498" s="27"/>
      <c r="K498" s="29"/>
      <c r="L498" s="29"/>
      <c r="M498" s="29"/>
      <c r="N498" s="29"/>
    </row>
    <row r="499" spans="2:14" x14ac:dyDescent="0.25">
      <c r="B499" s="27" t="s">
        <v>123</v>
      </c>
      <c r="C499" s="28">
        <v>552653</v>
      </c>
      <c r="D499" s="28" t="s">
        <v>617</v>
      </c>
      <c r="E499" s="27" t="s">
        <v>32</v>
      </c>
      <c r="F499" s="27" t="s">
        <v>194</v>
      </c>
      <c r="G499" s="28" t="s">
        <v>33</v>
      </c>
      <c r="H499" s="28" t="s">
        <v>129</v>
      </c>
      <c r="I499" s="28" t="s">
        <v>738</v>
      </c>
      <c r="J499" s="27"/>
      <c r="K499" s="29"/>
      <c r="L499" s="29"/>
      <c r="M499" s="29"/>
      <c r="N499" s="29"/>
    </row>
    <row r="500" spans="2:14" x14ac:dyDescent="0.25">
      <c r="B500" s="27" t="s">
        <v>123</v>
      </c>
      <c r="C500" s="28">
        <v>552655</v>
      </c>
      <c r="D500" s="28" t="s">
        <v>618</v>
      </c>
      <c r="E500" s="27" t="s">
        <v>32</v>
      </c>
      <c r="F500" s="27" t="s">
        <v>194</v>
      </c>
      <c r="G500" s="28" t="s">
        <v>33</v>
      </c>
      <c r="H500" s="28" t="s">
        <v>129</v>
      </c>
      <c r="I500" s="28" t="s">
        <v>738</v>
      </c>
      <c r="J500" s="27"/>
      <c r="K500" s="29"/>
      <c r="L500" s="29"/>
      <c r="M500" s="29"/>
      <c r="N500" s="29"/>
    </row>
    <row r="501" spans="2:14" x14ac:dyDescent="0.25">
      <c r="B501" s="27" t="s">
        <v>123</v>
      </c>
      <c r="C501" s="28">
        <v>552657</v>
      </c>
      <c r="D501" s="28" t="s">
        <v>619</v>
      </c>
      <c r="E501" s="27" t="s">
        <v>32</v>
      </c>
      <c r="F501" s="27" t="s">
        <v>194</v>
      </c>
      <c r="G501" s="28" t="s">
        <v>33</v>
      </c>
      <c r="H501" s="28" t="s">
        <v>129</v>
      </c>
      <c r="I501" s="28" t="s">
        <v>738</v>
      </c>
      <c r="J501" s="27"/>
      <c r="K501" s="29"/>
      <c r="L501" s="29"/>
      <c r="M501" s="29"/>
      <c r="N501" s="29"/>
    </row>
    <row r="502" spans="2:14" x14ac:dyDescent="0.25">
      <c r="B502" s="27" t="s">
        <v>123</v>
      </c>
      <c r="C502" s="28">
        <v>552659</v>
      </c>
      <c r="D502" s="28" t="s">
        <v>620</v>
      </c>
      <c r="E502" s="27" t="s">
        <v>32</v>
      </c>
      <c r="F502" s="27" t="s">
        <v>194</v>
      </c>
      <c r="G502" s="28" t="s">
        <v>33</v>
      </c>
      <c r="H502" s="28" t="s">
        <v>129</v>
      </c>
      <c r="I502" s="28" t="s">
        <v>738</v>
      </c>
      <c r="J502" s="27"/>
      <c r="K502" s="29"/>
      <c r="L502" s="29"/>
      <c r="M502" s="29"/>
      <c r="N502" s="29"/>
    </row>
    <row r="503" spans="2:14" x14ac:dyDescent="0.25">
      <c r="B503" s="27" t="s">
        <v>123</v>
      </c>
      <c r="C503" s="28">
        <v>552661</v>
      </c>
      <c r="D503" s="28" t="s">
        <v>621</v>
      </c>
      <c r="E503" s="27" t="s">
        <v>32</v>
      </c>
      <c r="F503" s="27" t="s">
        <v>194</v>
      </c>
      <c r="G503" s="28" t="s">
        <v>33</v>
      </c>
      <c r="H503" s="28" t="s">
        <v>129</v>
      </c>
      <c r="I503" s="28" t="s">
        <v>738</v>
      </c>
      <c r="J503" s="27"/>
      <c r="K503" s="29"/>
      <c r="L503" s="29"/>
      <c r="M503" s="29"/>
      <c r="N503" s="29"/>
    </row>
    <row r="504" spans="2:14" x14ac:dyDescent="0.25">
      <c r="B504" s="27" t="s">
        <v>123</v>
      </c>
      <c r="C504" s="28">
        <v>552663</v>
      </c>
      <c r="D504" s="28" t="s">
        <v>622</v>
      </c>
      <c r="E504" s="27" t="s">
        <v>32</v>
      </c>
      <c r="F504" s="27" t="s">
        <v>194</v>
      </c>
      <c r="G504" s="28" t="s">
        <v>33</v>
      </c>
      <c r="H504" s="28" t="s">
        <v>129</v>
      </c>
      <c r="I504" s="28" t="s">
        <v>738</v>
      </c>
      <c r="J504" s="27"/>
      <c r="K504" s="29"/>
      <c r="L504" s="29"/>
      <c r="M504" s="29"/>
      <c r="N504" s="29"/>
    </row>
    <row r="505" spans="2:14" x14ac:dyDescent="0.25">
      <c r="B505" s="27" t="s">
        <v>123</v>
      </c>
      <c r="C505" s="28">
        <v>552665</v>
      </c>
      <c r="D505" s="28" t="s">
        <v>623</v>
      </c>
      <c r="E505" s="27" t="s">
        <v>32</v>
      </c>
      <c r="F505" s="27" t="s">
        <v>194</v>
      </c>
      <c r="G505" s="28" t="s">
        <v>33</v>
      </c>
      <c r="H505" s="28" t="s">
        <v>129</v>
      </c>
      <c r="I505" s="28" t="s">
        <v>738</v>
      </c>
      <c r="J505" s="27"/>
      <c r="K505" s="29"/>
      <c r="L505" s="29"/>
      <c r="M505" s="29"/>
      <c r="N505" s="29"/>
    </row>
    <row r="506" spans="2:14" x14ac:dyDescent="0.25">
      <c r="B506" s="27" t="s">
        <v>123</v>
      </c>
      <c r="C506" s="28">
        <v>475249</v>
      </c>
      <c r="D506" s="28" t="s">
        <v>624</v>
      </c>
      <c r="E506" s="27" t="s">
        <v>32</v>
      </c>
      <c r="F506" s="27" t="s">
        <v>194</v>
      </c>
      <c r="G506" s="28" t="s">
        <v>33</v>
      </c>
      <c r="H506" s="28" t="s">
        <v>129</v>
      </c>
      <c r="I506" s="28" t="s">
        <v>738</v>
      </c>
      <c r="J506" s="27"/>
      <c r="K506" s="29"/>
      <c r="L506" s="29"/>
      <c r="M506" s="29"/>
      <c r="N506" s="29"/>
    </row>
    <row r="507" spans="2:14" x14ac:dyDescent="0.25">
      <c r="B507" s="27" t="s">
        <v>123</v>
      </c>
      <c r="C507" s="28">
        <v>496446</v>
      </c>
      <c r="D507" s="28" t="s">
        <v>625</v>
      </c>
      <c r="E507" s="27" t="s">
        <v>32</v>
      </c>
      <c r="F507" s="27" t="s">
        <v>194</v>
      </c>
      <c r="G507" s="28" t="s">
        <v>33</v>
      </c>
      <c r="H507" s="28" t="s">
        <v>129</v>
      </c>
      <c r="I507" s="28" t="s">
        <v>738</v>
      </c>
      <c r="J507" s="27"/>
      <c r="K507" s="29"/>
      <c r="L507" s="29"/>
      <c r="M507" s="29"/>
      <c r="N507" s="29"/>
    </row>
    <row r="508" spans="2:14" x14ac:dyDescent="0.25">
      <c r="B508" s="27" t="s">
        <v>123</v>
      </c>
      <c r="C508" s="28">
        <v>496082</v>
      </c>
      <c r="D508" s="28" t="s">
        <v>626</v>
      </c>
      <c r="E508" s="27" t="s">
        <v>32</v>
      </c>
      <c r="F508" s="27" t="s">
        <v>194</v>
      </c>
      <c r="G508" s="28" t="s">
        <v>33</v>
      </c>
      <c r="H508" s="28" t="s">
        <v>129</v>
      </c>
      <c r="I508" s="28" t="s">
        <v>738</v>
      </c>
      <c r="J508" s="27"/>
      <c r="K508" s="29"/>
      <c r="L508" s="29"/>
      <c r="M508" s="29"/>
      <c r="N508" s="29"/>
    </row>
    <row r="509" spans="2:14" x14ac:dyDescent="0.25">
      <c r="B509" s="27" t="s">
        <v>123</v>
      </c>
      <c r="C509" s="28">
        <v>475238</v>
      </c>
      <c r="D509" s="28" t="s">
        <v>627</v>
      </c>
      <c r="E509" s="27" t="s">
        <v>32</v>
      </c>
      <c r="F509" s="27" t="s">
        <v>194</v>
      </c>
      <c r="G509" s="28" t="s">
        <v>33</v>
      </c>
      <c r="H509" s="28" t="s">
        <v>129</v>
      </c>
      <c r="I509" s="28" t="s">
        <v>738</v>
      </c>
      <c r="J509" s="27"/>
      <c r="K509" s="29"/>
      <c r="L509" s="29"/>
      <c r="M509" s="29"/>
      <c r="N509" s="29"/>
    </row>
    <row r="510" spans="2:14" x14ac:dyDescent="0.25">
      <c r="B510" s="27" t="s">
        <v>123</v>
      </c>
      <c r="C510" s="28">
        <v>475241</v>
      </c>
      <c r="D510" s="28" t="s">
        <v>628</v>
      </c>
      <c r="E510" s="27" t="s">
        <v>32</v>
      </c>
      <c r="F510" s="27" t="s">
        <v>194</v>
      </c>
      <c r="G510" s="28" t="s">
        <v>33</v>
      </c>
      <c r="H510" s="28" t="s">
        <v>129</v>
      </c>
      <c r="I510" s="28" t="s">
        <v>738</v>
      </c>
      <c r="J510" s="27"/>
      <c r="K510" s="29"/>
      <c r="L510" s="29"/>
      <c r="M510" s="29"/>
      <c r="N510" s="29"/>
    </row>
    <row r="511" spans="2:14" x14ac:dyDescent="0.25">
      <c r="B511" s="27" t="s">
        <v>123</v>
      </c>
      <c r="C511" s="28">
        <v>496087</v>
      </c>
      <c r="D511" s="28" t="s">
        <v>629</v>
      </c>
      <c r="E511" s="27" t="s">
        <v>32</v>
      </c>
      <c r="F511" s="27" t="s">
        <v>194</v>
      </c>
      <c r="G511" s="28" t="s">
        <v>33</v>
      </c>
      <c r="H511" s="28" t="s">
        <v>129</v>
      </c>
      <c r="I511" s="28" t="s">
        <v>738</v>
      </c>
      <c r="J511" s="27"/>
      <c r="K511" s="29"/>
      <c r="L511" s="29"/>
      <c r="M511" s="29"/>
      <c r="N511" s="29"/>
    </row>
    <row r="512" spans="2:14" x14ac:dyDescent="0.25">
      <c r="B512" s="27" t="s">
        <v>123</v>
      </c>
      <c r="C512" s="28">
        <v>496387</v>
      </c>
      <c r="D512" s="28" t="s">
        <v>630</v>
      </c>
      <c r="E512" s="27" t="s">
        <v>32</v>
      </c>
      <c r="F512" s="27" t="s">
        <v>194</v>
      </c>
      <c r="G512" s="28" t="s">
        <v>33</v>
      </c>
      <c r="H512" s="28" t="s">
        <v>129</v>
      </c>
      <c r="I512" s="28" t="s">
        <v>738</v>
      </c>
      <c r="J512" s="27"/>
      <c r="K512" s="29"/>
      <c r="L512" s="29"/>
      <c r="M512" s="29"/>
      <c r="N512" s="29"/>
    </row>
    <row r="513" spans="2:14" x14ac:dyDescent="0.25">
      <c r="B513" s="27" t="s">
        <v>123</v>
      </c>
      <c r="C513" s="28">
        <v>475243</v>
      </c>
      <c r="D513" s="28" t="s">
        <v>631</v>
      </c>
      <c r="E513" s="27" t="s">
        <v>32</v>
      </c>
      <c r="F513" s="27" t="s">
        <v>194</v>
      </c>
      <c r="G513" s="28" t="s">
        <v>33</v>
      </c>
      <c r="H513" s="28" t="s">
        <v>129</v>
      </c>
      <c r="I513" s="28" t="s">
        <v>738</v>
      </c>
      <c r="J513" s="27"/>
      <c r="K513" s="29"/>
      <c r="L513" s="29"/>
      <c r="M513" s="29"/>
      <c r="N513" s="29"/>
    </row>
    <row r="514" spans="2:14" x14ac:dyDescent="0.25">
      <c r="B514" s="27" t="s">
        <v>123</v>
      </c>
      <c r="C514" s="28">
        <v>496400</v>
      </c>
      <c r="D514" s="28" t="s">
        <v>632</v>
      </c>
      <c r="E514" s="27" t="s">
        <v>32</v>
      </c>
      <c r="F514" s="27" t="s">
        <v>194</v>
      </c>
      <c r="G514" s="28" t="s">
        <v>33</v>
      </c>
      <c r="H514" s="28" t="s">
        <v>129</v>
      </c>
      <c r="I514" s="28" t="s">
        <v>738</v>
      </c>
      <c r="J514" s="27"/>
      <c r="K514" s="29"/>
      <c r="L514" s="29"/>
      <c r="M514" s="29"/>
      <c r="N514" s="29"/>
    </row>
    <row r="515" spans="2:14" x14ac:dyDescent="0.25">
      <c r="B515" s="27" t="s">
        <v>123</v>
      </c>
      <c r="C515" s="28">
        <v>475231</v>
      </c>
      <c r="D515" s="28" t="s">
        <v>633</v>
      </c>
      <c r="E515" s="27" t="s">
        <v>32</v>
      </c>
      <c r="F515" s="27" t="s">
        <v>194</v>
      </c>
      <c r="G515" s="28" t="s">
        <v>33</v>
      </c>
      <c r="H515" s="28" t="s">
        <v>129</v>
      </c>
      <c r="I515" s="28" t="s">
        <v>738</v>
      </c>
      <c r="J515" s="27"/>
      <c r="K515" s="29"/>
      <c r="L515" s="29"/>
      <c r="M515" s="29"/>
      <c r="N515" s="29"/>
    </row>
    <row r="516" spans="2:14" x14ac:dyDescent="0.25">
      <c r="B516" s="27" t="s">
        <v>123</v>
      </c>
      <c r="C516" s="28">
        <v>475235</v>
      </c>
      <c r="D516" s="28" t="s">
        <v>634</v>
      </c>
      <c r="E516" s="27" t="s">
        <v>32</v>
      </c>
      <c r="F516" s="27" t="s">
        <v>194</v>
      </c>
      <c r="G516" s="28" t="s">
        <v>33</v>
      </c>
      <c r="H516" s="28" t="s">
        <v>129</v>
      </c>
      <c r="I516" s="28" t="s">
        <v>738</v>
      </c>
      <c r="J516" s="27"/>
      <c r="K516" s="29"/>
      <c r="L516" s="29"/>
      <c r="M516" s="29"/>
      <c r="N516" s="29"/>
    </row>
    <row r="517" spans="2:14" x14ac:dyDescent="0.25">
      <c r="B517" s="27" t="s">
        <v>123</v>
      </c>
      <c r="C517" s="28">
        <v>496406</v>
      </c>
      <c r="D517" s="28" t="s">
        <v>635</v>
      </c>
      <c r="E517" s="27" t="s">
        <v>32</v>
      </c>
      <c r="F517" s="27" t="s">
        <v>194</v>
      </c>
      <c r="G517" s="28" t="s">
        <v>33</v>
      </c>
      <c r="H517" s="28" t="s">
        <v>129</v>
      </c>
      <c r="I517" s="28" t="s">
        <v>738</v>
      </c>
      <c r="J517" s="27"/>
      <c r="K517" s="29"/>
      <c r="L517" s="29"/>
      <c r="M517" s="29"/>
      <c r="N517" s="29"/>
    </row>
    <row r="518" spans="2:14" x14ac:dyDescent="0.25">
      <c r="B518" s="27" t="s">
        <v>123</v>
      </c>
      <c r="C518" s="28">
        <v>496408</v>
      </c>
      <c r="D518" s="28" t="s">
        <v>636</v>
      </c>
      <c r="E518" s="27" t="s">
        <v>32</v>
      </c>
      <c r="F518" s="27" t="s">
        <v>194</v>
      </c>
      <c r="G518" s="28" t="s">
        <v>33</v>
      </c>
      <c r="H518" s="28" t="s">
        <v>129</v>
      </c>
      <c r="I518" s="28" t="s">
        <v>738</v>
      </c>
      <c r="J518" s="27"/>
      <c r="K518" s="29"/>
      <c r="L518" s="29"/>
      <c r="M518" s="29"/>
      <c r="N518" s="29"/>
    </row>
    <row r="519" spans="2:14" x14ac:dyDescent="0.25">
      <c r="B519" s="27" t="s">
        <v>123</v>
      </c>
      <c r="C519" s="28">
        <v>496385</v>
      </c>
      <c r="D519" s="28" t="s">
        <v>637</v>
      </c>
      <c r="E519" s="27" t="s">
        <v>32</v>
      </c>
      <c r="F519" s="27" t="s">
        <v>194</v>
      </c>
      <c r="G519" s="28" t="s">
        <v>33</v>
      </c>
      <c r="H519" s="28" t="s">
        <v>129</v>
      </c>
      <c r="I519" s="28" t="s">
        <v>738</v>
      </c>
      <c r="J519" s="27"/>
      <c r="K519" s="29"/>
      <c r="L519" s="29"/>
      <c r="M519" s="29"/>
      <c r="N519" s="29"/>
    </row>
    <row r="520" spans="2:14" x14ac:dyDescent="0.25">
      <c r="B520" s="27" t="s">
        <v>123</v>
      </c>
      <c r="C520" s="28">
        <v>496091</v>
      </c>
      <c r="D520" s="28" t="s">
        <v>638</v>
      </c>
      <c r="E520" s="27" t="s">
        <v>32</v>
      </c>
      <c r="F520" s="27" t="s">
        <v>194</v>
      </c>
      <c r="G520" s="28" t="s">
        <v>33</v>
      </c>
      <c r="H520" s="28" t="s">
        <v>129</v>
      </c>
      <c r="I520" s="28" t="s">
        <v>738</v>
      </c>
      <c r="J520" s="27"/>
      <c r="K520" s="29"/>
      <c r="L520" s="29"/>
      <c r="M520" s="29"/>
      <c r="N520" s="29"/>
    </row>
    <row r="521" spans="2:14" x14ac:dyDescent="0.25">
      <c r="B521" s="27" t="s">
        <v>123</v>
      </c>
      <c r="C521" s="28">
        <v>511208</v>
      </c>
      <c r="D521" s="28" t="s">
        <v>639</v>
      </c>
      <c r="E521" s="27" t="s">
        <v>32</v>
      </c>
      <c r="F521" s="27" t="s">
        <v>194</v>
      </c>
      <c r="G521" s="28" t="s">
        <v>33</v>
      </c>
      <c r="H521" s="28" t="s">
        <v>129</v>
      </c>
      <c r="I521" s="28" t="s">
        <v>738</v>
      </c>
      <c r="J521" s="27"/>
      <c r="K521" s="29"/>
      <c r="L521" s="29"/>
      <c r="M521" s="29"/>
      <c r="N521" s="29"/>
    </row>
    <row r="522" spans="2:14" x14ac:dyDescent="0.25">
      <c r="B522" s="27" t="s">
        <v>123</v>
      </c>
      <c r="C522" s="28">
        <v>370844</v>
      </c>
      <c r="D522" s="28" t="s">
        <v>640</v>
      </c>
      <c r="E522" s="27" t="s">
        <v>32</v>
      </c>
      <c r="F522" s="27" t="s">
        <v>194</v>
      </c>
      <c r="G522" s="28" t="s">
        <v>33</v>
      </c>
      <c r="H522" s="28" t="s">
        <v>129</v>
      </c>
      <c r="I522" s="28" t="s">
        <v>738</v>
      </c>
      <c r="J522" s="27"/>
      <c r="K522" s="29"/>
      <c r="L522" s="29"/>
      <c r="M522" s="29"/>
      <c r="N522" s="29"/>
    </row>
    <row r="523" spans="2:14" x14ac:dyDescent="0.25">
      <c r="B523" s="27" t="s">
        <v>123</v>
      </c>
      <c r="C523" s="28">
        <v>536962</v>
      </c>
      <c r="D523" s="28" t="s">
        <v>641</v>
      </c>
      <c r="E523" s="27" t="s">
        <v>32</v>
      </c>
      <c r="F523" s="27" t="s">
        <v>194</v>
      </c>
      <c r="G523" s="28" t="s">
        <v>33</v>
      </c>
      <c r="H523" s="28" t="s">
        <v>129</v>
      </c>
      <c r="I523" s="28" t="s">
        <v>738</v>
      </c>
      <c r="J523" s="27"/>
      <c r="K523" s="29"/>
      <c r="L523" s="29"/>
      <c r="M523" s="29"/>
      <c r="N523" s="29"/>
    </row>
    <row r="524" spans="2:14" x14ac:dyDescent="0.25">
      <c r="B524" s="27" t="s">
        <v>123</v>
      </c>
      <c r="C524" s="28">
        <v>413365</v>
      </c>
      <c r="D524" s="28" t="s">
        <v>642</v>
      </c>
      <c r="E524" s="27" t="s">
        <v>32</v>
      </c>
      <c r="F524" s="27" t="s">
        <v>194</v>
      </c>
      <c r="G524" s="28" t="s">
        <v>33</v>
      </c>
      <c r="H524" s="28" t="s">
        <v>129</v>
      </c>
      <c r="I524" s="28" t="s">
        <v>738</v>
      </c>
      <c r="J524" s="27"/>
      <c r="K524" s="29"/>
      <c r="L524" s="29"/>
      <c r="M524" s="29"/>
      <c r="N524" s="29"/>
    </row>
    <row r="525" spans="2:14" x14ac:dyDescent="0.25">
      <c r="B525" s="27" t="s">
        <v>123</v>
      </c>
      <c r="C525" s="28">
        <v>535799</v>
      </c>
      <c r="D525" s="28" t="s">
        <v>643</v>
      </c>
      <c r="E525" s="27" t="s">
        <v>32</v>
      </c>
      <c r="F525" s="27" t="s">
        <v>194</v>
      </c>
      <c r="G525" s="28" t="s">
        <v>33</v>
      </c>
      <c r="H525" s="28" t="s">
        <v>129</v>
      </c>
      <c r="I525" s="28" t="s">
        <v>738</v>
      </c>
      <c r="J525" s="27"/>
      <c r="K525" s="29"/>
      <c r="L525" s="29"/>
      <c r="M525" s="29"/>
      <c r="N525" s="29"/>
    </row>
    <row r="526" spans="2:14" x14ac:dyDescent="0.25">
      <c r="B526" s="27" t="s">
        <v>123</v>
      </c>
      <c r="C526" s="28">
        <v>389441</v>
      </c>
      <c r="D526" s="28" t="s">
        <v>644</v>
      </c>
      <c r="E526" s="27" t="s">
        <v>32</v>
      </c>
      <c r="F526" s="27" t="s">
        <v>194</v>
      </c>
      <c r="G526" s="28" t="s">
        <v>33</v>
      </c>
      <c r="H526" s="28" t="s">
        <v>129</v>
      </c>
      <c r="I526" s="28" t="s">
        <v>738</v>
      </c>
      <c r="J526" s="27"/>
      <c r="K526" s="29"/>
      <c r="L526" s="29"/>
      <c r="M526" s="29"/>
      <c r="N526" s="29"/>
    </row>
    <row r="527" spans="2:14" x14ac:dyDescent="0.25">
      <c r="B527" s="27" t="s">
        <v>123</v>
      </c>
      <c r="C527" s="28">
        <v>319997</v>
      </c>
      <c r="D527" s="28" t="s">
        <v>645</v>
      </c>
      <c r="E527" s="27" t="s">
        <v>32</v>
      </c>
      <c r="F527" s="27" t="s">
        <v>194</v>
      </c>
      <c r="G527" s="28" t="s">
        <v>33</v>
      </c>
      <c r="H527" s="28" t="s">
        <v>129</v>
      </c>
      <c r="I527" s="28" t="s">
        <v>738</v>
      </c>
      <c r="J527" s="27"/>
      <c r="K527" s="29"/>
      <c r="L527" s="29"/>
      <c r="M527" s="29"/>
      <c r="N527" s="29"/>
    </row>
    <row r="528" spans="2:14" x14ac:dyDescent="0.25">
      <c r="B528" s="27" t="s">
        <v>123</v>
      </c>
      <c r="C528" s="28">
        <v>319998</v>
      </c>
      <c r="D528" s="28" t="s">
        <v>646</v>
      </c>
      <c r="E528" s="27" t="s">
        <v>32</v>
      </c>
      <c r="F528" s="27" t="s">
        <v>194</v>
      </c>
      <c r="G528" s="28" t="s">
        <v>33</v>
      </c>
      <c r="H528" s="28" t="s">
        <v>129</v>
      </c>
      <c r="I528" s="28" t="s">
        <v>738</v>
      </c>
      <c r="J528" s="27"/>
      <c r="K528" s="29"/>
      <c r="L528" s="29"/>
      <c r="M528" s="29"/>
      <c r="N528" s="29"/>
    </row>
    <row r="529" spans="2:14" x14ac:dyDescent="0.25">
      <c r="B529" s="27" t="s">
        <v>123</v>
      </c>
      <c r="C529" s="28">
        <v>413351</v>
      </c>
      <c r="D529" s="28" t="s">
        <v>647</v>
      </c>
      <c r="E529" s="27" t="s">
        <v>32</v>
      </c>
      <c r="F529" s="27" t="s">
        <v>194</v>
      </c>
      <c r="G529" s="28" t="s">
        <v>33</v>
      </c>
      <c r="H529" s="28" t="s">
        <v>129</v>
      </c>
      <c r="I529" s="28" t="s">
        <v>738</v>
      </c>
      <c r="J529" s="27"/>
      <c r="K529" s="29"/>
      <c r="L529" s="29"/>
      <c r="M529" s="29"/>
      <c r="N529" s="29"/>
    </row>
    <row r="530" spans="2:14" x14ac:dyDescent="0.25">
      <c r="B530" s="27" t="s">
        <v>123</v>
      </c>
      <c r="C530" s="28">
        <v>475661</v>
      </c>
      <c r="D530" s="28" t="s">
        <v>648</v>
      </c>
      <c r="E530" s="27" t="s">
        <v>32</v>
      </c>
      <c r="F530" s="27" t="s">
        <v>194</v>
      </c>
      <c r="G530" s="28" t="s">
        <v>33</v>
      </c>
      <c r="H530" s="28" t="s">
        <v>129</v>
      </c>
      <c r="I530" s="28" t="s">
        <v>738</v>
      </c>
      <c r="J530" s="27"/>
      <c r="K530" s="29"/>
      <c r="L530" s="29"/>
      <c r="M530" s="29"/>
      <c r="N530" s="29"/>
    </row>
    <row r="531" spans="2:14" x14ac:dyDescent="0.25">
      <c r="B531" s="27" t="s">
        <v>123</v>
      </c>
      <c r="C531" s="28">
        <v>389414</v>
      </c>
      <c r="D531" s="28" t="s">
        <v>649</v>
      </c>
      <c r="E531" s="27" t="s">
        <v>32</v>
      </c>
      <c r="F531" s="27" t="s">
        <v>194</v>
      </c>
      <c r="G531" s="28" t="s">
        <v>33</v>
      </c>
      <c r="H531" s="28" t="s">
        <v>129</v>
      </c>
      <c r="I531" s="28" t="s">
        <v>738</v>
      </c>
      <c r="J531" s="27"/>
      <c r="K531" s="29"/>
      <c r="L531" s="29"/>
      <c r="M531" s="29"/>
      <c r="N531" s="29"/>
    </row>
    <row r="532" spans="2:14" x14ac:dyDescent="0.25">
      <c r="B532" s="27" t="s">
        <v>123</v>
      </c>
      <c r="C532" s="28">
        <v>513829</v>
      </c>
      <c r="D532" s="28" t="s">
        <v>650</v>
      </c>
      <c r="E532" s="27" t="s">
        <v>32</v>
      </c>
      <c r="F532" s="27" t="s">
        <v>194</v>
      </c>
      <c r="G532" s="28" t="s">
        <v>33</v>
      </c>
      <c r="H532" s="28" t="s">
        <v>129</v>
      </c>
      <c r="I532" s="28" t="s">
        <v>738</v>
      </c>
      <c r="J532" s="27"/>
      <c r="K532" s="29"/>
      <c r="L532" s="29"/>
      <c r="M532" s="29"/>
      <c r="N532" s="29"/>
    </row>
    <row r="533" spans="2:14" x14ac:dyDescent="0.25">
      <c r="B533" s="27" t="s">
        <v>123</v>
      </c>
      <c r="C533" s="28">
        <v>370821</v>
      </c>
      <c r="D533" s="28" t="s">
        <v>651</v>
      </c>
      <c r="E533" s="27" t="s">
        <v>32</v>
      </c>
      <c r="F533" s="27" t="s">
        <v>194</v>
      </c>
      <c r="G533" s="28" t="s">
        <v>33</v>
      </c>
      <c r="H533" s="28" t="s">
        <v>129</v>
      </c>
      <c r="I533" s="28" t="s">
        <v>738</v>
      </c>
      <c r="J533" s="27"/>
      <c r="K533" s="29"/>
      <c r="L533" s="29"/>
      <c r="M533" s="29"/>
      <c r="N533" s="29"/>
    </row>
    <row r="534" spans="2:14" x14ac:dyDescent="0.25">
      <c r="B534" s="27" t="s">
        <v>123</v>
      </c>
      <c r="C534" s="28">
        <v>475697</v>
      </c>
      <c r="D534" s="28" t="s">
        <v>652</v>
      </c>
      <c r="E534" s="27" t="s">
        <v>32</v>
      </c>
      <c r="F534" s="27" t="s">
        <v>194</v>
      </c>
      <c r="G534" s="28" t="s">
        <v>33</v>
      </c>
      <c r="H534" s="28" t="s">
        <v>129</v>
      </c>
      <c r="I534" s="28" t="s">
        <v>738</v>
      </c>
      <c r="J534" s="27"/>
      <c r="K534" s="29"/>
      <c r="L534" s="29"/>
      <c r="M534" s="29"/>
      <c r="N534" s="29"/>
    </row>
    <row r="535" spans="2:14" x14ac:dyDescent="0.25">
      <c r="B535" s="27" t="s">
        <v>123</v>
      </c>
      <c r="C535" s="28">
        <v>389435</v>
      </c>
      <c r="D535" s="28" t="s">
        <v>653</v>
      </c>
      <c r="E535" s="27" t="s">
        <v>32</v>
      </c>
      <c r="F535" s="27" t="s">
        <v>194</v>
      </c>
      <c r="G535" s="28" t="s">
        <v>33</v>
      </c>
      <c r="H535" s="28" t="s">
        <v>129</v>
      </c>
      <c r="I535" s="28" t="s">
        <v>738</v>
      </c>
      <c r="J535" s="27"/>
      <c r="K535" s="29"/>
      <c r="L535" s="29"/>
      <c r="M535" s="29"/>
      <c r="N535" s="29"/>
    </row>
    <row r="536" spans="2:14" x14ac:dyDescent="0.25">
      <c r="B536" s="27" t="s">
        <v>123</v>
      </c>
      <c r="C536" s="28">
        <v>449022</v>
      </c>
      <c r="D536" s="28" t="s">
        <v>654</v>
      </c>
      <c r="E536" s="27" t="s">
        <v>32</v>
      </c>
      <c r="F536" s="27" t="s">
        <v>194</v>
      </c>
      <c r="G536" s="28" t="s">
        <v>33</v>
      </c>
      <c r="H536" s="28" t="s">
        <v>129</v>
      </c>
      <c r="I536" s="28" t="s">
        <v>738</v>
      </c>
      <c r="J536" s="27"/>
      <c r="K536" s="29"/>
      <c r="L536" s="29"/>
      <c r="M536" s="29"/>
      <c r="N536" s="29"/>
    </row>
    <row r="537" spans="2:14" x14ac:dyDescent="0.25">
      <c r="B537" s="27" t="s">
        <v>123</v>
      </c>
      <c r="C537" s="28">
        <v>475658</v>
      </c>
      <c r="D537" s="28" t="s">
        <v>655</v>
      </c>
      <c r="E537" s="27" t="s">
        <v>32</v>
      </c>
      <c r="F537" s="27" t="s">
        <v>194</v>
      </c>
      <c r="G537" s="28" t="s">
        <v>33</v>
      </c>
      <c r="H537" s="28" t="s">
        <v>129</v>
      </c>
      <c r="I537" s="28" t="s">
        <v>738</v>
      </c>
      <c r="J537" s="27"/>
      <c r="K537" s="29"/>
      <c r="L537" s="29"/>
      <c r="M537" s="29"/>
      <c r="N537" s="29"/>
    </row>
    <row r="538" spans="2:14" x14ac:dyDescent="0.25">
      <c r="B538" s="27" t="s">
        <v>123</v>
      </c>
      <c r="C538" s="28">
        <v>535805</v>
      </c>
      <c r="D538" s="28" t="s">
        <v>656</v>
      </c>
      <c r="E538" s="27" t="s">
        <v>32</v>
      </c>
      <c r="F538" s="27" t="s">
        <v>194</v>
      </c>
      <c r="G538" s="28" t="s">
        <v>33</v>
      </c>
      <c r="H538" s="28" t="s">
        <v>129</v>
      </c>
      <c r="I538" s="28" t="s">
        <v>738</v>
      </c>
      <c r="J538" s="27"/>
      <c r="K538" s="29"/>
      <c r="L538" s="29"/>
      <c r="M538" s="29"/>
      <c r="N538" s="29"/>
    </row>
    <row r="539" spans="2:14" x14ac:dyDescent="0.25">
      <c r="B539" s="27" t="s">
        <v>123</v>
      </c>
      <c r="C539" s="28">
        <v>413370</v>
      </c>
      <c r="D539" s="28" t="s">
        <v>657</v>
      </c>
      <c r="E539" s="27" t="s">
        <v>32</v>
      </c>
      <c r="F539" s="27" t="s">
        <v>194</v>
      </c>
      <c r="G539" s="28" t="s">
        <v>33</v>
      </c>
      <c r="H539" s="28" t="s">
        <v>129</v>
      </c>
      <c r="I539" s="28" t="s">
        <v>738</v>
      </c>
      <c r="J539" s="27"/>
      <c r="K539" s="29"/>
      <c r="L539" s="29"/>
      <c r="M539" s="29"/>
      <c r="N539" s="29"/>
    </row>
    <row r="540" spans="2:14" x14ac:dyDescent="0.25">
      <c r="B540" s="27" t="s">
        <v>123</v>
      </c>
      <c r="C540" s="28">
        <v>535806</v>
      </c>
      <c r="D540" s="28" t="s">
        <v>658</v>
      </c>
      <c r="E540" s="27" t="s">
        <v>32</v>
      </c>
      <c r="F540" s="27" t="s">
        <v>194</v>
      </c>
      <c r="G540" s="28" t="s">
        <v>33</v>
      </c>
      <c r="H540" s="28" t="s">
        <v>129</v>
      </c>
      <c r="I540" s="28" t="s">
        <v>738</v>
      </c>
      <c r="J540" s="27"/>
      <c r="K540" s="29"/>
      <c r="L540" s="29"/>
      <c r="M540" s="29"/>
      <c r="N540" s="29"/>
    </row>
    <row r="541" spans="2:14" x14ac:dyDescent="0.25">
      <c r="B541" s="27" t="s">
        <v>123</v>
      </c>
      <c r="C541" s="28">
        <v>430351</v>
      </c>
      <c r="D541" s="28" t="s">
        <v>659</v>
      </c>
      <c r="E541" s="27" t="s">
        <v>32</v>
      </c>
      <c r="F541" s="27" t="s">
        <v>194</v>
      </c>
      <c r="G541" s="28" t="s">
        <v>33</v>
      </c>
      <c r="H541" s="28" t="s">
        <v>129</v>
      </c>
      <c r="I541" s="28" t="s">
        <v>738</v>
      </c>
      <c r="J541" s="27"/>
      <c r="K541" s="29"/>
      <c r="L541" s="29"/>
      <c r="M541" s="29"/>
      <c r="N541" s="29"/>
    </row>
    <row r="542" spans="2:14" x14ac:dyDescent="0.25">
      <c r="B542" s="27" t="s">
        <v>123</v>
      </c>
      <c r="C542" s="28">
        <v>513846</v>
      </c>
      <c r="D542" s="28" t="s">
        <v>660</v>
      </c>
      <c r="E542" s="27" t="s">
        <v>32</v>
      </c>
      <c r="F542" s="27" t="s">
        <v>194</v>
      </c>
      <c r="G542" s="28" t="s">
        <v>33</v>
      </c>
      <c r="H542" s="28" t="s">
        <v>129</v>
      </c>
      <c r="I542" s="28" t="s">
        <v>738</v>
      </c>
      <c r="J542" s="27"/>
      <c r="K542" s="29"/>
      <c r="L542" s="29"/>
      <c r="M542" s="29"/>
      <c r="N542" s="29"/>
    </row>
    <row r="543" spans="2:14" x14ac:dyDescent="0.25">
      <c r="B543" s="27" t="s">
        <v>123</v>
      </c>
      <c r="C543" s="28">
        <v>475660</v>
      </c>
      <c r="D543" s="28" t="s">
        <v>661</v>
      </c>
      <c r="E543" s="27" t="s">
        <v>32</v>
      </c>
      <c r="F543" s="27" t="s">
        <v>194</v>
      </c>
      <c r="G543" s="28" t="s">
        <v>33</v>
      </c>
      <c r="H543" s="28" t="s">
        <v>129</v>
      </c>
      <c r="I543" s="28" t="s">
        <v>738</v>
      </c>
      <c r="J543" s="27"/>
      <c r="K543" s="29"/>
      <c r="L543" s="29"/>
      <c r="M543" s="29"/>
      <c r="N543" s="29"/>
    </row>
    <row r="544" spans="2:14" x14ac:dyDescent="0.25">
      <c r="B544" s="27" t="s">
        <v>123</v>
      </c>
      <c r="C544" s="28">
        <v>536964</v>
      </c>
      <c r="D544" s="28" t="s">
        <v>662</v>
      </c>
      <c r="E544" s="27" t="s">
        <v>32</v>
      </c>
      <c r="F544" s="27" t="s">
        <v>194</v>
      </c>
      <c r="G544" s="28" t="s">
        <v>33</v>
      </c>
      <c r="H544" s="28" t="s">
        <v>129</v>
      </c>
      <c r="I544" s="28" t="s">
        <v>738</v>
      </c>
      <c r="J544" s="27"/>
      <c r="K544" s="29"/>
      <c r="L544" s="29"/>
      <c r="M544" s="29"/>
      <c r="N544" s="29"/>
    </row>
    <row r="545" spans="2:14" x14ac:dyDescent="0.25">
      <c r="B545" s="27" t="s">
        <v>123</v>
      </c>
      <c r="C545" s="28">
        <v>370845</v>
      </c>
      <c r="D545" s="28" t="s">
        <v>663</v>
      </c>
      <c r="E545" s="27" t="s">
        <v>32</v>
      </c>
      <c r="F545" s="27" t="s">
        <v>194</v>
      </c>
      <c r="G545" s="28" t="s">
        <v>33</v>
      </c>
      <c r="H545" s="28" t="s">
        <v>129</v>
      </c>
      <c r="I545" s="28" t="s">
        <v>738</v>
      </c>
      <c r="J545" s="27"/>
      <c r="K545" s="29"/>
      <c r="L545" s="29"/>
      <c r="M545" s="29"/>
      <c r="N545" s="29"/>
    </row>
    <row r="546" spans="2:14" x14ac:dyDescent="0.25">
      <c r="B546" s="27" t="s">
        <v>123</v>
      </c>
      <c r="C546" s="28">
        <v>343775</v>
      </c>
      <c r="D546" s="28" t="s">
        <v>664</v>
      </c>
      <c r="E546" s="27" t="s">
        <v>32</v>
      </c>
      <c r="F546" s="27" t="s">
        <v>194</v>
      </c>
      <c r="G546" s="28" t="s">
        <v>33</v>
      </c>
      <c r="H546" s="28" t="s">
        <v>129</v>
      </c>
      <c r="I546" s="28" t="s">
        <v>738</v>
      </c>
      <c r="J546" s="27"/>
      <c r="K546" s="29"/>
      <c r="L546" s="29"/>
      <c r="M546" s="29"/>
      <c r="N546" s="29"/>
    </row>
    <row r="547" spans="2:14" x14ac:dyDescent="0.25">
      <c r="B547" s="27" t="s">
        <v>123</v>
      </c>
      <c r="C547" s="28">
        <v>495373</v>
      </c>
      <c r="D547" s="28" t="s">
        <v>665</v>
      </c>
      <c r="E547" s="27" t="s">
        <v>32</v>
      </c>
      <c r="F547" s="27" t="s">
        <v>194</v>
      </c>
      <c r="G547" s="28" t="s">
        <v>33</v>
      </c>
      <c r="H547" s="28" t="s">
        <v>129</v>
      </c>
      <c r="I547" s="28" t="s">
        <v>738</v>
      </c>
      <c r="J547" s="27"/>
      <c r="K547" s="29"/>
      <c r="L547" s="29"/>
      <c r="M547" s="29"/>
      <c r="N547" s="29"/>
    </row>
    <row r="548" spans="2:14" x14ac:dyDescent="0.25">
      <c r="B548" s="27" t="s">
        <v>123</v>
      </c>
      <c r="C548" s="28">
        <v>343744</v>
      </c>
      <c r="D548" s="28" t="s">
        <v>666</v>
      </c>
      <c r="E548" s="27" t="s">
        <v>32</v>
      </c>
      <c r="F548" s="27" t="s">
        <v>194</v>
      </c>
      <c r="G548" s="28" t="s">
        <v>33</v>
      </c>
      <c r="H548" s="28" t="s">
        <v>129</v>
      </c>
      <c r="I548" s="28" t="s">
        <v>738</v>
      </c>
      <c r="J548" s="27"/>
      <c r="K548" s="29"/>
      <c r="L548" s="29"/>
      <c r="M548" s="29"/>
      <c r="N548" s="29"/>
    </row>
    <row r="549" spans="2:14" x14ac:dyDescent="0.25">
      <c r="B549" s="27" t="s">
        <v>123</v>
      </c>
      <c r="C549" s="28">
        <v>535809</v>
      </c>
      <c r="D549" s="28" t="s">
        <v>667</v>
      </c>
      <c r="E549" s="27" t="s">
        <v>32</v>
      </c>
      <c r="F549" s="27" t="s">
        <v>194</v>
      </c>
      <c r="G549" s="28" t="s">
        <v>33</v>
      </c>
      <c r="H549" s="28" t="s">
        <v>129</v>
      </c>
      <c r="I549" s="28" t="s">
        <v>738</v>
      </c>
      <c r="J549" s="27"/>
      <c r="K549" s="29"/>
      <c r="L549" s="29"/>
      <c r="M549" s="29"/>
      <c r="N549" s="29"/>
    </row>
    <row r="550" spans="2:14" x14ac:dyDescent="0.25">
      <c r="B550" s="27" t="s">
        <v>123</v>
      </c>
      <c r="C550" s="28">
        <v>320002</v>
      </c>
      <c r="D550" s="28" t="s">
        <v>668</v>
      </c>
      <c r="E550" s="27" t="s">
        <v>32</v>
      </c>
      <c r="F550" s="27" t="s">
        <v>194</v>
      </c>
      <c r="G550" s="28" t="s">
        <v>33</v>
      </c>
      <c r="H550" s="28" t="s">
        <v>129</v>
      </c>
      <c r="I550" s="28" t="s">
        <v>738</v>
      </c>
      <c r="J550" s="27"/>
      <c r="K550" s="29"/>
      <c r="L550" s="29"/>
      <c r="M550" s="29"/>
      <c r="N550" s="29"/>
    </row>
    <row r="551" spans="2:14" x14ac:dyDescent="0.25">
      <c r="B551" s="27" t="s">
        <v>123</v>
      </c>
      <c r="C551" s="28">
        <v>472099</v>
      </c>
      <c r="D551" s="28" t="s">
        <v>669</v>
      </c>
      <c r="E551" s="27" t="s">
        <v>32</v>
      </c>
      <c r="F551" s="27" t="s">
        <v>194</v>
      </c>
      <c r="G551" s="28" t="s">
        <v>33</v>
      </c>
      <c r="H551" s="28" t="s">
        <v>129</v>
      </c>
      <c r="I551" s="28" t="s">
        <v>738</v>
      </c>
      <c r="J551" s="27"/>
      <c r="K551" s="29"/>
      <c r="L551" s="29"/>
      <c r="M551" s="29"/>
      <c r="N551" s="29"/>
    </row>
    <row r="552" spans="2:14" x14ac:dyDescent="0.25">
      <c r="B552" s="27" t="s">
        <v>123</v>
      </c>
      <c r="C552" s="28">
        <v>475648</v>
      </c>
      <c r="D552" s="28" t="s">
        <v>670</v>
      </c>
      <c r="E552" s="27" t="s">
        <v>32</v>
      </c>
      <c r="F552" s="27" t="s">
        <v>194</v>
      </c>
      <c r="G552" s="28" t="s">
        <v>33</v>
      </c>
      <c r="H552" s="28" t="s">
        <v>129</v>
      </c>
      <c r="I552" s="28" t="s">
        <v>738</v>
      </c>
      <c r="J552" s="27"/>
      <c r="K552" s="29"/>
      <c r="L552" s="29"/>
      <c r="M552" s="29"/>
      <c r="N552" s="29"/>
    </row>
    <row r="553" spans="2:14" x14ac:dyDescent="0.25">
      <c r="B553" s="27" t="s">
        <v>123</v>
      </c>
      <c r="C553" s="28">
        <v>472269</v>
      </c>
      <c r="D553" s="28" t="s">
        <v>671</v>
      </c>
      <c r="E553" s="27" t="s">
        <v>32</v>
      </c>
      <c r="F553" s="27" t="s">
        <v>194</v>
      </c>
      <c r="G553" s="28" t="s">
        <v>33</v>
      </c>
      <c r="H553" s="28" t="s">
        <v>129</v>
      </c>
      <c r="I553" s="28" t="s">
        <v>738</v>
      </c>
      <c r="J553" s="27"/>
      <c r="K553" s="29"/>
      <c r="L553" s="29"/>
      <c r="M553" s="29"/>
      <c r="N553" s="29"/>
    </row>
    <row r="554" spans="2:14" x14ac:dyDescent="0.25">
      <c r="B554" s="27" t="s">
        <v>123</v>
      </c>
      <c r="C554" s="28">
        <v>495381</v>
      </c>
      <c r="D554" s="28" t="s">
        <v>672</v>
      </c>
      <c r="E554" s="27" t="s">
        <v>32</v>
      </c>
      <c r="F554" s="27" t="s">
        <v>194</v>
      </c>
      <c r="G554" s="28" t="s">
        <v>33</v>
      </c>
      <c r="H554" s="28" t="s">
        <v>129</v>
      </c>
      <c r="I554" s="28" t="s">
        <v>738</v>
      </c>
      <c r="J554" s="27"/>
      <c r="K554" s="29"/>
      <c r="L554" s="29"/>
      <c r="M554" s="29"/>
      <c r="N554" s="29"/>
    </row>
    <row r="555" spans="2:14" x14ac:dyDescent="0.25">
      <c r="B555" s="27" t="s">
        <v>123</v>
      </c>
      <c r="C555" s="28">
        <v>513838</v>
      </c>
      <c r="D555" s="28" t="s">
        <v>673</v>
      </c>
      <c r="E555" s="27" t="s">
        <v>32</v>
      </c>
      <c r="F555" s="27" t="s">
        <v>194</v>
      </c>
      <c r="G555" s="28" t="s">
        <v>33</v>
      </c>
      <c r="H555" s="28" t="s">
        <v>129</v>
      </c>
      <c r="I555" s="28" t="s">
        <v>738</v>
      </c>
      <c r="J555" s="27"/>
      <c r="K555" s="29"/>
      <c r="L555" s="29"/>
      <c r="M555" s="29"/>
      <c r="N555" s="29"/>
    </row>
    <row r="556" spans="2:14" x14ac:dyDescent="0.25">
      <c r="B556" s="27" t="s">
        <v>123</v>
      </c>
      <c r="C556" s="28">
        <v>430365</v>
      </c>
      <c r="D556" s="28" t="s">
        <v>674</v>
      </c>
      <c r="E556" s="27" t="s">
        <v>32</v>
      </c>
      <c r="F556" s="27" t="s">
        <v>194</v>
      </c>
      <c r="G556" s="28" t="s">
        <v>33</v>
      </c>
      <c r="H556" s="28" t="s">
        <v>129</v>
      </c>
      <c r="I556" s="28" t="s">
        <v>738</v>
      </c>
      <c r="J556" s="27"/>
      <c r="K556" s="29"/>
      <c r="L556" s="29"/>
      <c r="M556" s="29"/>
      <c r="N556" s="29"/>
    </row>
    <row r="557" spans="2:14" x14ac:dyDescent="0.25">
      <c r="B557" s="27" t="s">
        <v>123</v>
      </c>
      <c r="C557" s="28">
        <v>320032</v>
      </c>
      <c r="D557" s="28" t="s">
        <v>675</v>
      </c>
      <c r="E557" s="27" t="s">
        <v>32</v>
      </c>
      <c r="F557" s="27" t="s">
        <v>194</v>
      </c>
      <c r="G557" s="28" t="s">
        <v>33</v>
      </c>
      <c r="H557" s="28" t="s">
        <v>129</v>
      </c>
      <c r="I557" s="28" t="s">
        <v>738</v>
      </c>
      <c r="J557" s="27"/>
      <c r="K557" s="29"/>
      <c r="L557" s="29"/>
      <c r="M557" s="29"/>
      <c r="N557" s="29"/>
    </row>
    <row r="558" spans="2:14" x14ac:dyDescent="0.25">
      <c r="B558" s="27" t="s">
        <v>123</v>
      </c>
      <c r="C558" s="28">
        <v>389427</v>
      </c>
      <c r="D558" s="28" t="s">
        <v>676</v>
      </c>
      <c r="E558" s="27" t="s">
        <v>32</v>
      </c>
      <c r="F558" s="27" t="s">
        <v>194</v>
      </c>
      <c r="G558" s="28" t="s">
        <v>33</v>
      </c>
      <c r="H558" s="28" t="s">
        <v>129</v>
      </c>
      <c r="I558" s="28" t="s">
        <v>738</v>
      </c>
      <c r="J558" s="27"/>
      <c r="K558" s="29"/>
      <c r="L558" s="29"/>
      <c r="M558" s="29"/>
      <c r="N558" s="29"/>
    </row>
    <row r="559" spans="2:14" x14ac:dyDescent="0.25">
      <c r="B559" s="27" t="s">
        <v>123</v>
      </c>
      <c r="C559" s="28">
        <v>563122</v>
      </c>
      <c r="D559" s="28" t="s">
        <v>677</v>
      </c>
      <c r="E559" s="27" t="s">
        <v>32</v>
      </c>
      <c r="F559" s="27" t="s">
        <v>194</v>
      </c>
      <c r="G559" s="28" t="s">
        <v>33</v>
      </c>
      <c r="H559" s="28" t="s">
        <v>129</v>
      </c>
      <c r="I559" s="28" t="s">
        <v>738</v>
      </c>
      <c r="J559" s="27"/>
      <c r="K559" s="29"/>
      <c r="L559" s="29"/>
      <c r="M559" s="29"/>
      <c r="N559" s="29"/>
    </row>
    <row r="560" spans="2:14" x14ac:dyDescent="0.25">
      <c r="B560" s="27" t="s">
        <v>123</v>
      </c>
      <c r="C560" s="28">
        <v>563123</v>
      </c>
      <c r="D560" s="28" t="s">
        <v>678</v>
      </c>
      <c r="E560" s="27" t="s">
        <v>32</v>
      </c>
      <c r="F560" s="27" t="s">
        <v>194</v>
      </c>
      <c r="G560" s="28" t="s">
        <v>33</v>
      </c>
      <c r="H560" s="28" t="s">
        <v>129</v>
      </c>
      <c r="I560" s="28" t="s">
        <v>738</v>
      </c>
      <c r="J560" s="27"/>
      <c r="K560" s="29"/>
      <c r="L560" s="29"/>
      <c r="M560" s="29"/>
      <c r="N560" s="29"/>
    </row>
    <row r="561" spans="2:14" x14ac:dyDescent="0.25">
      <c r="B561" s="27" t="s">
        <v>123</v>
      </c>
      <c r="C561" s="28">
        <v>563124</v>
      </c>
      <c r="D561" s="28" t="s">
        <v>679</v>
      </c>
      <c r="E561" s="27" t="s">
        <v>32</v>
      </c>
      <c r="F561" s="27" t="s">
        <v>194</v>
      </c>
      <c r="G561" s="28" t="s">
        <v>33</v>
      </c>
      <c r="H561" s="28" t="s">
        <v>129</v>
      </c>
      <c r="I561" s="28" t="s">
        <v>738</v>
      </c>
      <c r="J561" s="27"/>
      <c r="K561" s="29"/>
      <c r="L561" s="29"/>
      <c r="M561" s="29"/>
      <c r="N561" s="29"/>
    </row>
    <row r="562" spans="2:14" x14ac:dyDescent="0.25">
      <c r="B562" s="27" t="s">
        <v>123</v>
      </c>
      <c r="C562" s="28">
        <v>535808</v>
      </c>
      <c r="D562" s="28" t="s">
        <v>680</v>
      </c>
      <c r="E562" s="27" t="s">
        <v>32</v>
      </c>
      <c r="F562" s="27" t="s">
        <v>194</v>
      </c>
      <c r="G562" s="28" t="s">
        <v>33</v>
      </c>
      <c r="H562" s="28" t="s">
        <v>129</v>
      </c>
      <c r="I562" s="28" t="s">
        <v>738</v>
      </c>
      <c r="J562" s="27"/>
      <c r="K562" s="29"/>
      <c r="L562" s="29"/>
      <c r="M562" s="29"/>
      <c r="N562" s="29"/>
    </row>
    <row r="563" spans="2:14" x14ac:dyDescent="0.25">
      <c r="B563" s="27" t="s">
        <v>123</v>
      </c>
      <c r="C563" s="28">
        <v>513843</v>
      </c>
      <c r="D563" s="28" t="s">
        <v>681</v>
      </c>
      <c r="E563" s="27" t="s">
        <v>32</v>
      </c>
      <c r="F563" s="27" t="s">
        <v>194</v>
      </c>
      <c r="G563" s="28" t="s">
        <v>33</v>
      </c>
      <c r="H563" s="28" t="s">
        <v>129</v>
      </c>
      <c r="I563" s="28" t="s">
        <v>738</v>
      </c>
      <c r="J563" s="27"/>
      <c r="K563" s="29"/>
      <c r="L563" s="29"/>
      <c r="M563" s="29"/>
      <c r="N563" s="29"/>
    </row>
    <row r="564" spans="2:14" x14ac:dyDescent="0.25">
      <c r="B564" s="27" t="s">
        <v>123</v>
      </c>
      <c r="C564" s="28">
        <v>370852</v>
      </c>
      <c r="D564" s="28" t="s">
        <v>682</v>
      </c>
      <c r="E564" s="27" t="s">
        <v>32</v>
      </c>
      <c r="F564" s="27" t="s">
        <v>194</v>
      </c>
      <c r="G564" s="28" t="s">
        <v>33</v>
      </c>
      <c r="H564" s="28" t="s">
        <v>129</v>
      </c>
      <c r="I564" s="28" t="s">
        <v>738</v>
      </c>
      <c r="J564" s="27"/>
      <c r="K564" s="29"/>
      <c r="L564" s="29"/>
      <c r="M564" s="29"/>
      <c r="N564" s="29"/>
    </row>
    <row r="565" spans="2:14" x14ac:dyDescent="0.25">
      <c r="B565" s="27" t="s">
        <v>123</v>
      </c>
      <c r="C565" s="28">
        <v>425542</v>
      </c>
      <c r="D565" s="28" t="s">
        <v>683</v>
      </c>
      <c r="E565" s="27" t="s">
        <v>32</v>
      </c>
      <c r="F565" s="27" t="s">
        <v>194</v>
      </c>
      <c r="G565" s="28" t="s">
        <v>33</v>
      </c>
      <c r="H565" s="28" t="s">
        <v>129</v>
      </c>
      <c r="I565" s="28" t="s">
        <v>738</v>
      </c>
      <c r="J565" s="27"/>
      <c r="K565" s="29"/>
      <c r="L565" s="29"/>
      <c r="M565" s="29"/>
      <c r="N565" s="29"/>
    </row>
    <row r="566" spans="2:14" x14ac:dyDescent="0.25">
      <c r="B566" s="27" t="s">
        <v>123</v>
      </c>
      <c r="C566" s="28">
        <v>513832</v>
      </c>
      <c r="D566" s="28" t="s">
        <v>684</v>
      </c>
      <c r="E566" s="27" t="s">
        <v>32</v>
      </c>
      <c r="F566" s="27" t="s">
        <v>194</v>
      </c>
      <c r="G566" s="28" t="s">
        <v>33</v>
      </c>
      <c r="H566" s="28" t="s">
        <v>129</v>
      </c>
      <c r="I566" s="28" t="s">
        <v>738</v>
      </c>
      <c r="J566" s="27"/>
      <c r="K566" s="29"/>
      <c r="L566" s="29"/>
      <c r="M566" s="29"/>
      <c r="N566" s="29"/>
    </row>
    <row r="567" spans="2:14" x14ac:dyDescent="0.25">
      <c r="B567" s="27" t="s">
        <v>123</v>
      </c>
      <c r="C567" s="28">
        <v>514181</v>
      </c>
      <c r="D567" s="28" t="s">
        <v>685</v>
      </c>
      <c r="E567" s="27" t="s">
        <v>32</v>
      </c>
      <c r="F567" s="27" t="s">
        <v>194</v>
      </c>
      <c r="G567" s="28" t="s">
        <v>33</v>
      </c>
      <c r="H567" s="28" t="s">
        <v>129</v>
      </c>
      <c r="I567" s="28" t="s">
        <v>738</v>
      </c>
      <c r="J567" s="27"/>
      <c r="K567" s="29"/>
      <c r="L567" s="29"/>
      <c r="M567" s="29"/>
      <c r="N567" s="29"/>
    </row>
    <row r="568" spans="2:14" x14ac:dyDescent="0.25">
      <c r="B568" s="27" t="s">
        <v>123</v>
      </c>
      <c r="C568" s="28">
        <v>475656</v>
      </c>
      <c r="D568" s="28" t="s">
        <v>686</v>
      </c>
      <c r="E568" s="27" t="s">
        <v>32</v>
      </c>
      <c r="F568" s="27" t="s">
        <v>194</v>
      </c>
      <c r="G568" s="28" t="s">
        <v>33</v>
      </c>
      <c r="H568" s="28" t="s">
        <v>129</v>
      </c>
      <c r="I568" s="28" t="s">
        <v>738</v>
      </c>
      <c r="J568" s="27"/>
      <c r="K568" s="29"/>
      <c r="L568" s="29"/>
      <c r="M568" s="29"/>
      <c r="N568" s="29"/>
    </row>
    <row r="569" spans="2:14" x14ac:dyDescent="0.25">
      <c r="B569" s="27" t="s">
        <v>123</v>
      </c>
      <c r="C569" s="28">
        <v>513842</v>
      </c>
      <c r="D569" s="28" t="s">
        <v>687</v>
      </c>
      <c r="E569" s="27" t="s">
        <v>32</v>
      </c>
      <c r="F569" s="27" t="s">
        <v>194</v>
      </c>
      <c r="G569" s="28" t="s">
        <v>33</v>
      </c>
      <c r="H569" s="28" t="s">
        <v>129</v>
      </c>
      <c r="I569" s="28" t="s">
        <v>738</v>
      </c>
      <c r="J569" s="27"/>
      <c r="K569" s="29"/>
      <c r="L569" s="29"/>
      <c r="M569" s="29"/>
      <c r="N569" s="29"/>
    </row>
    <row r="570" spans="2:14" x14ac:dyDescent="0.25">
      <c r="B570" s="27" t="s">
        <v>123</v>
      </c>
      <c r="C570" s="28">
        <v>425514</v>
      </c>
      <c r="D570" s="28" t="s">
        <v>688</v>
      </c>
      <c r="E570" s="27" t="s">
        <v>32</v>
      </c>
      <c r="F570" s="27" t="s">
        <v>194</v>
      </c>
      <c r="G570" s="28" t="s">
        <v>33</v>
      </c>
      <c r="H570" s="28" t="s">
        <v>129</v>
      </c>
      <c r="I570" s="28" t="s">
        <v>738</v>
      </c>
      <c r="J570" s="27"/>
      <c r="K570" s="29"/>
      <c r="L570" s="29"/>
      <c r="M570" s="29"/>
      <c r="N570" s="29"/>
    </row>
    <row r="571" spans="2:14" x14ac:dyDescent="0.25">
      <c r="B571" s="27" t="s">
        <v>123</v>
      </c>
      <c r="C571" s="28">
        <v>514189</v>
      </c>
      <c r="D571" s="28" t="s">
        <v>689</v>
      </c>
      <c r="E571" s="27" t="s">
        <v>32</v>
      </c>
      <c r="F571" s="27" t="s">
        <v>194</v>
      </c>
      <c r="G571" s="28" t="s">
        <v>33</v>
      </c>
      <c r="H571" s="28" t="s">
        <v>129</v>
      </c>
      <c r="I571" s="28" t="s">
        <v>738</v>
      </c>
      <c r="J571" s="27"/>
      <c r="K571" s="29"/>
      <c r="L571" s="29"/>
      <c r="M571" s="29"/>
      <c r="N571" s="29"/>
    </row>
    <row r="572" spans="2:14" x14ac:dyDescent="0.25">
      <c r="B572" s="27" t="s">
        <v>123</v>
      </c>
      <c r="C572" s="28">
        <v>514188</v>
      </c>
      <c r="D572" s="28" t="s">
        <v>690</v>
      </c>
      <c r="E572" s="27" t="s">
        <v>32</v>
      </c>
      <c r="F572" s="27" t="s">
        <v>194</v>
      </c>
      <c r="G572" s="28" t="s">
        <v>33</v>
      </c>
      <c r="H572" s="28" t="s">
        <v>129</v>
      </c>
      <c r="I572" s="28" t="s">
        <v>738</v>
      </c>
      <c r="J572" s="27"/>
      <c r="K572" s="29"/>
      <c r="L572" s="29"/>
      <c r="M572" s="29"/>
      <c r="N572" s="29"/>
    </row>
    <row r="573" spans="2:14" x14ac:dyDescent="0.25">
      <c r="B573" s="27" t="s">
        <v>123</v>
      </c>
      <c r="C573" s="28">
        <v>513844</v>
      </c>
      <c r="D573" s="28" t="s">
        <v>691</v>
      </c>
      <c r="E573" s="27" t="s">
        <v>32</v>
      </c>
      <c r="F573" s="27" t="s">
        <v>194</v>
      </c>
      <c r="G573" s="28" t="s">
        <v>33</v>
      </c>
      <c r="H573" s="28" t="s">
        <v>129</v>
      </c>
      <c r="I573" s="28" t="s">
        <v>738</v>
      </c>
      <c r="J573" s="27"/>
      <c r="K573" s="29"/>
      <c r="L573" s="29"/>
      <c r="M573" s="29"/>
      <c r="N573" s="29"/>
    </row>
    <row r="574" spans="2:14" x14ac:dyDescent="0.25">
      <c r="B574" s="27" t="s">
        <v>123</v>
      </c>
      <c r="C574" s="28">
        <v>514176</v>
      </c>
      <c r="D574" s="28" t="s">
        <v>692</v>
      </c>
      <c r="E574" s="27" t="s">
        <v>32</v>
      </c>
      <c r="F574" s="27" t="s">
        <v>194</v>
      </c>
      <c r="G574" s="28" t="s">
        <v>33</v>
      </c>
      <c r="H574" s="28" t="s">
        <v>129</v>
      </c>
      <c r="I574" s="28" t="s">
        <v>738</v>
      </c>
      <c r="J574" s="27"/>
      <c r="K574" s="29"/>
      <c r="L574" s="29"/>
      <c r="M574" s="29"/>
      <c r="N574" s="29"/>
    </row>
    <row r="575" spans="2:14" x14ac:dyDescent="0.25">
      <c r="B575" s="27" t="s">
        <v>123</v>
      </c>
      <c r="C575" s="28">
        <v>513840</v>
      </c>
      <c r="D575" s="28" t="s">
        <v>693</v>
      </c>
      <c r="E575" s="27" t="s">
        <v>32</v>
      </c>
      <c r="F575" s="27" t="s">
        <v>194</v>
      </c>
      <c r="G575" s="28" t="s">
        <v>33</v>
      </c>
      <c r="H575" s="28" t="s">
        <v>129</v>
      </c>
      <c r="I575" s="28" t="s">
        <v>738</v>
      </c>
      <c r="J575" s="27"/>
      <c r="K575" s="29"/>
      <c r="L575" s="29"/>
      <c r="M575" s="29"/>
      <c r="N575" s="29"/>
    </row>
    <row r="576" spans="2:14" x14ac:dyDescent="0.25">
      <c r="B576" s="27" t="s">
        <v>123</v>
      </c>
      <c r="C576" s="28">
        <v>413381</v>
      </c>
      <c r="D576" s="28" t="s">
        <v>694</v>
      </c>
      <c r="E576" s="27" t="s">
        <v>32</v>
      </c>
      <c r="F576" s="27" t="s">
        <v>194</v>
      </c>
      <c r="G576" s="28" t="s">
        <v>33</v>
      </c>
      <c r="H576" s="28" t="s">
        <v>129</v>
      </c>
      <c r="I576" s="28" t="s">
        <v>738</v>
      </c>
      <c r="J576" s="27"/>
      <c r="K576" s="29"/>
      <c r="L576" s="29"/>
      <c r="M576" s="29"/>
      <c r="N576" s="29"/>
    </row>
    <row r="577" spans="2:14" x14ac:dyDescent="0.25">
      <c r="B577" s="27" t="s">
        <v>123</v>
      </c>
      <c r="C577" s="28">
        <v>535807</v>
      </c>
      <c r="D577" s="28" t="s">
        <v>695</v>
      </c>
      <c r="E577" s="27" t="s">
        <v>32</v>
      </c>
      <c r="F577" s="27" t="s">
        <v>194</v>
      </c>
      <c r="G577" s="28" t="s">
        <v>33</v>
      </c>
      <c r="H577" s="28" t="s">
        <v>129</v>
      </c>
      <c r="I577" s="28" t="s">
        <v>738</v>
      </c>
      <c r="J577" s="27"/>
      <c r="K577" s="29"/>
      <c r="L577" s="29"/>
      <c r="M577" s="29"/>
      <c r="N577" s="29"/>
    </row>
    <row r="578" spans="2:14" x14ac:dyDescent="0.25">
      <c r="B578" s="27" t="s">
        <v>123</v>
      </c>
      <c r="C578" s="28">
        <v>513847</v>
      </c>
      <c r="D578" s="28" t="s">
        <v>696</v>
      </c>
      <c r="E578" s="27" t="s">
        <v>32</v>
      </c>
      <c r="F578" s="27" t="s">
        <v>194</v>
      </c>
      <c r="G578" s="28" t="s">
        <v>33</v>
      </c>
      <c r="H578" s="28" t="s">
        <v>129</v>
      </c>
      <c r="I578" s="28" t="s">
        <v>738</v>
      </c>
      <c r="J578" s="27"/>
      <c r="K578" s="29"/>
      <c r="L578" s="29"/>
      <c r="M578" s="29"/>
      <c r="N578" s="29"/>
    </row>
    <row r="579" spans="2:14" x14ac:dyDescent="0.25">
      <c r="B579" s="27" t="s">
        <v>123</v>
      </c>
      <c r="C579" s="28">
        <v>498740</v>
      </c>
      <c r="D579" s="28" t="s">
        <v>697</v>
      </c>
      <c r="E579" s="27" t="s">
        <v>32</v>
      </c>
      <c r="F579" s="27" t="s">
        <v>194</v>
      </c>
      <c r="G579" s="28" t="s">
        <v>33</v>
      </c>
      <c r="H579" s="28" t="s">
        <v>129</v>
      </c>
      <c r="I579" s="28" t="s">
        <v>738</v>
      </c>
      <c r="J579" s="27"/>
      <c r="K579" s="29"/>
      <c r="L579" s="29"/>
      <c r="M579" s="29"/>
      <c r="N579" s="29"/>
    </row>
    <row r="580" spans="2:14" x14ac:dyDescent="0.25">
      <c r="B580" s="27" t="s">
        <v>123</v>
      </c>
      <c r="C580" s="28">
        <v>514186</v>
      </c>
      <c r="D580" s="28" t="s">
        <v>698</v>
      </c>
      <c r="E580" s="27" t="s">
        <v>32</v>
      </c>
      <c r="F580" s="27" t="s">
        <v>194</v>
      </c>
      <c r="G580" s="28" t="s">
        <v>33</v>
      </c>
      <c r="H580" s="28" t="s">
        <v>129</v>
      </c>
      <c r="I580" s="28" t="s">
        <v>738</v>
      </c>
      <c r="J580" s="27"/>
      <c r="K580" s="29"/>
      <c r="L580" s="29"/>
      <c r="M580" s="29"/>
      <c r="N580" s="29"/>
    </row>
    <row r="581" spans="2:14" x14ac:dyDescent="0.25">
      <c r="B581" s="27" t="s">
        <v>123</v>
      </c>
      <c r="C581" s="28">
        <v>514174</v>
      </c>
      <c r="D581" s="28" t="s">
        <v>699</v>
      </c>
      <c r="E581" s="27" t="s">
        <v>32</v>
      </c>
      <c r="F581" s="27" t="s">
        <v>194</v>
      </c>
      <c r="G581" s="28" t="s">
        <v>33</v>
      </c>
      <c r="H581" s="28" t="s">
        <v>129</v>
      </c>
      <c r="I581" s="28" t="s">
        <v>738</v>
      </c>
      <c r="J581" s="27"/>
      <c r="K581" s="29"/>
      <c r="L581" s="29"/>
      <c r="M581" s="29"/>
      <c r="N581" s="29"/>
    </row>
    <row r="582" spans="2:14" x14ac:dyDescent="0.25">
      <c r="B582" s="27" t="s">
        <v>123</v>
      </c>
      <c r="C582" s="28">
        <v>475672</v>
      </c>
      <c r="D582" s="28" t="s">
        <v>700</v>
      </c>
      <c r="E582" s="27" t="s">
        <v>32</v>
      </c>
      <c r="F582" s="27" t="s">
        <v>194</v>
      </c>
      <c r="G582" s="28" t="s">
        <v>33</v>
      </c>
      <c r="H582" s="28" t="s">
        <v>129</v>
      </c>
      <c r="I582" s="28" t="s">
        <v>738</v>
      </c>
      <c r="J582" s="27"/>
      <c r="K582" s="29"/>
      <c r="L582" s="29"/>
      <c r="M582" s="29"/>
      <c r="N582" s="29"/>
    </row>
    <row r="583" spans="2:14" x14ac:dyDescent="0.25">
      <c r="B583" s="27" t="s">
        <v>123</v>
      </c>
      <c r="C583" s="28">
        <v>514169</v>
      </c>
      <c r="D583" s="28" t="s">
        <v>701</v>
      </c>
      <c r="E583" s="27" t="s">
        <v>32</v>
      </c>
      <c r="F583" s="27" t="s">
        <v>194</v>
      </c>
      <c r="G583" s="28" t="s">
        <v>33</v>
      </c>
      <c r="H583" s="28" t="s">
        <v>129</v>
      </c>
      <c r="I583" s="28" t="s">
        <v>738</v>
      </c>
      <c r="J583" s="27"/>
      <c r="K583" s="29"/>
      <c r="L583" s="29"/>
      <c r="M583" s="29"/>
      <c r="N583" s="29"/>
    </row>
    <row r="584" spans="2:14" x14ac:dyDescent="0.25">
      <c r="B584" s="27" t="s">
        <v>123</v>
      </c>
      <c r="C584" s="28">
        <v>319958</v>
      </c>
      <c r="D584" s="28" t="s">
        <v>702</v>
      </c>
      <c r="E584" s="27" t="s">
        <v>32</v>
      </c>
      <c r="F584" s="27" t="s">
        <v>194</v>
      </c>
      <c r="G584" s="28" t="s">
        <v>33</v>
      </c>
      <c r="H584" s="28" t="s">
        <v>129</v>
      </c>
      <c r="I584" s="28" t="s">
        <v>738</v>
      </c>
      <c r="J584" s="27"/>
      <c r="K584" s="29"/>
      <c r="L584" s="29"/>
      <c r="M584" s="29"/>
      <c r="N584" s="29"/>
    </row>
    <row r="585" spans="2:14" x14ac:dyDescent="0.25">
      <c r="B585" s="27" t="s">
        <v>123</v>
      </c>
      <c r="C585" s="28">
        <v>514180</v>
      </c>
      <c r="D585" s="28" t="s">
        <v>703</v>
      </c>
      <c r="E585" s="27" t="s">
        <v>32</v>
      </c>
      <c r="F585" s="27" t="s">
        <v>194</v>
      </c>
      <c r="G585" s="28" t="s">
        <v>33</v>
      </c>
      <c r="H585" s="28" t="s">
        <v>129</v>
      </c>
      <c r="I585" s="28" t="s">
        <v>738</v>
      </c>
      <c r="J585" s="27"/>
      <c r="K585" s="29"/>
      <c r="L585" s="29"/>
      <c r="M585" s="29"/>
      <c r="N585" s="29"/>
    </row>
    <row r="586" spans="2:14" x14ac:dyDescent="0.25">
      <c r="B586" s="27" t="s">
        <v>123</v>
      </c>
      <c r="C586" s="28">
        <v>514172</v>
      </c>
      <c r="D586" s="28" t="s">
        <v>704</v>
      </c>
      <c r="E586" s="27" t="s">
        <v>32</v>
      </c>
      <c r="F586" s="27" t="s">
        <v>194</v>
      </c>
      <c r="G586" s="28" t="s">
        <v>33</v>
      </c>
      <c r="H586" s="28" t="s">
        <v>129</v>
      </c>
      <c r="I586" s="28" t="s">
        <v>738</v>
      </c>
      <c r="J586" s="27"/>
      <c r="K586" s="29"/>
      <c r="L586" s="29"/>
      <c r="M586" s="29"/>
      <c r="N586" s="29"/>
    </row>
    <row r="587" spans="2:14" x14ac:dyDescent="0.25">
      <c r="B587" s="27" t="s">
        <v>123</v>
      </c>
      <c r="C587" s="28">
        <v>430354</v>
      </c>
      <c r="D587" s="28" t="s">
        <v>705</v>
      </c>
      <c r="E587" s="27" t="s">
        <v>32</v>
      </c>
      <c r="F587" s="27" t="s">
        <v>194</v>
      </c>
      <c r="G587" s="28" t="s">
        <v>33</v>
      </c>
      <c r="H587" s="28" t="s">
        <v>129</v>
      </c>
      <c r="I587" s="28" t="s">
        <v>738</v>
      </c>
      <c r="J587" s="27"/>
      <c r="K587" s="29"/>
      <c r="L587" s="29"/>
      <c r="M587" s="29"/>
      <c r="N587" s="29"/>
    </row>
    <row r="588" spans="2:14" x14ac:dyDescent="0.25">
      <c r="B588" s="27" t="s">
        <v>123</v>
      </c>
      <c r="C588" s="28">
        <v>430362</v>
      </c>
      <c r="D588" s="28" t="s">
        <v>706</v>
      </c>
      <c r="E588" s="27" t="s">
        <v>32</v>
      </c>
      <c r="F588" s="27" t="s">
        <v>194</v>
      </c>
      <c r="G588" s="28" t="s">
        <v>33</v>
      </c>
      <c r="H588" s="28" t="s">
        <v>129</v>
      </c>
      <c r="I588" s="28" t="s">
        <v>738</v>
      </c>
      <c r="J588" s="27"/>
      <c r="K588" s="29"/>
      <c r="L588" s="29"/>
      <c r="M588" s="29"/>
      <c r="N588" s="29"/>
    </row>
    <row r="589" spans="2:14" x14ac:dyDescent="0.25">
      <c r="B589" s="27" t="s">
        <v>123</v>
      </c>
      <c r="C589" s="28">
        <v>514187</v>
      </c>
      <c r="D589" s="28" t="s">
        <v>707</v>
      </c>
      <c r="E589" s="27" t="s">
        <v>32</v>
      </c>
      <c r="F589" s="27" t="s">
        <v>194</v>
      </c>
      <c r="G589" s="28" t="s">
        <v>33</v>
      </c>
      <c r="H589" s="28" t="s">
        <v>129</v>
      </c>
      <c r="I589" s="28" t="s">
        <v>738</v>
      </c>
      <c r="J589" s="27"/>
      <c r="K589" s="29"/>
      <c r="L589" s="29"/>
      <c r="M589" s="29"/>
      <c r="N589" s="29"/>
    </row>
    <row r="590" spans="2:14" x14ac:dyDescent="0.25">
      <c r="B590" s="27" t="s">
        <v>123</v>
      </c>
      <c r="C590" s="28">
        <v>398478</v>
      </c>
      <c r="D590" s="28" t="s">
        <v>708</v>
      </c>
      <c r="E590" s="27" t="s">
        <v>32</v>
      </c>
      <c r="F590" s="27" t="s">
        <v>194</v>
      </c>
      <c r="G590" s="28" t="s">
        <v>33</v>
      </c>
      <c r="H590" s="28" t="s">
        <v>129</v>
      </c>
      <c r="I590" s="28" t="s">
        <v>738</v>
      </c>
      <c r="J590" s="27"/>
      <c r="K590" s="29"/>
      <c r="L590" s="29"/>
      <c r="M590" s="29"/>
      <c r="N590" s="29"/>
    </row>
    <row r="591" spans="2:14" x14ac:dyDescent="0.25">
      <c r="B591" s="27" t="s">
        <v>123</v>
      </c>
      <c r="C591" s="28">
        <v>513830</v>
      </c>
      <c r="D591" s="28" t="s">
        <v>709</v>
      </c>
      <c r="E591" s="27" t="s">
        <v>32</v>
      </c>
      <c r="F591" s="27" t="s">
        <v>194</v>
      </c>
      <c r="G591" s="28" t="s">
        <v>33</v>
      </c>
      <c r="H591" s="28" t="s">
        <v>129</v>
      </c>
      <c r="I591" s="28" t="s">
        <v>738</v>
      </c>
      <c r="J591" s="27"/>
      <c r="K591" s="29"/>
      <c r="L591" s="29"/>
      <c r="M591" s="29"/>
      <c r="N591" s="29"/>
    </row>
    <row r="592" spans="2:14" x14ac:dyDescent="0.25">
      <c r="B592" s="27" t="s">
        <v>123</v>
      </c>
      <c r="C592" s="28">
        <v>514166</v>
      </c>
      <c r="D592" s="28" t="s">
        <v>710</v>
      </c>
      <c r="E592" s="27" t="s">
        <v>32</v>
      </c>
      <c r="F592" s="27" t="s">
        <v>194</v>
      </c>
      <c r="G592" s="28" t="s">
        <v>33</v>
      </c>
      <c r="H592" s="28" t="s">
        <v>129</v>
      </c>
      <c r="I592" s="28" t="s">
        <v>738</v>
      </c>
      <c r="J592" s="27"/>
      <c r="K592" s="29"/>
      <c r="L592" s="29"/>
      <c r="M592" s="29"/>
      <c r="N592" s="29"/>
    </row>
    <row r="593" spans="2:14" x14ac:dyDescent="0.25">
      <c r="B593" s="27" t="s">
        <v>123</v>
      </c>
      <c r="C593" s="28">
        <v>475369</v>
      </c>
      <c r="D593" s="28" t="s">
        <v>711</v>
      </c>
      <c r="E593" s="27" t="s">
        <v>32</v>
      </c>
      <c r="F593" s="27" t="s">
        <v>194</v>
      </c>
      <c r="G593" s="28" t="s">
        <v>33</v>
      </c>
      <c r="H593" s="28" t="s">
        <v>129</v>
      </c>
      <c r="I593" s="28" t="s">
        <v>738</v>
      </c>
      <c r="J593" s="27"/>
      <c r="K593" s="29"/>
      <c r="L593" s="29"/>
      <c r="M593" s="29"/>
      <c r="N593" s="29"/>
    </row>
    <row r="594" spans="2:14" x14ac:dyDescent="0.25">
      <c r="B594" s="27" t="s">
        <v>123</v>
      </c>
      <c r="C594" s="28">
        <v>507023</v>
      </c>
      <c r="D594" s="28" t="s">
        <v>712</v>
      </c>
      <c r="E594" s="27" t="s">
        <v>32</v>
      </c>
      <c r="F594" s="27" t="s">
        <v>194</v>
      </c>
      <c r="G594" s="28" t="s">
        <v>33</v>
      </c>
      <c r="H594" s="28" t="s">
        <v>129</v>
      </c>
      <c r="I594" s="28" t="s">
        <v>738</v>
      </c>
      <c r="J594" s="27"/>
      <c r="K594" s="29"/>
      <c r="L594" s="29"/>
      <c r="M594" s="29"/>
      <c r="N594" s="29"/>
    </row>
    <row r="595" spans="2:14" x14ac:dyDescent="0.25">
      <c r="B595" s="27" t="s">
        <v>123</v>
      </c>
      <c r="C595" s="28">
        <v>519739</v>
      </c>
      <c r="D595" s="28" t="s">
        <v>713</v>
      </c>
      <c r="E595" s="27" t="s">
        <v>32</v>
      </c>
      <c r="F595" s="27" t="s">
        <v>194</v>
      </c>
      <c r="G595" s="28" t="s">
        <v>33</v>
      </c>
      <c r="H595" s="28" t="s">
        <v>129</v>
      </c>
      <c r="I595" s="28" t="s">
        <v>738</v>
      </c>
      <c r="J595" s="27"/>
      <c r="K595" s="29"/>
      <c r="L595" s="29"/>
      <c r="M595" s="29"/>
      <c r="N595" s="29"/>
    </row>
    <row r="596" spans="2:14" x14ac:dyDescent="0.25">
      <c r="B596" s="27" t="s">
        <v>123</v>
      </c>
      <c r="C596" s="28">
        <v>524280</v>
      </c>
      <c r="D596" s="28" t="s">
        <v>714</v>
      </c>
      <c r="E596" s="27" t="s">
        <v>32</v>
      </c>
      <c r="F596" s="27" t="s">
        <v>194</v>
      </c>
      <c r="G596" s="28" t="s">
        <v>33</v>
      </c>
      <c r="H596" s="28" t="s">
        <v>129</v>
      </c>
      <c r="I596" s="28" t="s">
        <v>738</v>
      </c>
      <c r="J596" s="27"/>
      <c r="K596" s="29"/>
      <c r="L596" s="29"/>
      <c r="M596" s="29"/>
      <c r="N596" s="29"/>
    </row>
    <row r="597" spans="2:14" x14ac:dyDescent="0.25">
      <c r="B597" s="27" t="s">
        <v>123</v>
      </c>
      <c r="C597" s="28">
        <v>519738</v>
      </c>
      <c r="D597" s="28" t="s">
        <v>715</v>
      </c>
      <c r="E597" s="27" t="s">
        <v>32</v>
      </c>
      <c r="F597" s="27" t="s">
        <v>194</v>
      </c>
      <c r="G597" s="28" t="s">
        <v>33</v>
      </c>
      <c r="H597" s="28" t="s">
        <v>129</v>
      </c>
      <c r="I597" s="28" t="s">
        <v>738</v>
      </c>
      <c r="J597" s="27"/>
      <c r="K597" s="29"/>
      <c r="L597" s="29"/>
      <c r="M597" s="29"/>
      <c r="N597" s="29"/>
    </row>
    <row r="598" spans="2:14" x14ac:dyDescent="0.25">
      <c r="B598" s="27" t="s">
        <v>123</v>
      </c>
      <c r="C598" s="28">
        <v>494312</v>
      </c>
      <c r="D598" s="28" t="s">
        <v>716</v>
      </c>
      <c r="E598" s="27" t="s">
        <v>32</v>
      </c>
      <c r="F598" s="27" t="s">
        <v>194</v>
      </c>
      <c r="G598" s="28" t="s">
        <v>33</v>
      </c>
      <c r="H598" s="28" t="s">
        <v>129</v>
      </c>
      <c r="I598" s="28" t="s">
        <v>738</v>
      </c>
      <c r="J598" s="27"/>
      <c r="K598" s="29"/>
      <c r="L598" s="29"/>
      <c r="M598" s="29"/>
      <c r="N598" s="29"/>
    </row>
    <row r="599" spans="2:14" x14ac:dyDescent="0.25">
      <c r="B599" s="27" t="s">
        <v>123</v>
      </c>
      <c r="C599" s="28">
        <v>475246</v>
      </c>
      <c r="D599" s="28" t="s">
        <v>717</v>
      </c>
      <c r="E599" s="27" t="s">
        <v>32</v>
      </c>
      <c r="F599" s="27" t="s">
        <v>194</v>
      </c>
      <c r="G599" s="28" t="s">
        <v>33</v>
      </c>
      <c r="H599" s="28" t="s">
        <v>129</v>
      </c>
      <c r="I599" s="28" t="s">
        <v>738</v>
      </c>
      <c r="J599" s="27"/>
      <c r="K599" s="29"/>
      <c r="L599" s="29"/>
      <c r="M599" s="29"/>
      <c r="N599" s="29"/>
    </row>
    <row r="600" spans="2:14" x14ac:dyDescent="0.25">
      <c r="B600" s="27" t="s">
        <v>123</v>
      </c>
      <c r="C600" s="28">
        <v>494317</v>
      </c>
      <c r="D600" s="28" t="s">
        <v>718</v>
      </c>
      <c r="E600" s="27" t="s">
        <v>32</v>
      </c>
      <c r="F600" s="27" t="s">
        <v>194</v>
      </c>
      <c r="G600" s="28" t="s">
        <v>33</v>
      </c>
      <c r="H600" s="28" t="s">
        <v>129</v>
      </c>
      <c r="I600" s="28" t="s">
        <v>738</v>
      </c>
      <c r="J600" s="27"/>
      <c r="K600" s="29"/>
      <c r="L600" s="29"/>
      <c r="M600" s="29"/>
      <c r="N600" s="29"/>
    </row>
    <row r="601" spans="2:14" x14ac:dyDescent="0.25">
      <c r="B601" s="27" t="s">
        <v>123</v>
      </c>
      <c r="C601" s="28">
        <v>503342</v>
      </c>
      <c r="D601" s="28" t="s">
        <v>719</v>
      </c>
      <c r="E601" s="27" t="s">
        <v>32</v>
      </c>
      <c r="F601" s="27" t="s">
        <v>194</v>
      </c>
      <c r="G601" s="28" t="s">
        <v>33</v>
      </c>
      <c r="H601" s="28" t="s">
        <v>129</v>
      </c>
      <c r="I601" s="28" t="s">
        <v>738</v>
      </c>
      <c r="J601" s="27"/>
      <c r="K601" s="29"/>
      <c r="L601" s="29"/>
      <c r="M601" s="29"/>
      <c r="N601" s="29"/>
    </row>
    <row r="602" spans="2:14" x14ac:dyDescent="0.25">
      <c r="B602" s="27" t="s">
        <v>123</v>
      </c>
      <c r="C602" s="28">
        <v>559778</v>
      </c>
      <c r="D602" s="28" t="s">
        <v>720</v>
      </c>
      <c r="E602" s="27" t="s">
        <v>32</v>
      </c>
      <c r="F602" s="27" t="s">
        <v>194</v>
      </c>
      <c r="G602" s="28" t="s">
        <v>33</v>
      </c>
      <c r="H602" s="28" t="s">
        <v>129</v>
      </c>
      <c r="I602" s="28" t="s">
        <v>738</v>
      </c>
      <c r="J602" s="27"/>
      <c r="K602" s="29"/>
      <c r="L602" s="29"/>
      <c r="M602" s="29"/>
      <c r="N602" s="29"/>
    </row>
    <row r="603" spans="2:14" x14ac:dyDescent="0.25">
      <c r="B603" s="27" t="s">
        <v>123</v>
      </c>
      <c r="C603" s="28">
        <v>430345</v>
      </c>
      <c r="D603" s="28" t="s">
        <v>721</v>
      </c>
      <c r="E603" s="27" t="s">
        <v>32</v>
      </c>
      <c r="F603" s="27" t="s">
        <v>194</v>
      </c>
      <c r="G603" s="28" t="s">
        <v>33</v>
      </c>
      <c r="H603" s="28" t="s">
        <v>129</v>
      </c>
      <c r="I603" s="28" t="s">
        <v>738</v>
      </c>
      <c r="J603" s="27"/>
      <c r="K603" s="29"/>
      <c r="L603" s="29"/>
      <c r="M603" s="29"/>
      <c r="N603" s="29"/>
    </row>
    <row r="604" spans="2:14" x14ac:dyDescent="0.25">
      <c r="B604" s="27" t="s">
        <v>123</v>
      </c>
      <c r="C604" s="28">
        <v>319935</v>
      </c>
      <c r="D604" s="28" t="s">
        <v>722</v>
      </c>
      <c r="E604" s="27" t="s">
        <v>32</v>
      </c>
      <c r="F604" s="27" t="s">
        <v>194</v>
      </c>
      <c r="G604" s="28" t="s">
        <v>33</v>
      </c>
      <c r="H604" s="28" t="s">
        <v>129</v>
      </c>
      <c r="I604" s="28" t="s">
        <v>738</v>
      </c>
      <c r="J604" s="27"/>
      <c r="K604" s="29"/>
      <c r="L604" s="29"/>
      <c r="M604" s="29"/>
      <c r="N604" s="29"/>
    </row>
    <row r="605" spans="2:14" x14ac:dyDescent="0.25">
      <c r="B605" s="27" t="s">
        <v>123</v>
      </c>
      <c r="C605" s="28">
        <v>496093</v>
      </c>
      <c r="D605" s="28" t="s">
        <v>723</v>
      </c>
      <c r="E605" s="27" t="s">
        <v>32</v>
      </c>
      <c r="F605" s="27" t="s">
        <v>194</v>
      </c>
      <c r="G605" s="28" t="s">
        <v>33</v>
      </c>
      <c r="H605" s="28" t="s">
        <v>129</v>
      </c>
      <c r="I605" s="28" t="s">
        <v>738</v>
      </c>
      <c r="J605" s="27"/>
      <c r="K605" s="29"/>
      <c r="L605" s="29"/>
      <c r="M605" s="29"/>
      <c r="N605" s="29"/>
    </row>
    <row r="606" spans="2:14" x14ac:dyDescent="0.25">
      <c r="B606" s="27" t="s">
        <v>123</v>
      </c>
      <c r="C606" s="28">
        <v>413316</v>
      </c>
      <c r="D606" s="28" t="s">
        <v>724</v>
      </c>
      <c r="E606" s="27" t="s">
        <v>32</v>
      </c>
      <c r="F606" s="27" t="s">
        <v>194</v>
      </c>
      <c r="G606" s="28" t="s">
        <v>33</v>
      </c>
      <c r="H606" s="28" t="s">
        <v>129</v>
      </c>
      <c r="I606" s="28" t="s">
        <v>738</v>
      </c>
      <c r="J606" s="27"/>
      <c r="K606" s="29"/>
      <c r="L606" s="29"/>
      <c r="M606" s="29"/>
      <c r="N606" s="29"/>
    </row>
    <row r="607" spans="2:14" x14ac:dyDescent="0.25">
      <c r="B607" s="27" t="s">
        <v>123</v>
      </c>
      <c r="C607" s="28">
        <v>514178</v>
      </c>
      <c r="D607" s="28" t="s">
        <v>725</v>
      </c>
      <c r="E607" s="27" t="s">
        <v>32</v>
      </c>
      <c r="F607" s="27" t="s">
        <v>194</v>
      </c>
      <c r="G607" s="28" t="s">
        <v>33</v>
      </c>
      <c r="H607" s="28" t="s">
        <v>129</v>
      </c>
      <c r="I607" s="28" t="s">
        <v>738</v>
      </c>
      <c r="J607" s="27"/>
      <c r="K607" s="29"/>
      <c r="L607" s="29"/>
      <c r="M607" s="29"/>
      <c r="N607" s="29"/>
    </row>
    <row r="608" spans="2:14" x14ac:dyDescent="0.25">
      <c r="B608" s="27" t="s">
        <v>123</v>
      </c>
      <c r="C608" s="28">
        <v>496441</v>
      </c>
      <c r="D608" s="28" t="s">
        <v>726</v>
      </c>
      <c r="E608" s="27" t="s">
        <v>32</v>
      </c>
      <c r="F608" s="27" t="s">
        <v>194</v>
      </c>
      <c r="G608" s="28" t="s">
        <v>33</v>
      </c>
      <c r="H608" s="28" t="s">
        <v>129</v>
      </c>
      <c r="I608" s="28" t="s">
        <v>738</v>
      </c>
      <c r="J608" s="27"/>
      <c r="K608" s="29"/>
      <c r="L608" s="29"/>
      <c r="M608" s="29"/>
      <c r="N608" s="29"/>
    </row>
    <row r="609" spans="2:14" x14ac:dyDescent="0.25">
      <c r="B609" s="27" t="s">
        <v>123</v>
      </c>
      <c r="C609" s="28">
        <v>511212</v>
      </c>
      <c r="D609" s="28" t="s">
        <v>727</v>
      </c>
      <c r="E609" s="27" t="s">
        <v>32</v>
      </c>
      <c r="F609" s="27" t="s">
        <v>194</v>
      </c>
      <c r="G609" s="28" t="s">
        <v>33</v>
      </c>
      <c r="H609" s="28" t="s">
        <v>129</v>
      </c>
      <c r="I609" s="28" t="s">
        <v>738</v>
      </c>
      <c r="J609" s="27"/>
      <c r="K609" s="29"/>
      <c r="L609" s="29"/>
      <c r="M609" s="29"/>
      <c r="N609" s="29"/>
    </row>
    <row r="610" spans="2:14" x14ac:dyDescent="0.25">
      <c r="B610" s="27" t="s">
        <v>123</v>
      </c>
      <c r="C610" s="28">
        <v>511216</v>
      </c>
      <c r="D610" s="28" t="s">
        <v>728</v>
      </c>
      <c r="E610" s="27" t="s">
        <v>32</v>
      </c>
      <c r="F610" s="27" t="s">
        <v>194</v>
      </c>
      <c r="G610" s="28" t="s">
        <v>33</v>
      </c>
      <c r="H610" s="28" t="s">
        <v>129</v>
      </c>
      <c r="I610" s="28" t="s">
        <v>738</v>
      </c>
      <c r="J610" s="27"/>
      <c r="K610" s="29"/>
      <c r="L610" s="29"/>
      <c r="M610" s="29"/>
      <c r="N610" s="29"/>
    </row>
    <row r="611" spans="2:14" x14ac:dyDescent="0.25">
      <c r="B611" s="27" t="s">
        <v>123</v>
      </c>
      <c r="C611" s="28">
        <v>514177</v>
      </c>
      <c r="D611" s="28" t="s">
        <v>729</v>
      </c>
      <c r="E611" s="27" t="s">
        <v>32</v>
      </c>
      <c r="F611" s="27" t="s">
        <v>194</v>
      </c>
      <c r="G611" s="28" t="s">
        <v>33</v>
      </c>
      <c r="H611" s="28" t="s">
        <v>129</v>
      </c>
      <c r="I611" s="28" t="s">
        <v>738</v>
      </c>
      <c r="J611" s="27"/>
      <c r="K611" s="29"/>
      <c r="L611" s="29"/>
      <c r="M611" s="29"/>
      <c r="N611" s="29"/>
    </row>
    <row r="612" spans="2:14" x14ac:dyDescent="0.25">
      <c r="B612" s="27" t="s">
        <v>123</v>
      </c>
      <c r="C612" s="28">
        <v>451102</v>
      </c>
      <c r="D612" s="28" t="s">
        <v>730</v>
      </c>
      <c r="E612" s="27" t="s">
        <v>32</v>
      </c>
      <c r="F612" s="27" t="s">
        <v>194</v>
      </c>
      <c r="G612" s="28" t="s">
        <v>33</v>
      </c>
      <c r="H612" s="28" t="s">
        <v>129</v>
      </c>
      <c r="I612" s="28" t="s">
        <v>738</v>
      </c>
      <c r="J612" s="27"/>
      <c r="K612" s="29"/>
      <c r="L612" s="29"/>
      <c r="M612" s="29"/>
      <c r="N612" s="29"/>
    </row>
    <row r="613" spans="2:14" x14ac:dyDescent="0.25">
      <c r="B613" s="27" t="s">
        <v>123</v>
      </c>
      <c r="C613" s="28">
        <v>524696</v>
      </c>
      <c r="D613" s="28" t="s">
        <v>731</v>
      </c>
      <c r="E613" s="27" t="s">
        <v>32</v>
      </c>
      <c r="F613" s="27" t="s">
        <v>194</v>
      </c>
      <c r="G613" s="28" t="s">
        <v>33</v>
      </c>
      <c r="H613" s="28" t="s">
        <v>129</v>
      </c>
      <c r="I613" s="28" t="s">
        <v>738</v>
      </c>
      <c r="J613" s="27"/>
      <c r="K613" s="29"/>
      <c r="L613" s="29"/>
      <c r="M613" s="29"/>
      <c r="N613" s="29"/>
    </row>
    <row r="614" spans="2:14" x14ac:dyDescent="0.25">
      <c r="B614" s="27" t="s">
        <v>123</v>
      </c>
      <c r="C614" s="28">
        <v>495368</v>
      </c>
      <c r="D614" s="28" t="s">
        <v>732</v>
      </c>
      <c r="E614" s="27" t="s">
        <v>32</v>
      </c>
      <c r="F614" s="27" t="s">
        <v>194</v>
      </c>
      <c r="G614" s="28" t="s">
        <v>33</v>
      </c>
      <c r="H614" s="28" t="s">
        <v>129</v>
      </c>
      <c r="I614" s="28" t="s">
        <v>738</v>
      </c>
      <c r="J614" s="27"/>
      <c r="K614" s="29"/>
      <c r="L614" s="29"/>
      <c r="M614" s="29"/>
      <c r="N614" s="29"/>
    </row>
    <row r="615" spans="2:14" x14ac:dyDescent="0.25">
      <c r="B615" s="27" t="s">
        <v>123</v>
      </c>
      <c r="C615" s="28">
        <v>514185</v>
      </c>
      <c r="D615" s="28" t="s">
        <v>733</v>
      </c>
      <c r="E615" s="27" t="s">
        <v>32</v>
      </c>
      <c r="F615" s="27" t="s">
        <v>194</v>
      </c>
      <c r="G615" s="28" t="s">
        <v>33</v>
      </c>
      <c r="H615" s="28" t="s">
        <v>129</v>
      </c>
      <c r="I615" s="28" t="s">
        <v>738</v>
      </c>
      <c r="J615" s="27"/>
      <c r="K615" s="29"/>
      <c r="L615" s="29"/>
      <c r="M615" s="29"/>
      <c r="N615" s="29"/>
    </row>
    <row r="616" spans="2:14" x14ac:dyDescent="0.25">
      <c r="B616" s="27" t="s">
        <v>123</v>
      </c>
      <c r="C616" s="28">
        <v>514175</v>
      </c>
      <c r="D616" s="28" t="s">
        <v>734</v>
      </c>
      <c r="E616" s="27" t="s">
        <v>32</v>
      </c>
      <c r="F616" s="27" t="s">
        <v>194</v>
      </c>
      <c r="G616" s="28" t="s">
        <v>33</v>
      </c>
      <c r="H616" s="28" t="s">
        <v>129</v>
      </c>
      <c r="I616" s="28" t="s">
        <v>738</v>
      </c>
      <c r="J616" s="27"/>
      <c r="K616" s="29"/>
      <c r="L616" s="29"/>
      <c r="M616" s="29"/>
      <c r="N616" s="29"/>
    </row>
    <row r="617" spans="2:14" x14ac:dyDescent="0.25">
      <c r="B617" s="27" t="s">
        <v>123</v>
      </c>
      <c r="C617" s="28">
        <v>504486</v>
      </c>
      <c r="D617" s="28" t="s">
        <v>735</v>
      </c>
      <c r="E617" s="27" t="s">
        <v>32</v>
      </c>
      <c r="F617" s="27" t="s">
        <v>194</v>
      </c>
      <c r="G617" s="28" t="s">
        <v>33</v>
      </c>
      <c r="H617" s="28" t="s">
        <v>129</v>
      </c>
      <c r="I617" s="28" t="s">
        <v>738</v>
      </c>
      <c r="J617" s="27"/>
      <c r="K617" s="29"/>
      <c r="L617" s="29"/>
      <c r="M617" s="29"/>
      <c r="N617" s="29"/>
    </row>
    <row r="618" spans="2:14" x14ac:dyDescent="0.25">
      <c r="B618" s="27" t="s">
        <v>123</v>
      </c>
      <c r="C618" s="28">
        <v>524695</v>
      </c>
      <c r="D618" s="28" t="s">
        <v>736</v>
      </c>
      <c r="E618" s="27" t="s">
        <v>32</v>
      </c>
      <c r="F618" s="27" t="s">
        <v>194</v>
      </c>
      <c r="G618" s="28" t="s">
        <v>33</v>
      </c>
      <c r="H618" s="28" t="s">
        <v>129</v>
      </c>
      <c r="I618" s="28" t="s">
        <v>738</v>
      </c>
      <c r="J618" s="27"/>
      <c r="K618" s="29"/>
      <c r="L618" s="29"/>
      <c r="M618" s="29"/>
      <c r="N618" s="29"/>
    </row>
    <row r="619" spans="2:14" x14ac:dyDescent="0.25">
      <c r="B619" s="27" t="s">
        <v>123</v>
      </c>
      <c r="C619" s="28">
        <v>524066</v>
      </c>
      <c r="D619" s="28" t="s">
        <v>737</v>
      </c>
      <c r="E619" s="27" t="s">
        <v>32</v>
      </c>
      <c r="F619" s="27" t="s">
        <v>194</v>
      </c>
      <c r="G619" s="28" t="s">
        <v>33</v>
      </c>
      <c r="H619" s="28" t="s">
        <v>129</v>
      </c>
      <c r="I619" s="28" t="s">
        <v>738</v>
      </c>
      <c r="J619" s="27"/>
      <c r="K619" s="29"/>
      <c r="L619" s="29"/>
      <c r="M619" s="29"/>
      <c r="N619" s="29"/>
    </row>
    <row r="620" spans="2:14" x14ac:dyDescent="0.25">
      <c r="B620" s="27"/>
      <c r="C620" s="28"/>
      <c r="D620" s="28"/>
      <c r="E620" s="27"/>
      <c r="F620" s="27"/>
      <c r="G620" s="28"/>
      <c r="H620" s="28"/>
      <c r="I620" s="36"/>
      <c r="J620" s="27"/>
      <c r="K620" s="29"/>
      <c r="L620" s="29"/>
      <c r="M620" s="29"/>
      <c r="N620" s="29"/>
    </row>
    <row r="621" spans="2:14" x14ac:dyDescent="0.25">
      <c r="B621" s="27"/>
      <c r="C621" s="28"/>
      <c r="D621" s="28"/>
      <c r="E621" s="27"/>
      <c r="F621" s="27"/>
      <c r="G621" s="28"/>
      <c r="H621" s="28"/>
      <c r="I621" s="36"/>
      <c r="J621" s="27"/>
      <c r="K621" s="29"/>
      <c r="L621" s="29"/>
      <c r="M621" s="29"/>
      <c r="N621" s="29"/>
    </row>
    <row r="622" spans="2:14" x14ac:dyDescent="0.25">
      <c r="B622" s="27"/>
      <c r="C622" s="28"/>
      <c r="D622" s="28"/>
      <c r="E622" s="27"/>
      <c r="F622" s="27"/>
      <c r="G622" s="28"/>
      <c r="H622" s="28"/>
      <c r="I622" s="36"/>
      <c r="J622" s="27"/>
      <c r="K622" s="29"/>
      <c r="L622" s="29"/>
      <c r="M622" s="29"/>
      <c r="N622" s="29"/>
    </row>
    <row r="623" spans="2:14" x14ac:dyDescent="0.25">
      <c r="B623" s="27"/>
      <c r="C623" s="28"/>
      <c r="D623" s="28"/>
      <c r="E623" s="27"/>
      <c r="F623" s="27"/>
      <c r="G623" s="28"/>
      <c r="H623" s="28"/>
      <c r="I623" s="36"/>
      <c r="J623" s="27"/>
      <c r="K623" s="29"/>
      <c r="L623" s="29"/>
      <c r="M623" s="29"/>
      <c r="N623" s="29"/>
    </row>
    <row r="624" spans="2:14" x14ac:dyDescent="0.25">
      <c r="B624" s="27"/>
      <c r="C624" s="28"/>
      <c r="D624" s="28"/>
      <c r="E624" s="27"/>
      <c r="F624" s="27"/>
      <c r="G624" s="28"/>
      <c r="H624" s="28"/>
      <c r="I624" s="36"/>
      <c r="J624" s="27"/>
      <c r="K624" s="29"/>
      <c r="L624" s="29"/>
      <c r="M624" s="29"/>
      <c r="N624" s="29"/>
    </row>
    <row r="625" spans="2:14" x14ac:dyDescent="0.25">
      <c r="B625" s="27"/>
      <c r="C625" s="28"/>
      <c r="D625" s="28"/>
      <c r="E625" s="27"/>
      <c r="F625" s="27"/>
      <c r="G625" s="28"/>
      <c r="H625" s="28"/>
      <c r="I625" s="36"/>
      <c r="J625" s="27"/>
      <c r="K625" s="29"/>
      <c r="L625" s="29"/>
      <c r="M625" s="29"/>
      <c r="N625" s="29"/>
    </row>
    <row r="626" spans="2:14" x14ac:dyDescent="0.25">
      <c r="B626" s="27"/>
      <c r="C626" s="28"/>
      <c r="D626" s="28"/>
      <c r="E626" s="27"/>
      <c r="F626" s="27"/>
      <c r="G626" s="28"/>
      <c r="H626" s="28"/>
      <c r="I626" s="36"/>
      <c r="J626" s="27"/>
      <c r="K626" s="29"/>
      <c r="L626" s="29"/>
      <c r="M626" s="29"/>
      <c r="N626" s="29"/>
    </row>
    <row r="627" spans="2:14" x14ac:dyDescent="0.25">
      <c r="B627" s="27"/>
      <c r="C627" s="28"/>
      <c r="D627" s="28"/>
      <c r="E627" s="27"/>
      <c r="F627" s="27"/>
      <c r="G627" s="28"/>
      <c r="H627" s="28"/>
      <c r="I627" s="36"/>
      <c r="J627" s="27"/>
      <c r="K627" s="29"/>
      <c r="L627" s="29"/>
      <c r="M627" s="29"/>
      <c r="N627" s="29"/>
    </row>
    <row r="628" spans="2:14" x14ac:dyDescent="0.25">
      <c r="B628" s="27"/>
      <c r="C628" s="28"/>
      <c r="D628" s="28"/>
      <c r="E628" s="27"/>
      <c r="F628" s="27"/>
      <c r="G628" s="28"/>
      <c r="H628" s="28"/>
      <c r="I628" s="36"/>
      <c r="J628" s="27"/>
      <c r="K628" s="29"/>
      <c r="L628" s="29"/>
      <c r="M628" s="29"/>
      <c r="N628" s="29"/>
    </row>
    <row r="629" spans="2:14" x14ac:dyDescent="0.25">
      <c r="B629" s="27"/>
      <c r="C629" s="28"/>
      <c r="D629" s="28"/>
      <c r="E629" s="27"/>
      <c r="F629" s="27"/>
      <c r="G629" s="28"/>
      <c r="H629" s="28"/>
      <c r="I629" s="36"/>
      <c r="J629" s="27"/>
      <c r="K629" s="29"/>
      <c r="L629" s="29"/>
      <c r="M629" s="29"/>
      <c r="N629" s="29"/>
    </row>
    <row r="630" spans="2:14" x14ac:dyDescent="0.25">
      <c r="B630" s="27"/>
      <c r="C630" s="28"/>
      <c r="D630" s="28"/>
      <c r="E630" s="27"/>
      <c r="F630" s="27"/>
      <c r="G630" s="28"/>
      <c r="H630" s="28"/>
      <c r="I630" s="36"/>
      <c r="J630" s="27"/>
      <c r="K630" s="29"/>
      <c r="L630" s="29"/>
      <c r="M630" s="29"/>
      <c r="N630" s="29"/>
    </row>
    <row r="631" spans="2:14" x14ac:dyDescent="0.25">
      <c r="B631" s="27"/>
      <c r="C631" s="28"/>
      <c r="D631" s="28"/>
      <c r="E631" s="27"/>
      <c r="F631" s="27"/>
      <c r="G631" s="28"/>
      <c r="H631" s="28"/>
      <c r="I631" s="36"/>
      <c r="J631" s="27"/>
      <c r="K631" s="29"/>
      <c r="L631" s="29"/>
      <c r="M631" s="29"/>
      <c r="N631" s="29"/>
    </row>
    <row r="632" spans="2:14" x14ac:dyDescent="0.25">
      <c r="B632" s="27"/>
      <c r="C632" s="28"/>
      <c r="D632" s="28"/>
      <c r="E632" s="27"/>
      <c r="F632" s="27"/>
      <c r="G632" s="28"/>
      <c r="H632" s="28"/>
      <c r="I632" s="36"/>
      <c r="J632" s="27"/>
      <c r="K632" s="29"/>
      <c r="L632" s="29"/>
      <c r="M632" s="29"/>
      <c r="N632" s="29"/>
    </row>
    <row r="633" spans="2:14" x14ac:dyDescent="0.25">
      <c r="B633" s="27"/>
      <c r="C633" s="28"/>
      <c r="D633" s="28"/>
      <c r="E633" s="27"/>
      <c r="F633" s="27"/>
      <c r="G633" s="28"/>
      <c r="H633" s="28"/>
      <c r="I633" s="36"/>
      <c r="J633" s="27"/>
      <c r="K633" s="29"/>
      <c r="L633" s="29"/>
      <c r="M633" s="29"/>
      <c r="N633" s="29"/>
    </row>
    <row r="634" spans="2:14" x14ac:dyDescent="0.25">
      <c r="B634" s="27"/>
      <c r="C634" s="28"/>
      <c r="D634" s="28"/>
      <c r="E634" s="27"/>
      <c r="F634" s="27"/>
      <c r="G634" s="28"/>
      <c r="H634" s="28"/>
      <c r="I634" s="36"/>
      <c r="J634" s="27"/>
      <c r="K634" s="29"/>
      <c r="L634" s="29"/>
      <c r="M634" s="29"/>
      <c r="N634" s="29"/>
    </row>
    <row r="635" spans="2:14" x14ac:dyDescent="0.25">
      <c r="B635" s="27"/>
      <c r="C635" s="28"/>
      <c r="D635" s="28"/>
      <c r="E635" s="27"/>
      <c r="F635" s="27"/>
      <c r="G635" s="28"/>
      <c r="H635" s="28"/>
      <c r="I635" s="36"/>
      <c r="J635" s="27"/>
      <c r="K635" s="29"/>
      <c r="L635" s="29"/>
      <c r="M635" s="29"/>
      <c r="N635" s="29"/>
    </row>
    <row r="636" spans="2:14" x14ac:dyDescent="0.25">
      <c r="B636" s="27"/>
      <c r="C636" s="28"/>
      <c r="D636" s="28"/>
      <c r="E636" s="27"/>
      <c r="F636" s="27"/>
      <c r="G636" s="28"/>
      <c r="H636" s="28"/>
      <c r="I636" s="36"/>
      <c r="J636" s="27"/>
      <c r="K636" s="29"/>
      <c r="L636" s="29"/>
      <c r="M636" s="29"/>
      <c r="N636" s="29"/>
    </row>
    <row r="637" spans="2:14" x14ac:dyDescent="0.25">
      <c r="B637" s="27"/>
      <c r="C637" s="28"/>
      <c r="D637" s="28"/>
      <c r="E637" s="27"/>
      <c r="F637" s="27"/>
      <c r="G637" s="28"/>
      <c r="H637" s="28"/>
      <c r="I637" s="36"/>
      <c r="J637" s="27"/>
      <c r="K637" s="29"/>
      <c r="L637" s="29"/>
      <c r="M637" s="29"/>
      <c r="N637" s="29"/>
    </row>
    <row r="638" spans="2:14" x14ac:dyDescent="0.25">
      <c r="B638" s="27"/>
      <c r="C638" s="28"/>
      <c r="D638" s="28"/>
      <c r="E638" s="27"/>
      <c r="F638" s="27"/>
      <c r="G638" s="28"/>
      <c r="H638" s="28"/>
      <c r="I638" s="36"/>
      <c r="J638" s="27"/>
      <c r="K638" s="29"/>
      <c r="L638" s="29"/>
      <c r="M638" s="29"/>
      <c r="N638" s="29"/>
    </row>
    <row r="639" spans="2:14" x14ac:dyDescent="0.25">
      <c r="B639" s="27"/>
      <c r="C639" s="28"/>
      <c r="D639" s="28"/>
      <c r="E639" s="27"/>
      <c r="F639" s="27"/>
      <c r="G639" s="28"/>
      <c r="H639" s="28"/>
      <c r="I639" s="36"/>
      <c r="J639" s="27"/>
      <c r="K639" s="29"/>
      <c r="L639" s="29"/>
      <c r="M639" s="29"/>
      <c r="N639" s="29"/>
    </row>
    <row r="640" spans="2:14" x14ac:dyDescent="0.25">
      <c r="B640" s="27"/>
      <c r="C640" s="28"/>
      <c r="D640" s="28"/>
      <c r="E640" s="27"/>
      <c r="F640" s="27"/>
      <c r="G640" s="28"/>
      <c r="H640" s="28"/>
      <c r="I640" s="36"/>
      <c r="J640" s="27"/>
      <c r="K640" s="29"/>
      <c r="L640" s="29"/>
      <c r="M640" s="29"/>
      <c r="N640" s="29"/>
    </row>
    <row r="641" spans="2:14" x14ac:dyDescent="0.25">
      <c r="B641" s="27"/>
      <c r="C641" s="28"/>
      <c r="D641" s="28"/>
      <c r="E641" s="27"/>
      <c r="F641" s="27"/>
      <c r="G641" s="28"/>
      <c r="H641" s="28"/>
      <c r="I641" s="36"/>
      <c r="J641" s="27"/>
      <c r="K641" s="29"/>
      <c r="L641" s="29"/>
      <c r="M641" s="29"/>
      <c r="N641" s="29"/>
    </row>
    <row r="642" spans="2:14" x14ac:dyDescent="0.25">
      <c r="B642" s="27"/>
      <c r="C642" s="28"/>
      <c r="D642" s="28"/>
      <c r="E642" s="27"/>
      <c r="F642" s="27"/>
      <c r="G642" s="28"/>
      <c r="H642" s="28"/>
      <c r="I642" s="36"/>
      <c r="J642" s="27"/>
      <c r="K642" s="29"/>
      <c r="L642" s="29"/>
      <c r="M642" s="29"/>
      <c r="N642" s="29"/>
    </row>
    <row r="643" spans="2:14" x14ac:dyDescent="0.25">
      <c r="B643" s="27"/>
      <c r="C643" s="28"/>
      <c r="D643" s="28"/>
      <c r="E643" s="27"/>
      <c r="F643" s="27"/>
      <c r="G643" s="28"/>
      <c r="H643" s="28"/>
      <c r="I643" s="36"/>
      <c r="J643" s="27"/>
      <c r="K643" s="29"/>
      <c r="L643" s="29"/>
      <c r="M643" s="29"/>
      <c r="N643" s="29"/>
    </row>
    <row r="644" spans="2:14" x14ac:dyDescent="0.25">
      <c r="B644" s="27"/>
      <c r="C644" s="28"/>
      <c r="D644" s="28"/>
      <c r="E644" s="27"/>
      <c r="F644" s="27"/>
      <c r="G644" s="28"/>
      <c r="H644" s="28"/>
      <c r="I644" s="36"/>
      <c r="J644" s="27"/>
      <c r="K644" s="29"/>
      <c r="L644" s="29"/>
      <c r="M644" s="29"/>
      <c r="N644" s="29"/>
    </row>
    <row r="645" spans="2:14" x14ac:dyDescent="0.25">
      <c r="B645" s="27"/>
      <c r="C645" s="28"/>
      <c r="D645" s="28"/>
      <c r="E645" s="27"/>
      <c r="F645" s="27"/>
      <c r="G645" s="28"/>
      <c r="H645" s="28"/>
      <c r="I645" s="36"/>
      <c r="J645" s="27"/>
      <c r="K645" s="29"/>
      <c r="L645" s="29"/>
      <c r="M645" s="29"/>
      <c r="N645" s="29"/>
    </row>
    <row r="646" spans="2:14" x14ac:dyDescent="0.25">
      <c r="B646" s="27"/>
      <c r="C646" s="28"/>
      <c r="D646" s="28"/>
      <c r="E646" s="27"/>
      <c r="F646" s="27"/>
      <c r="G646" s="28"/>
      <c r="H646" s="28"/>
      <c r="I646" s="36"/>
      <c r="J646" s="27"/>
      <c r="K646" s="29"/>
      <c r="L646" s="29"/>
      <c r="M646" s="29"/>
      <c r="N646" s="29"/>
    </row>
    <row r="647" spans="2:14" x14ac:dyDescent="0.25">
      <c r="B647" s="27"/>
      <c r="C647" s="28"/>
      <c r="D647" s="28"/>
      <c r="E647" s="27"/>
      <c r="F647" s="27"/>
      <c r="G647" s="28"/>
      <c r="H647" s="28"/>
      <c r="I647" s="36"/>
      <c r="J647" s="27"/>
      <c r="K647" s="29"/>
      <c r="L647" s="29"/>
      <c r="M647" s="29"/>
      <c r="N647" s="29"/>
    </row>
    <row r="648" spans="2:14" x14ac:dyDescent="0.25">
      <c r="B648" s="27"/>
      <c r="C648" s="28"/>
      <c r="D648" s="28"/>
      <c r="E648" s="27"/>
      <c r="F648" s="27"/>
      <c r="G648" s="28"/>
      <c r="H648" s="28"/>
      <c r="I648" s="36"/>
      <c r="J648" s="27"/>
      <c r="K648" s="29"/>
      <c r="L648" s="29"/>
      <c r="M648" s="29"/>
      <c r="N648" s="29"/>
    </row>
    <row r="649" spans="2:14" x14ac:dyDescent="0.25">
      <c r="B649" s="27"/>
      <c r="C649" s="28"/>
      <c r="D649" s="28"/>
      <c r="E649" s="27"/>
      <c r="F649" s="27"/>
      <c r="G649" s="28"/>
      <c r="H649" s="28"/>
      <c r="I649" s="36"/>
      <c r="J649" s="27"/>
      <c r="K649" s="29"/>
      <c r="L649" s="29"/>
      <c r="M649" s="29"/>
      <c r="N649" s="29"/>
    </row>
    <row r="650" spans="2:14" x14ac:dyDescent="0.25">
      <c r="B650" s="27"/>
      <c r="C650" s="28"/>
      <c r="D650" s="28"/>
      <c r="E650" s="27"/>
      <c r="F650" s="27"/>
      <c r="G650" s="28"/>
      <c r="H650" s="28"/>
      <c r="I650" s="36"/>
      <c r="J650" s="27"/>
      <c r="K650" s="29"/>
      <c r="L650" s="29"/>
      <c r="M650" s="29"/>
      <c r="N650" s="29"/>
    </row>
    <row r="651" spans="2:14" x14ac:dyDescent="0.25">
      <c r="B651" s="27"/>
      <c r="C651" s="28"/>
      <c r="D651" s="28"/>
      <c r="E651" s="27"/>
      <c r="F651" s="27"/>
      <c r="G651" s="28"/>
      <c r="H651" s="28"/>
      <c r="I651" s="36"/>
      <c r="J651" s="27"/>
      <c r="K651" s="29"/>
      <c r="L651" s="29"/>
      <c r="M651" s="29"/>
      <c r="N651" s="29"/>
    </row>
    <row r="652" spans="2:14" x14ac:dyDescent="0.25">
      <c r="B652" s="27"/>
      <c r="C652" s="28"/>
      <c r="D652" s="28"/>
      <c r="E652" s="27"/>
      <c r="F652" s="27"/>
      <c r="G652" s="28"/>
      <c r="H652" s="28"/>
      <c r="I652" s="36"/>
      <c r="J652" s="27"/>
      <c r="K652" s="29"/>
      <c r="L652" s="29"/>
      <c r="M652" s="29"/>
      <c r="N652" s="29"/>
    </row>
    <row r="653" spans="2:14" x14ac:dyDescent="0.25">
      <c r="B653" s="27"/>
      <c r="C653" s="28"/>
      <c r="D653" s="28"/>
      <c r="E653" s="27"/>
      <c r="F653" s="27"/>
      <c r="G653" s="28"/>
      <c r="H653" s="28"/>
      <c r="I653" s="36"/>
      <c r="J653" s="27"/>
      <c r="K653" s="29"/>
      <c r="L653" s="29"/>
      <c r="M653" s="29"/>
      <c r="N653" s="29"/>
    </row>
    <row r="654" spans="2:14" x14ac:dyDescent="0.25">
      <c r="B654" s="27"/>
      <c r="C654" s="28"/>
      <c r="D654" s="28"/>
      <c r="E654" s="27"/>
      <c r="F654" s="27"/>
      <c r="G654" s="28"/>
      <c r="H654" s="28"/>
      <c r="I654" s="36"/>
      <c r="J654" s="27"/>
      <c r="K654" s="29"/>
      <c r="L654" s="29"/>
      <c r="M654" s="29"/>
      <c r="N654" s="29"/>
    </row>
    <row r="655" spans="2:14" x14ac:dyDescent="0.25">
      <c r="B655" s="27"/>
      <c r="C655" s="28"/>
      <c r="D655" s="28"/>
      <c r="E655" s="27"/>
      <c r="F655" s="27"/>
      <c r="G655" s="28"/>
      <c r="H655" s="28"/>
      <c r="I655" s="36"/>
      <c r="J655" s="27"/>
      <c r="K655" s="29"/>
      <c r="L655" s="29"/>
      <c r="M655" s="29"/>
      <c r="N655" s="29"/>
    </row>
    <row r="656" spans="2:14" x14ac:dyDescent="0.25">
      <c r="B656" s="27"/>
      <c r="C656" s="28"/>
      <c r="D656" s="28"/>
      <c r="E656" s="27"/>
      <c r="F656" s="27"/>
      <c r="G656" s="28"/>
      <c r="H656" s="28"/>
      <c r="I656" s="36"/>
      <c r="J656" s="27"/>
      <c r="K656" s="29"/>
      <c r="L656" s="29"/>
      <c r="M656" s="29"/>
      <c r="N656" s="29"/>
    </row>
    <row r="657" spans="2:14" x14ac:dyDescent="0.25">
      <c r="B657" s="27"/>
      <c r="C657" s="28"/>
      <c r="D657" s="28"/>
      <c r="E657" s="27"/>
      <c r="F657" s="27"/>
      <c r="G657" s="28"/>
      <c r="H657" s="28"/>
      <c r="I657" s="36"/>
      <c r="J657" s="27"/>
      <c r="K657" s="29"/>
      <c r="L657" s="29"/>
      <c r="M657" s="29"/>
      <c r="N657" s="29"/>
    </row>
    <row r="658" spans="2:14" x14ac:dyDescent="0.25">
      <c r="B658" s="27"/>
      <c r="C658" s="28"/>
      <c r="D658" s="28"/>
      <c r="E658" s="27"/>
      <c r="F658" s="27"/>
      <c r="G658" s="28"/>
      <c r="H658" s="28"/>
      <c r="I658" s="36"/>
      <c r="J658" s="27"/>
      <c r="K658" s="29"/>
      <c r="L658" s="29"/>
      <c r="M658" s="29"/>
      <c r="N658" s="29"/>
    </row>
    <row r="659" spans="2:14" x14ac:dyDescent="0.25">
      <c r="B659" s="27"/>
      <c r="C659" s="28"/>
      <c r="D659" s="28"/>
      <c r="E659" s="27"/>
      <c r="F659" s="27"/>
      <c r="G659" s="28"/>
      <c r="H659" s="28"/>
      <c r="I659" s="36"/>
      <c r="J659" s="27"/>
      <c r="K659" s="29"/>
      <c r="L659" s="29"/>
      <c r="M659" s="29"/>
      <c r="N659" s="29"/>
    </row>
    <row r="660" spans="2:14" x14ac:dyDescent="0.25">
      <c r="B660" s="27"/>
      <c r="C660" s="28"/>
      <c r="D660" s="28"/>
      <c r="E660" s="27"/>
      <c r="F660" s="27"/>
      <c r="G660" s="28"/>
      <c r="H660" s="28"/>
      <c r="I660" s="36"/>
      <c r="J660" s="27"/>
      <c r="K660" s="29"/>
      <c r="L660" s="29"/>
      <c r="M660" s="29"/>
      <c r="N660" s="29"/>
    </row>
    <row r="661" spans="2:14" x14ac:dyDescent="0.25">
      <c r="B661" s="27"/>
      <c r="C661" s="28"/>
      <c r="D661" s="28"/>
      <c r="E661" s="27"/>
      <c r="F661" s="27"/>
      <c r="G661" s="28"/>
      <c r="H661" s="28"/>
      <c r="I661" s="36"/>
      <c r="J661" s="27"/>
      <c r="K661" s="29"/>
      <c r="L661" s="29"/>
      <c r="M661" s="29"/>
      <c r="N661" s="29"/>
    </row>
    <row r="662" spans="2:14" x14ac:dyDescent="0.25">
      <c r="B662" s="27"/>
      <c r="C662" s="28"/>
      <c r="D662" s="28"/>
      <c r="E662" s="27"/>
      <c r="F662" s="27"/>
      <c r="G662" s="28"/>
      <c r="H662" s="28"/>
      <c r="I662" s="36"/>
      <c r="J662" s="27"/>
      <c r="K662" s="29"/>
      <c r="L662" s="29"/>
      <c r="M662" s="29"/>
      <c r="N662" s="29"/>
    </row>
    <row r="663" spans="2:14" x14ac:dyDescent="0.25">
      <c r="B663" s="27"/>
      <c r="C663" s="28"/>
      <c r="D663" s="28"/>
      <c r="E663" s="27"/>
      <c r="F663" s="27"/>
      <c r="G663" s="28"/>
      <c r="H663" s="28"/>
      <c r="I663" s="36"/>
      <c r="J663" s="27"/>
      <c r="K663" s="29"/>
      <c r="L663" s="29"/>
      <c r="M663" s="29"/>
      <c r="N663" s="29"/>
    </row>
    <row r="664" spans="2:14" x14ac:dyDescent="0.25">
      <c r="B664" s="27"/>
      <c r="C664" s="28"/>
      <c r="D664" s="28"/>
      <c r="E664" s="27"/>
      <c r="F664" s="27"/>
      <c r="G664" s="28"/>
      <c r="H664" s="28"/>
      <c r="I664" s="36"/>
      <c r="J664" s="27"/>
      <c r="K664" s="29"/>
      <c r="L664" s="29"/>
      <c r="M664" s="29"/>
      <c r="N664" s="29"/>
    </row>
    <row r="665" spans="2:14" x14ac:dyDescent="0.25">
      <c r="B665" s="27"/>
      <c r="C665" s="28"/>
      <c r="D665" s="28"/>
      <c r="E665" s="27"/>
      <c r="F665" s="27"/>
      <c r="G665" s="28"/>
      <c r="H665" s="28"/>
      <c r="I665" s="36"/>
      <c r="J665" s="27"/>
      <c r="K665" s="29"/>
      <c r="L665" s="29"/>
      <c r="M665" s="29"/>
      <c r="N665" s="29"/>
    </row>
    <row r="666" spans="2:14" x14ac:dyDescent="0.25">
      <c r="B666" s="27"/>
      <c r="C666" s="28"/>
      <c r="D666" s="28"/>
      <c r="E666" s="27"/>
      <c r="F666" s="27"/>
      <c r="G666" s="28"/>
      <c r="H666" s="28"/>
      <c r="I666" s="36"/>
      <c r="J666" s="27"/>
      <c r="K666" s="29"/>
      <c r="L666" s="29"/>
      <c r="M666" s="29"/>
      <c r="N666" s="29"/>
    </row>
    <row r="667" spans="2:14" x14ac:dyDescent="0.25">
      <c r="B667" s="27"/>
      <c r="C667" s="28"/>
      <c r="D667" s="28"/>
      <c r="E667" s="27"/>
      <c r="F667" s="27"/>
      <c r="G667" s="28"/>
      <c r="H667" s="28"/>
      <c r="I667" s="36"/>
      <c r="J667" s="27"/>
      <c r="K667" s="29"/>
      <c r="L667" s="29"/>
      <c r="M667" s="29"/>
      <c r="N667" s="29"/>
    </row>
    <row r="668" spans="2:14" x14ac:dyDescent="0.25">
      <c r="B668" s="27"/>
      <c r="C668" s="28"/>
      <c r="D668" s="28"/>
      <c r="E668" s="27"/>
      <c r="F668" s="27"/>
      <c r="G668" s="28"/>
      <c r="H668" s="28"/>
      <c r="I668" s="36"/>
      <c r="J668" s="27"/>
      <c r="K668" s="29"/>
      <c r="L668" s="29"/>
      <c r="M668" s="29"/>
      <c r="N668" s="29"/>
    </row>
    <row r="669" spans="2:14" x14ac:dyDescent="0.25">
      <c r="B669" s="27"/>
      <c r="C669" s="28"/>
      <c r="D669" s="28"/>
      <c r="E669" s="27"/>
      <c r="F669" s="27"/>
      <c r="G669" s="28"/>
      <c r="H669" s="28"/>
      <c r="I669" s="36"/>
      <c r="J669" s="27"/>
      <c r="K669" s="29"/>
      <c r="L669" s="29"/>
      <c r="M669" s="29"/>
      <c r="N669" s="29"/>
    </row>
    <row r="670" spans="2:14" x14ac:dyDescent="0.25">
      <c r="B670" s="27"/>
      <c r="C670" s="28"/>
      <c r="D670" s="28"/>
      <c r="E670" s="27"/>
      <c r="F670" s="27"/>
      <c r="G670" s="28"/>
      <c r="H670" s="28"/>
      <c r="I670" s="36"/>
      <c r="J670" s="27"/>
      <c r="K670" s="29"/>
      <c r="L670" s="29"/>
      <c r="M670" s="29"/>
      <c r="N670" s="29"/>
    </row>
    <row r="671" spans="2:14" x14ac:dyDescent="0.25">
      <c r="B671" s="27"/>
      <c r="C671" s="28"/>
      <c r="D671" s="28"/>
      <c r="E671" s="27"/>
      <c r="F671" s="27"/>
      <c r="G671" s="28"/>
      <c r="H671" s="28"/>
      <c r="I671" s="36"/>
      <c r="J671" s="27"/>
      <c r="K671" s="29"/>
      <c r="L671" s="29"/>
      <c r="M671" s="29"/>
      <c r="N671" s="29"/>
    </row>
    <row r="672" spans="2:14" x14ac:dyDescent="0.25">
      <c r="B672" s="27"/>
      <c r="C672" s="28"/>
      <c r="D672" s="28"/>
      <c r="E672" s="27"/>
      <c r="F672" s="27"/>
      <c r="G672" s="28"/>
      <c r="H672" s="28"/>
      <c r="I672" s="36"/>
      <c r="J672" s="27"/>
      <c r="K672" s="29"/>
      <c r="L672" s="29"/>
      <c r="M672" s="29"/>
      <c r="N672" s="29"/>
    </row>
    <row r="673" spans="2:14" x14ac:dyDescent="0.25">
      <c r="B673" s="27"/>
      <c r="C673" s="28"/>
      <c r="D673" s="28"/>
      <c r="E673" s="27"/>
      <c r="F673" s="27"/>
      <c r="G673" s="28"/>
      <c r="H673" s="28"/>
      <c r="I673" s="36"/>
      <c r="J673" s="27"/>
      <c r="K673" s="29"/>
      <c r="L673" s="29"/>
      <c r="M673" s="29"/>
      <c r="N673" s="29"/>
    </row>
    <row r="674" spans="2:14" x14ac:dyDescent="0.25">
      <c r="B674" s="27"/>
      <c r="C674" s="28"/>
      <c r="D674" s="28"/>
      <c r="E674" s="27"/>
      <c r="F674" s="27"/>
      <c r="G674" s="28"/>
      <c r="H674" s="28"/>
      <c r="I674" s="36"/>
      <c r="J674" s="27"/>
      <c r="K674" s="29"/>
      <c r="L674" s="29"/>
      <c r="M674" s="29"/>
      <c r="N674" s="29"/>
    </row>
    <row r="675" spans="2:14" x14ac:dyDescent="0.25">
      <c r="B675" s="27"/>
      <c r="C675" s="28"/>
      <c r="D675" s="28"/>
      <c r="E675" s="27"/>
      <c r="F675" s="27"/>
      <c r="G675" s="28"/>
      <c r="H675" s="28"/>
      <c r="I675" s="36"/>
      <c r="J675" s="27"/>
      <c r="K675" s="29"/>
      <c r="L675" s="29"/>
      <c r="M675" s="29"/>
      <c r="N675" s="29"/>
    </row>
    <row r="676" spans="2:14" x14ac:dyDescent="0.25">
      <c r="B676" s="27"/>
      <c r="C676" s="28"/>
      <c r="D676" s="28"/>
      <c r="E676" s="27"/>
      <c r="F676" s="27"/>
      <c r="G676" s="28"/>
      <c r="H676" s="28"/>
      <c r="I676" s="36"/>
      <c r="J676" s="27"/>
      <c r="K676" s="29"/>
      <c r="L676" s="29"/>
      <c r="M676" s="29"/>
      <c r="N676" s="29"/>
    </row>
    <row r="677" spans="2:14" x14ac:dyDescent="0.25">
      <c r="B677" s="27"/>
      <c r="C677" s="28"/>
      <c r="D677" s="28"/>
      <c r="E677" s="27"/>
      <c r="F677" s="27"/>
      <c r="G677" s="28"/>
      <c r="H677" s="28"/>
      <c r="I677" s="36"/>
      <c r="J677" s="27"/>
      <c r="K677" s="29"/>
      <c r="L677" s="29"/>
      <c r="M677" s="29"/>
      <c r="N677" s="29"/>
    </row>
    <row r="678" spans="2:14" x14ac:dyDescent="0.25">
      <c r="B678" s="27"/>
      <c r="C678" s="28"/>
      <c r="D678" s="28"/>
      <c r="E678" s="27"/>
      <c r="F678" s="27"/>
      <c r="G678" s="28"/>
      <c r="H678" s="28"/>
      <c r="I678" s="36"/>
      <c r="J678" s="27"/>
      <c r="K678" s="29"/>
      <c r="L678" s="29"/>
      <c r="M678" s="29"/>
      <c r="N678" s="29"/>
    </row>
    <row r="679" spans="2:14" x14ac:dyDescent="0.25">
      <c r="B679" s="27"/>
      <c r="C679" s="28"/>
      <c r="D679" s="28"/>
      <c r="E679" s="27"/>
      <c r="F679" s="27"/>
      <c r="G679" s="28"/>
      <c r="H679" s="28"/>
      <c r="I679" s="36"/>
      <c r="J679" s="27"/>
      <c r="K679" s="29"/>
      <c r="L679" s="29"/>
      <c r="M679" s="29"/>
      <c r="N679" s="29"/>
    </row>
    <row r="680" spans="2:14" x14ac:dyDescent="0.25">
      <c r="B680" s="27"/>
      <c r="C680" s="28"/>
      <c r="D680" s="28"/>
      <c r="E680" s="27"/>
      <c r="F680" s="27"/>
      <c r="G680" s="28"/>
      <c r="H680" s="28"/>
      <c r="I680" s="36"/>
      <c r="J680" s="27"/>
      <c r="K680" s="29"/>
      <c r="L680" s="29"/>
      <c r="M680" s="29"/>
      <c r="N680" s="29"/>
    </row>
    <row r="681" spans="2:14" x14ac:dyDescent="0.25">
      <c r="B681" s="27"/>
      <c r="C681" s="28"/>
      <c r="D681" s="28"/>
      <c r="E681" s="27"/>
      <c r="F681" s="27"/>
      <c r="G681" s="28"/>
      <c r="H681" s="28"/>
      <c r="I681" s="36"/>
      <c r="J681" s="27"/>
      <c r="K681" s="29"/>
      <c r="L681" s="29"/>
      <c r="M681" s="29"/>
      <c r="N681" s="29"/>
    </row>
    <row r="682" spans="2:14" x14ac:dyDescent="0.25">
      <c r="B682" s="27"/>
      <c r="C682" s="28"/>
      <c r="D682" s="28"/>
      <c r="E682" s="27"/>
      <c r="F682" s="27"/>
      <c r="G682" s="28"/>
      <c r="H682" s="28"/>
      <c r="I682" s="36"/>
      <c r="J682" s="27"/>
      <c r="K682" s="29"/>
      <c r="L682" s="29"/>
      <c r="M682" s="29"/>
      <c r="N682" s="29"/>
    </row>
    <row r="683" spans="2:14" x14ac:dyDescent="0.25">
      <c r="B683" s="27"/>
      <c r="C683" s="28"/>
      <c r="D683" s="28"/>
      <c r="E683" s="27"/>
      <c r="F683" s="27"/>
      <c r="G683" s="28"/>
      <c r="H683" s="28"/>
      <c r="I683" s="36"/>
      <c r="J683" s="27"/>
      <c r="K683" s="29"/>
      <c r="L683" s="29"/>
      <c r="M683" s="29"/>
      <c r="N683" s="29"/>
    </row>
    <row r="684" spans="2:14" x14ac:dyDescent="0.25">
      <c r="B684" s="27"/>
      <c r="C684" s="28"/>
      <c r="D684" s="28"/>
      <c r="E684" s="27"/>
      <c r="F684" s="27"/>
      <c r="G684" s="28"/>
      <c r="H684" s="28"/>
      <c r="I684" s="36"/>
      <c r="J684" s="27"/>
      <c r="K684" s="29"/>
      <c r="L684" s="29"/>
      <c r="M684" s="29"/>
      <c r="N684" s="29"/>
    </row>
    <row r="685" spans="2:14" x14ac:dyDescent="0.25">
      <c r="B685" s="27"/>
      <c r="C685" s="28"/>
      <c r="D685" s="28"/>
      <c r="E685" s="27"/>
      <c r="F685" s="27"/>
      <c r="G685" s="28"/>
      <c r="H685" s="28"/>
      <c r="I685" s="36"/>
      <c r="J685" s="27"/>
      <c r="K685" s="29"/>
      <c r="L685" s="29"/>
      <c r="M685" s="29"/>
      <c r="N685" s="29"/>
    </row>
    <row r="686" spans="2:14" x14ac:dyDescent="0.25">
      <c r="B686" s="27"/>
      <c r="C686" s="28"/>
      <c r="D686" s="28"/>
      <c r="E686" s="27"/>
      <c r="F686" s="27"/>
      <c r="G686" s="28"/>
      <c r="H686" s="28"/>
      <c r="I686" s="36"/>
      <c r="J686" s="27"/>
      <c r="K686" s="29"/>
      <c r="L686" s="29"/>
      <c r="M686" s="29"/>
      <c r="N686" s="29"/>
    </row>
    <row r="687" spans="2:14" x14ac:dyDescent="0.25">
      <c r="B687" s="27"/>
      <c r="C687" s="28"/>
      <c r="D687" s="28"/>
      <c r="E687" s="27"/>
      <c r="F687" s="27"/>
      <c r="G687" s="28"/>
      <c r="H687" s="28"/>
      <c r="I687" s="36"/>
      <c r="J687" s="27"/>
      <c r="K687" s="29"/>
      <c r="L687" s="29"/>
      <c r="M687" s="29"/>
      <c r="N687" s="29"/>
    </row>
    <row r="688" spans="2:14" x14ac:dyDescent="0.25">
      <c r="B688" s="27"/>
      <c r="C688" s="28"/>
      <c r="D688" s="28"/>
      <c r="E688" s="27"/>
      <c r="F688" s="27"/>
      <c r="G688" s="28"/>
      <c r="H688" s="28"/>
      <c r="I688" s="36"/>
      <c r="J688" s="27"/>
      <c r="K688" s="29"/>
      <c r="L688" s="29"/>
      <c r="M688" s="29"/>
      <c r="N688" s="29"/>
    </row>
    <row r="689" spans="2:14" x14ac:dyDescent="0.25">
      <c r="B689" s="27"/>
      <c r="C689" s="28"/>
      <c r="D689" s="28"/>
      <c r="E689" s="27"/>
      <c r="F689" s="27"/>
      <c r="G689" s="28"/>
      <c r="H689" s="28"/>
      <c r="I689" s="36"/>
      <c r="J689" s="27"/>
      <c r="K689" s="29"/>
      <c r="L689" s="29"/>
      <c r="M689" s="29"/>
      <c r="N689" s="29"/>
    </row>
    <row r="690" spans="2:14" x14ac:dyDescent="0.25">
      <c r="B690" s="27"/>
      <c r="C690" s="28"/>
      <c r="D690" s="28"/>
      <c r="E690" s="27"/>
      <c r="F690" s="27"/>
      <c r="G690" s="28"/>
      <c r="H690" s="28"/>
      <c r="I690" s="36"/>
      <c r="J690" s="27"/>
      <c r="K690" s="29"/>
      <c r="L690" s="29"/>
      <c r="M690" s="29"/>
      <c r="N690" s="29"/>
    </row>
    <row r="691" spans="2:14" x14ac:dyDescent="0.25">
      <c r="B691" s="27"/>
      <c r="C691" s="28"/>
      <c r="D691" s="28"/>
      <c r="E691" s="27"/>
      <c r="F691" s="27"/>
      <c r="G691" s="28"/>
      <c r="H691" s="28"/>
      <c r="I691" s="36"/>
      <c r="J691" s="27"/>
      <c r="K691" s="29"/>
      <c r="L691" s="29"/>
      <c r="M691" s="29"/>
      <c r="N691" s="29"/>
    </row>
    <row r="692" spans="2:14" x14ac:dyDescent="0.25">
      <c r="B692" s="27"/>
      <c r="C692" s="28"/>
      <c r="D692" s="28"/>
      <c r="E692" s="27"/>
      <c r="F692" s="27"/>
      <c r="G692" s="28"/>
      <c r="H692" s="28"/>
      <c r="I692" s="36"/>
      <c r="J692" s="27"/>
      <c r="K692" s="29"/>
      <c r="L692" s="29"/>
      <c r="M692" s="29"/>
      <c r="N692" s="29"/>
    </row>
    <row r="693" spans="2:14" x14ac:dyDescent="0.25">
      <c r="B693" s="27"/>
      <c r="C693" s="28"/>
      <c r="D693" s="28"/>
      <c r="E693" s="27"/>
      <c r="F693" s="27"/>
      <c r="G693" s="28"/>
      <c r="H693" s="28"/>
      <c r="I693" s="36"/>
      <c r="J693" s="27"/>
      <c r="K693" s="29"/>
      <c r="L693" s="29"/>
      <c r="M693" s="29"/>
      <c r="N693" s="29"/>
    </row>
    <row r="694" spans="2:14" x14ac:dyDescent="0.25">
      <c r="B694" s="27"/>
      <c r="C694" s="28"/>
      <c r="D694" s="28"/>
      <c r="E694" s="27"/>
      <c r="F694" s="27"/>
      <c r="G694" s="28"/>
      <c r="H694" s="28"/>
      <c r="I694" s="36"/>
      <c r="J694" s="27"/>
      <c r="K694" s="29"/>
      <c r="L694" s="29"/>
      <c r="M694" s="29"/>
      <c r="N694" s="29"/>
    </row>
    <row r="695" spans="2:14" x14ac:dyDescent="0.25">
      <c r="B695" s="27"/>
      <c r="C695" s="28"/>
      <c r="D695" s="28"/>
      <c r="E695" s="27"/>
      <c r="F695" s="27"/>
      <c r="G695" s="28"/>
      <c r="H695" s="28"/>
      <c r="I695" s="36"/>
      <c r="J695" s="27"/>
      <c r="K695" s="29"/>
      <c r="L695" s="29"/>
      <c r="M695" s="29"/>
      <c r="N695" s="29"/>
    </row>
    <row r="696" spans="2:14" x14ac:dyDescent="0.25">
      <c r="B696" s="27"/>
      <c r="C696" s="28"/>
      <c r="D696" s="28"/>
      <c r="E696" s="27"/>
      <c r="F696" s="27"/>
      <c r="G696" s="28"/>
      <c r="H696" s="28"/>
      <c r="I696" s="36"/>
      <c r="J696" s="27"/>
      <c r="K696" s="29"/>
      <c r="L696" s="29"/>
      <c r="M696" s="29"/>
      <c r="N696" s="29"/>
    </row>
    <row r="697" spans="2:14" x14ac:dyDescent="0.25">
      <c r="B697" s="27"/>
      <c r="C697" s="28"/>
      <c r="D697" s="28"/>
      <c r="E697" s="27"/>
      <c r="F697" s="27"/>
      <c r="G697" s="28"/>
      <c r="H697" s="28"/>
      <c r="I697" s="36"/>
      <c r="J697" s="27"/>
      <c r="K697" s="29"/>
      <c r="L697" s="29"/>
      <c r="M697" s="29"/>
      <c r="N697" s="29"/>
    </row>
    <row r="698" spans="2:14" x14ac:dyDescent="0.25">
      <c r="B698" s="27"/>
      <c r="C698" s="28"/>
      <c r="D698" s="28"/>
      <c r="E698" s="27"/>
      <c r="F698" s="27"/>
      <c r="G698" s="28"/>
      <c r="H698" s="28"/>
      <c r="I698" s="36"/>
      <c r="J698" s="27"/>
      <c r="K698" s="29"/>
      <c r="L698" s="29"/>
      <c r="M698" s="29"/>
      <c r="N698" s="29"/>
    </row>
    <row r="699" spans="2:14" x14ac:dyDescent="0.25">
      <c r="B699" s="27"/>
      <c r="C699" s="28"/>
      <c r="D699" s="28"/>
      <c r="E699" s="27"/>
      <c r="F699" s="27"/>
      <c r="G699" s="28"/>
      <c r="H699" s="28"/>
      <c r="I699" s="36"/>
      <c r="J699" s="27"/>
      <c r="K699" s="29"/>
      <c r="L699" s="29"/>
      <c r="M699" s="29"/>
      <c r="N699" s="29"/>
    </row>
    <row r="700" spans="2:14" x14ac:dyDescent="0.25">
      <c r="B700" s="27"/>
      <c r="C700" s="28"/>
      <c r="D700" s="28"/>
      <c r="E700" s="27"/>
      <c r="F700" s="27"/>
      <c r="G700" s="28"/>
      <c r="H700" s="28"/>
      <c r="I700" s="36"/>
      <c r="J700" s="27"/>
      <c r="K700" s="29"/>
      <c r="L700" s="29"/>
      <c r="M700" s="29"/>
      <c r="N700" s="29"/>
    </row>
    <row r="701" spans="2:14" x14ac:dyDescent="0.25">
      <c r="B701" s="27"/>
      <c r="C701" s="28"/>
      <c r="D701" s="28"/>
      <c r="E701" s="27"/>
      <c r="F701" s="27"/>
      <c r="G701" s="28"/>
      <c r="H701" s="28"/>
      <c r="I701" s="36"/>
      <c r="J701" s="27"/>
      <c r="K701" s="29"/>
      <c r="L701" s="29"/>
      <c r="M701" s="29"/>
      <c r="N701" s="29"/>
    </row>
    <row r="702" spans="2:14" x14ac:dyDescent="0.25">
      <c r="B702" s="27"/>
      <c r="C702" s="28"/>
      <c r="D702" s="28"/>
      <c r="E702" s="27"/>
      <c r="F702" s="27"/>
      <c r="G702" s="28"/>
      <c r="H702" s="28"/>
      <c r="I702" s="36"/>
      <c r="J702" s="27"/>
      <c r="K702" s="29"/>
      <c r="L702" s="29"/>
      <c r="M702" s="29"/>
      <c r="N702" s="29"/>
    </row>
    <row r="703" spans="2:14" x14ac:dyDescent="0.25">
      <c r="B703" s="27"/>
      <c r="C703" s="28"/>
      <c r="D703" s="28"/>
      <c r="E703" s="27"/>
      <c r="F703" s="27"/>
      <c r="G703" s="28"/>
      <c r="H703" s="28"/>
      <c r="I703" s="36"/>
      <c r="J703" s="27"/>
      <c r="K703" s="29"/>
      <c r="L703" s="29"/>
      <c r="M703" s="29"/>
      <c r="N703" s="29"/>
    </row>
    <row r="704" spans="2:14" x14ac:dyDescent="0.25">
      <c r="B704" s="27"/>
      <c r="C704" s="28"/>
      <c r="D704" s="28"/>
      <c r="E704" s="27"/>
      <c r="F704" s="27"/>
      <c r="G704" s="28"/>
      <c r="H704" s="28"/>
      <c r="I704" s="36"/>
      <c r="J704" s="27"/>
      <c r="K704" s="29"/>
      <c r="L704" s="29"/>
      <c r="M704" s="29"/>
      <c r="N704" s="29"/>
    </row>
    <row r="705" spans="2:14" x14ac:dyDescent="0.25">
      <c r="B705" s="27"/>
      <c r="C705" s="28"/>
      <c r="D705" s="28"/>
      <c r="E705" s="27"/>
      <c r="F705" s="27"/>
      <c r="G705" s="28"/>
      <c r="H705" s="28"/>
      <c r="I705" s="36"/>
      <c r="J705" s="27"/>
      <c r="K705" s="29"/>
      <c r="L705" s="29"/>
      <c r="M705" s="29"/>
      <c r="N705" s="29"/>
    </row>
    <row r="706" spans="2:14" x14ac:dyDescent="0.25">
      <c r="B706" s="27"/>
      <c r="C706" s="28"/>
      <c r="D706" s="28"/>
      <c r="E706" s="27"/>
      <c r="F706" s="27"/>
      <c r="G706" s="28"/>
      <c r="H706" s="28"/>
      <c r="I706" s="36"/>
      <c r="J706" s="27"/>
      <c r="K706" s="29"/>
      <c r="L706" s="29"/>
      <c r="M706" s="29"/>
      <c r="N706" s="29"/>
    </row>
    <row r="707" spans="2:14" x14ac:dyDescent="0.25">
      <c r="B707" s="27"/>
      <c r="C707" s="28"/>
      <c r="D707" s="28"/>
      <c r="E707" s="27"/>
      <c r="F707" s="27"/>
      <c r="G707" s="28"/>
      <c r="H707" s="28"/>
      <c r="I707" s="36"/>
      <c r="J707" s="27"/>
      <c r="K707" s="29"/>
      <c r="L707" s="29"/>
      <c r="M707" s="29"/>
      <c r="N707" s="29"/>
    </row>
    <row r="708" spans="2:14" x14ac:dyDescent="0.25">
      <c r="B708" s="27"/>
      <c r="C708" s="28"/>
      <c r="D708" s="28"/>
      <c r="E708" s="27"/>
      <c r="F708" s="27"/>
      <c r="G708" s="28"/>
      <c r="H708" s="28"/>
      <c r="I708" s="36"/>
      <c r="J708" s="27"/>
      <c r="K708" s="29"/>
      <c r="L708" s="29"/>
      <c r="M708" s="29"/>
      <c r="N708" s="29"/>
    </row>
    <row r="709" spans="2:14" x14ac:dyDescent="0.25">
      <c r="B709" s="27"/>
      <c r="C709" s="28"/>
      <c r="D709" s="28"/>
      <c r="E709" s="27"/>
      <c r="F709" s="27"/>
      <c r="G709" s="28"/>
      <c r="H709" s="28"/>
      <c r="I709" s="36"/>
      <c r="J709" s="27"/>
      <c r="K709" s="29"/>
      <c r="L709" s="29"/>
      <c r="M709" s="29"/>
      <c r="N709" s="29"/>
    </row>
    <row r="710" spans="2:14" x14ac:dyDescent="0.25">
      <c r="B710" s="27"/>
      <c r="C710" s="28"/>
      <c r="D710" s="28"/>
      <c r="E710" s="27"/>
      <c r="F710" s="27"/>
      <c r="G710" s="28"/>
      <c r="H710" s="28"/>
      <c r="I710" s="36"/>
      <c r="J710" s="27"/>
      <c r="K710" s="29"/>
      <c r="L710" s="29"/>
      <c r="M710" s="29"/>
      <c r="N710" s="29"/>
    </row>
    <row r="711" spans="2:14" x14ac:dyDescent="0.25">
      <c r="B711" s="27"/>
      <c r="C711" s="28"/>
      <c r="D711" s="28"/>
      <c r="E711" s="27"/>
      <c r="F711" s="27"/>
      <c r="G711" s="28"/>
      <c r="H711" s="28"/>
      <c r="I711" s="36"/>
      <c r="J711" s="27"/>
      <c r="K711" s="29"/>
      <c r="L711" s="29"/>
      <c r="M711" s="29"/>
      <c r="N711" s="29"/>
    </row>
    <row r="712" spans="2:14" x14ac:dyDescent="0.25">
      <c r="B712" s="27"/>
      <c r="C712" s="28"/>
      <c r="D712" s="28"/>
      <c r="E712" s="27"/>
      <c r="F712" s="27"/>
      <c r="G712" s="28"/>
      <c r="H712" s="28"/>
      <c r="I712" s="36"/>
      <c r="J712" s="27"/>
      <c r="K712" s="29"/>
      <c r="L712" s="29"/>
      <c r="M712" s="29"/>
      <c r="N712" s="29"/>
    </row>
    <row r="713" spans="2:14" x14ac:dyDescent="0.25">
      <c r="B713" s="27"/>
      <c r="C713" s="28"/>
      <c r="D713" s="28"/>
      <c r="E713" s="27"/>
      <c r="F713" s="27"/>
      <c r="G713" s="28"/>
      <c r="H713" s="28"/>
      <c r="I713" s="36"/>
      <c r="J713" s="27"/>
      <c r="K713" s="29"/>
      <c r="L713" s="29"/>
      <c r="M713" s="29"/>
      <c r="N713" s="29"/>
    </row>
    <row r="714" spans="2:14" x14ac:dyDescent="0.25">
      <c r="B714" s="27"/>
      <c r="C714" s="28"/>
      <c r="D714" s="28"/>
      <c r="E714" s="27"/>
      <c r="F714" s="27"/>
      <c r="G714" s="28"/>
      <c r="H714" s="28"/>
      <c r="I714" s="36"/>
      <c r="J714" s="27"/>
      <c r="K714" s="29"/>
      <c r="L714" s="29"/>
      <c r="M714" s="29"/>
      <c r="N714" s="29"/>
    </row>
    <row r="715" spans="2:14" x14ac:dyDescent="0.25">
      <c r="B715" s="27"/>
      <c r="C715" s="28"/>
      <c r="D715" s="28"/>
      <c r="E715" s="27"/>
      <c r="F715" s="27"/>
      <c r="G715" s="28"/>
      <c r="H715" s="28"/>
      <c r="I715" s="36"/>
      <c r="J715" s="27"/>
      <c r="K715" s="29"/>
      <c r="L715" s="29"/>
      <c r="M715" s="29"/>
      <c r="N715" s="29"/>
    </row>
    <row r="716" spans="2:14" x14ac:dyDescent="0.25">
      <c r="B716" s="27"/>
      <c r="C716" s="28"/>
      <c r="D716" s="28"/>
      <c r="E716" s="27"/>
      <c r="F716" s="27"/>
      <c r="G716" s="28"/>
      <c r="H716" s="28"/>
      <c r="I716" s="36"/>
      <c r="J716" s="27"/>
      <c r="K716" s="29"/>
      <c r="L716" s="29"/>
      <c r="M716" s="29"/>
      <c r="N716" s="29"/>
    </row>
    <row r="717" spans="2:14" x14ac:dyDescent="0.25">
      <c r="B717" s="27"/>
      <c r="C717" s="28"/>
      <c r="D717" s="28"/>
      <c r="E717" s="27"/>
      <c r="F717" s="27"/>
      <c r="G717" s="28"/>
      <c r="H717" s="28"/>
      <c r="I717" s="36"/>
      <c r="J717" s="27"/>
      <c r="K717" s="29"/>
      <c r="L717" s="29"/>
      <c r="M717" s="29"/>
      <c r="N717" s="29"/>
    </row>
    <row r="718" spans="2:14" x14ac:dyDescent="0.25">
      <c r="B718" s="27"/>
      <c r="C718" s="28"/>
      <c r="D718" s="28"/>
      <c r="E718" s="27"/>
      <c r="F718" s="27"/>
      <c r="G718" s="28"/>
      <c r="H718" s="28"/>
      <c r="I718" s="36"/>
      <c r="J718" s="27"/>
      <c r="K718" s="29"/>
      <c r="L718" s="29"/>
      <c r="M718" s="29"/>
      <c r="N718" s="29"/>
    </row>
    <row r="719" spans="2:14" x14ac:dyDescent="0.25">
      <c r="B719" s="27"/>
      <c r="C719" s="28"/>
      <c r="D719" s="28"/>
      <c r="E719" s="27"/>
      <c r="F719" s="27"/>
      <c r="G719" s="28"/>
      <c r="H719" s="28"/>
      <c r="I719" s="36"/>
      <c r="J719" s="27"/>
      <c r="K719" s="29"/>
      <c r="L719" s="29"/>
      <c r="M719" s="29"/>
      <c r="N719" s="29"/>
    </row>
    <row r="720" spans="2:14" x14ac:dyDescent="0.25">
      <c r="B720" s="27"/>
      <c r="C720" s="28"/>
      <c r="D720" s="28"/>
      <c r="E720" s="27"/>
      <c r="F720" s="27"/>
      <c r="G720" s="28"/>
      <c r="H720" s="28"/>
      <c r="I720" s="36"/>
      <c r="J720" s="27"/>
      <c r="K720" s="29"/>
      <c r="L720" s="29"/>
      <c r="M720" s="29"/>
      <c r="N720" s="29"/>
    </row>
    <row r="721" spans="2:14" x14ac:dyDescent="0.25">
      <c r="B721" s="27"/>
      <c r="C721" s="28"/>
      <c r="D721" s="28"/>
      <c r="E721" s="27"/>
      <c r="F721" s="27"/>
      <c r="G721" s="28"/>
      <c r="H721" s="28"/>
      <c r="I721" s="36"/>
      <c r="J721" s="27"/>
      <c r="K721" s="29"/>
      <c r="L721" s="29"/>
      <c r="M721" s="29"/>
      <c r="N721" s="29"/>
    </row>
    <row r="722" spans="2:14" x14ac:dyDescent="0.25">
      <c r="B722" s="27"/>
      <c r="C722" s="28"/>
      <c r="D722" s="28"/>
      <c r="E722" s="27"/>
      <c r="F722" s="27"/>
      <c r="G722" s="28"/>
      <c r="H722" s="28"/>
      <c r="I722" s="36"/>
      <c r="J722" s="27"/>
      <c r="K722" s="29"/>
      <c r="L722" s="29"/>
      <c r="M722" s="29"/>
      <c r="N722" s="29"/>
    </row>
    <row r="723" spans="2:14" x14ac:dyDescent="0.25">
      <c r="B723" s="27"/>
      <c r="C723" s="28"/>
      <c r="D723" s="28"/>
      <c r="E723" s="27"/>
      <c r="F723" s="27"/>
      <c r="G723" s="28"/>
      <c r="H723" s="28"/>
      <c r="I723" s="36"/>
      <c r="J723" s="27"/>
      <c r="K723" s="29"/>
      <c r="L723" s="29"/>
      <c r="M723" s="29"/>
      <c r="N723" s="29"/>
    </row>
    <row r="724" spans="2:14" x14ac:dyDescent="0.25">
      <c r="B724" s="27"/>
      <c r="C724" s="28"/>
      <c r="D724" s="28"/>
      <c r="E724" s="27"/>
      <c r="F724" s="27"/>
      <c r="G724" s="28"/>
      <c r="H724" s="28"/>
      <c r="I724" s="36"/>
      <c r="J724" s="27"/>
      <c r="K724" s="29"/>
      <c r="L724" s="29"/>
      <c r="M724" s="29"/>
      <c r="N724" s="29"/>
    </row>
    <row r="725" spans="2:14" x14ac:dyDescent="0.25">
      <c r="B725" s="27"/>
      <c r="C725" s="28"/>
      <c r="D725" s="28"/>
      <c r="E725" s="27"/>
      <c r="F725" s="27"/>
      <c r="G725" s="28"/>
      <c r="H725" s="28"/>
      <c r="I725" s="36"/>
      <c r="J725" s="27"/>
      <c r="K725" s="29"/>
      <c r="L725" s="29"/>
      <c r="M725" s="29"/>
      <c r="N725" s="29"/>
    </row>
    <row r="726" spans="2:14" x14ac:dyDescent="0.25">
      <c r="B726" s="27"/>
      <c r="C726" s="28"/>
      <c r="D726" s="28"/>
      <c r="E726" s="27"/>
      <c r="F726" s="27"/>
      <c r="G726" s="28"/>
      <c r="H726" s="28"/>
      <c r="I726" s="36"/>
      <c r="J726" s="27"/>
      <c r="K726" s="29"/>
      <c r="L726" s="29"/>
      <c r="M726" s="29"/>
      <c r="N726" s="29"/>
    </row>
    <row r="727" spans="2:14" x14ac:dyDescent="0.25">
      <c r="B727" s="27"/>
      <c r="C727" s="28"/>
      <c r="D727" s="28"/>
      <c r="E727" s="27"/>
      <c r="F727" s="27"/>
      <c r="G727" s="28"/>
      <c r="H727" s="28"/>
      <c r="I727" s="36"/>
      <c r="J727" s="27"/>
      <c r="K727" s="29"/>
      <c r="L727" s="29"/>
      <c r="M727" s="29"/>
      <c r="N727" s="29"/>
    </row>
    <row r="728" spans="2:14" x14ac:dyDescent="0.25">
      <c r="B728" s="27"/>
      <c r="C728" s="28"/>
      <c r="D728" s="28"/>
      <c r="E728" s="27"/>
      <c r="F728" s="27"/>
      <c r="G728" s="28"/>
      <c r="H728" s="28"/>
      <c r="I728" s="36"/>
      <c r="J728" s="27"/>
      <c r="K728" s="29"/>
      <c r="L728" s="29"/>
      <c r="M728" s="29"/>
      <c r="N728" s="29"/>
    </row>
    <row r="729" spans="2:14" x14ac:dyDescent="0.25">
      <c r="B729" s="27"/>
      <c r="C729" s="28"/>
      <c r="D729" s="28"/>
      <c r="E729" s="27"/>
      <c r="F729" s="27"/>
      <c r="G729" s="28"/>
      <c r="H729" s="28"/>
      <c r="I729" s="36"/>
      <c r="J729" s="27"/>
      <c r="K729" s="29"/>
      <c r="L729" s="29"/>
      <c r="M729" s="29"/>
      <c r="N729" s="29"/>
    </row>
    <row r="730" spans="2:14" x14ac:dyDescent="0.25">
      <c r="B730" s="27"/>
      <c r="C730" s="28"/>
      <c r="D730" s="28"/>
      <c r="E730" s="27"/>
      <c r="F730" s="27"/>
      <c r="G730" s="28"/>
      <c r="H730" s="28"/>
      <c r="I730" s="36"/>
      <c r="J730" s="27"/>
      <c r="K730" s="29"/>
      <c r="L730" s="29"/>
      <c r="M730" s="29"/>
      <c r="N730" s="29"/>
    </row>
    <row r="731" spans="2:14" x14ac:dyDescent="0.25">
      <c r="B731" s="27"/>
      <c r="C731" s="28"/>
      <c r="D731" s="28"/>
      <c r="E731" s="27"/>
      <c r="F731" s="27"/>
      <c r="G731" s="28"/>
      <c r="H731" s="28"/>
      <c r="I731" s="36"/>
      <c r="J731" s="27"/>
      <c r="K731" s="29"/>
      <c r="L731" s="29"/>
      <c r="M731" s="29"/>
      <c r="N731" s="29"/>
    </row>
    <row r="732" spans="2:14" x14ac:dyDescent="0.25">
      <c r="B732" s="27"/>
      <c r="C732" s="28"/>
      <c r="D732" s="28"/>
      <c r="E732" s="27"/>
      <c r="F732" s="27"/>
      <c r="G732" s="28"/>
      <c r="H732" s="28"/>
      <c r="I732" s="36"/>
      <c r="J732" s="27"/>
      <c r="K732" s="29"/>
      <c r="L732" s="29"/>
      <c r="M732" s="29"/>
      <c r="N732" s="29"/>
    </row>
    <row r="733" spans="2:14" x14ac:dyDescent="0.25">
      <c r="B733" s="27"/>
      <c r="C733" s="28"/>
      <c r="D733" s="28"/>
      <c r="E733" s="27"/>
      <c r="F733" s="27"/>
      <c r="G733" s="28"/>
      <c r="H733" s="28"/>
      <c r="I733" s="36"/>
      <c r="J733" s="27"/>
      <c r="K733" s="29"/>
      <c r="L733" s="29"/>
      <c r="M733" s="29"/>
      <c r="N733" s="29"/>
    </row>
    <row r="734" spans="2:14" x14ac:dyDescent="0.25">
      <c r="B734" s="27"/>
      <c r="C734" s="28"/>
      <c r="D734" s="28"/>
      <c r="E734" s="27"/>
      <c r="F734" s="27"/>
      <c r="G734" s="28"/>
      <c r="H734" s="28"/>
      <c r="I734" s="36"/>
      <c r="J734" s="27"/>
      <c r="K734" s="29"/>
      <c r="L734" s="29"/>
      <c r="M734" s="29"/>
      <c r="N734" s="29"/>
    </row>
    <row r="735" spans="2:14" x14ac:dyDescent="0.25">
      <c r="B735" s="27"/>
      <c r="C735" s="28"/>
      <c r="D735" s="28"/>
      <c r="E735" s="27"/>
      <c r="F735" s="27"/>
      <c r="G735" s="28"/>
      <c r="H735" s="28"/>
      <c r="I735" s="36"/>
      <c r="J735" s="27"/>
      <c r="K735" s="29"/>
      <c r="L735" s="29"/>
      <c r="M735" s="29"/>
      <c r="N735" s="29"/>
    </row>
    <row r="736" spans="2:14" x14ac:dyDescent="0.25">
      <c r="B736" s="27"/>
      <c r="C736" s="28"/>
      <c r="D736" s="28"/>
      <c r="E736" s="27"/>
      <c r="F736" s="27"/>
      <c r="G736" s="28"/>
      <c r="H736" s="28"/>
      <c r="I736" s="36"/>
      <c r="J736" s="27"/>
      <c r="K736" s="29"/>
      <c r="L736" s="29"/>
      <c r="M736" s="29"/>
      <c r="N736" s="29"/>
    </row>
    <row r="737" spans="2:14" x14ac:dyDescent="0.25">
      <c r="B737" s="27"/>
      <c r="C737" s="28"/>
      <c r="D737" s="28"/>
      <c r="E737" s="27"/>
      <c r="F737" s="27"/>
      <c r="G737" s="28"/>
      <c r="H737" s="28"/>
      <c r="I737" s="36"/>
      <c r="J737" s="27"/>
      <c r="K737" s="29"/>
      <c r="L737" s="29"/>
      <c r="M737" s="29"/>
      <c r="N737" s="29"/>
    </row>
    <row r="738" spans="2:14" x14ac:dyDescent="0.25">
      <c r="B738" s="27"/>
      <c r="C738" s="28"/>
      <c r="D738" s="28"/>
      <c r="E738" s="27"/>
      <c r="F738" s="27"/>
      <c r="G738" s="28"/>
      <c r="H738" s="28"/>
      <c r="I738" s="36"/>
      <c r="J738" s="27"/>
      <c r="K738" s="29"/>
      <c r="L738" s="29"/>
      <c r="M738" s="29"/>
      <c r="N738" s="29"/>
    </row>
    <row r="739" spans="2:14" x14ac:dyDescent="0.25">
      <c r="B739" s="27"/>
      <c r="C739" s="28"/>
      <c r="D739" s="28"/>
      <c r="E739" s="27"/>
      <c r="F739" s="27"/>
      <c r="G739" s="28"/>
      <c r="H739" s="28"/>
      <c r="I739" s="36"/>
      <c r="J739" s="27"/>
      <c r="K739" s="29"/>
      <c r="L739" s="29"/>
      <c r="M739" s="29"/>
      <c r="N739" s="29"/>
    </row>
    <row r="740" spans="2:14" x14ac:dyDescent="0.25">
      <c r="B740" s="27"/>
      <c r="C740" s="28"/>
      <c r="D740" s="28"/>
      <c r="E740" s="27"/>
      <c r="F740" s="27"/>
      <c r="G740" s="28"/>
      <c r="H740" s="28"/>
      <c r="I740" s="36"/>
      <c r="J740" s="27"/>
      <c r="K740" s="29"/>
      <c r="L740" s="29"/>
      <c r="M740" s="29"/>
      <c r="N740" s="29"/>
    </row>
    <row r="741" spans="2:14" x14ac:dyDescent="0.25">
      <c r="B741" s="27"/>
      <c r="C741" s="28"/>
      <c r="D741" s="28"/>
      <c r="E741" s="27"/>
      <c r="F741" s="27"/>
      <c r="G741" s="28"/>
      <c r="H741" s="28"/>
      <c r="I741" s="36"/>
      <c r="J741" s="27"/>
      <c r="K741" s="29"/>
      <c r="L741" s="29"/>
      <c r="M741" s="29"/>
      <c r="N741" s="29"/>
    </row>
    <row r="742" spans="2:14" x14ac:dyDescent="0.25">
      <c r="B742" s="27"/>
      <c r="C742" s="28"/>
      <c r="D742" s="28"/>
      <c r="E742" s="27"/>
      <c r="F742" s="27"/>
      <c r="G742" s="28"/>
      <c r="H742" s="28"/>
      <c r="I742" s="36"/>
      <c r="J742" s="27"/>
      <c r="K742" s="29"/>
      <c r="L742" s="29"/>
      <c r="M742" s="29"/>
      <c r="N742" s="29"/>
    </row>
    <row r="743" spans="2:14" x14ac:dyDescent="0.25">
      <c r="B743" s="27"/>
      <c r="C743" s="28"/>
      <c r="D743" s="28"/>
      <c r="E743" s="27"/>
      <c r="F743" s="27"/>
      <c r="G743" s="28"/>
      <c r="H743" s="28"/>
      <c r="I743" s="36"/>
      <c r="J743" s="27"/>
      <c r="K743" s="29"/>
      <c r="L743" s="29"/>
      <c r="M743" s="29"/>
      <c r="N743" s="29"/>
    </row>
    <row r="744" spans="2:14" x14ac:dyDescent="0.25">
      <c r="B744" s="27"/>
      <c r="C744" s="28"/>
      <c r="D744" s="28"/>
      <c r="E744" s="27"/>
      <c r="F744" s="27"/>
      <c r="G744" s="28"/>
      <c r="H744" s="28"/>
      <c r="I744" s="36"/>
      <c r="J744" s="27"/>
      <c r="K744" s="29"/>
      <c r="L744" s="29"/>
      <c r="M744" s="29"/>
      <c r="N744" s="29"/>
    </row>
    <row r="745" spans="2:14" x14ac:dyDescent="0.25">
      <c r="B745" s="27"/>
      <c r="C745" s="28"/>
      <c r="D745" s="28"/>
      <c r="E745" s="27"/>
      <c r="F745" s="27"/>
      <c r="G745" s="28"/>
      <c r="H745" s="28"/>
      <c r="I745" s="36"/>
      <c r="J745" s="27"/>
      <c r="K745" s="29"/>
      <c r="L745" s="29"/>
      <c r="M745" s="29"/>
      <c r="N745" s="29"/>
    </row>
    <row r="746" spans="2:14" x14ac:dyDescent="0.25">
      <c r="B746" s="27"/>
      <c r="C746" s="28"/>
      <c r="D746" s="28"/>
      <c r="E746" s="27"/>
      <c r="F746" s="27"/>
      <c r="G746" s="28"/>
      <c r="H746" s="28"/>
      <c r="I746" s="36"/>
      <c r="J746" s="27"/>
      <c r="K746" s="29"/>
      <c r="L746" s="29"/>
      <c r="M746" s="29"/>
      <c r="N746" s="29"/>
    </row>
    <row r="747" spans="2:14" x14ac:dyDescent="0.25">
      <c r="B747" s="27"/>
      <c r="C747" s="28"/>
      <c r="D747" s="28"/>
      <c r="E747" s="27"/>
      <c r="F747" s="27"/>
      <c r="G747" s="28"/>
      <c r="H747" s="28"/>
      <c r="I747" s="36"/>
      <c r="J747" s="27"/>
      <c r="K747" s="29"/>
      <c r="L747" s="29"/>
      <c r="M747" s="29"/>
      <c r="N747" s="29"/>
    </row>
    <row r="748" spans="2:14" x14ac:dyDescent="0.25">
      <c r="B748" s="27"/>
      <c r="C748" s="28"/>
      <c r="D748" s="28"/>
      <c r="E748" s="27"/>
      <c r="F748" s="27"/>
      <c r="G748" s="28"/>
      <c r="H748" s="28"/>
      <c r="I748" s="36"/>
      <c r="J748" s="27"/>
      <c r="K748" s="29"/>
      <c r="L748" s="29"/>
      <c r="M748" s="29"/>
      <c r="N748" s="29"/>
    </row>
    <row r="749" spans="2:14" x14ac:dyDescent="0.25">
      <c r="B749" s="27"/>
      <c r="C749" s="28"/>
      <c r="D749" s="28"/>
      <c r="E749" s="27"/>
      <c r="F749" s="27"/>
      <c r="G749" s="28"/>
      <c r="H749" s="28"/>
      <c r="I749" s="36"/>
      <c r="J749" s="27"/>
      <c r="K749" s="29"/>
      <c r="L749" s="29"/>
      <c r="M749" s="29"/>
      <c r="N749" s="29"/>
    </row>
    <row r="750" spans="2:14" x14ac:dyDescent="0.25">
      <c r="B750" s="27"/>
      <c r="C750" s="28"/>
      <c r="D750" s="28"/>
      <c r="E750" s="27"/>
      <c r="F750" s="27"/>
      <c r="G750" s="28"/>
      <c r="H750" s="28"/>
      <c r="I750" s="36"/>
      <c r="J750" s="27"/>
      <c r="K750" s="29"/>
      <c r="L750" s="29"/>
      <c r="M750" s="29"/>
      <c r="N750" s="29"/>
    </row>
    <row r="751" spans="2:14" x14ac:dyDescent="0.25">
      <c r="B751" s="27"/>
      <c r="C751" s="28"/>
      <c r="D751" s="28"/>
      <c r="E751" s="27"/>
      <c r="F751" s="27"/>
      <c r="G751" s="28"/>
      <c r="H751" s="28"/>
      <c r="I751" s="36"/>
      <c r="J751" s="27"/>
      <c r="K751" s="29"/>
      <c r="L751" s="29"/>
      <c r="M751" s="29"/>
      <c r="N751" s="29"/>
    </row>
    <row r="752" spans="2:14" x14ac:dyDescent="0.25">
      <c r="B752" s="27"/>
      <c r="C752" s="28"/>
      <c r="D752" s="28"/>
      <c r="E752" s="27"/>
      <c r="F752" s="27"/>
      <c r="G752" s="28"/>
      <c r="H752" s="28"/>
      <c r="I752" s="36"/>
      <c r="J752" s="27"/>
      <c r="K752" s="29"/>
      <c r="L752" s="29"/>
      <c r="M752" s="29"/>
      <c r="N752" s="29"/>
    </row>
    <row r="753" spans="2:14" x14ac:dyDescent="0.25">
      <c r="B753" s="27"/>
      <c r="C753" s="28"/>
      <c r="D753" s="28"/>
      <c r="E753" s="27"/>
      <c r="F753" s="27"/>
      <c r="G753" s="28"/>
      <c r="H753" s="28"/>
      <c r="I753" s="36"/>
      <c r="J753" s="27"/>
      <c r="K753" s="29"/>
      <c r="L753" s="29"/>
      <c r="M753" s="29"/>
      <c r="N753" s="29"/>
    </row>
    <row r="754" spans="2:14" x14ac:dyDescent="0.25">
      <c r="B754" s="27"/>
      <c r="C754" s="28"/>
      <c r="D754" s="28"/>
      <c r="E754" s="27"/>
      <c r="F754" s="27"/>
      <c r="G754" s="28"/>
      <c r="H754" s="28"/>
      <c r="I754" s="36"/>
      <c r="J754" s="27"/>
      <c r="K754" s="29"/>
      <c r="L754" s="29"/>
      <c r="M754" s="29"/>
      <c r="N754" s="29"/>
    </row>
    <row r="755" spans="2:14" x14ac:dyDescent="0.25">
      <c r="B755" s="27"/>
      <c r="C755" s="28"/>
      <c r="D755" s="28"/>
      <c r="E755" s="27"/>
      <c r="F755" s="27"/>
      <c r="G755" s="28"/>
      <c r="H755" s="28"/>
      <c r="I755" s="36"/>
      <c r="J755" s="27"/>
      <c r="K755" s="29"/>
      <c r="L755" s="29"/>
      <c r="M755" s="29"/>
      <c r="N755" s="29"/>
    </row>
    <row r="756" spans="2:14" x14ac:dyDescent="0.25">
      <c r="B756" s="27"/>
      <c r="C756" s="28"/>
      <c r="D756" s="28"/>
      <c r="E756" s="27"/>
      <c r="F756" s="27"/>
      <c r="G756" s="28"/>
      <c r="H756" s="28"/>
      <c r="I756" s="36"/>
      <c r="J756" s="27"/>
      <c r="K756" s="29"/>
      <c r="L756" s="29"/>
      <c r="M756" s="29"/>
      <c r="N756" s="29"/>
    </row>
    <row r="757" spans="2:14" x14ac:dyDescent="0.25">
      <c r="B757" s="27"/>
      <c r="C757" s="28"/>
      <c r="D757" s="28"/>
      <c r="E757" s="27"/>
      <c r="F757" s="27"/>
      <c r="G757" s="28"/>
      <c r="H757" s="28"/>
      <c r="I757" s="36"/>
      <c r="J757" s="27"/>
      <c r="K757" s="29"/>
      <c r="L757" s="29"/>
      <c r="M757" s="29"/>
      <c r="N757" s="29"/>
    </row>
    <row r="758" spans="2:14" x14ac:dyDescent="0.25">
      <c r="B758" s="27"/>
      <c r="C758" s="28"/>
      <c r="D758" s="28"/>
      <c r="E758" s="27"/>
      <c r="F758" s="27"/>
      <c r="G758" s="28"/>
      <c r="H758" s="28"/>
      <c r="I758" s="36"/>
      <c r="J758" s="27"/>
      <c r="K758" s="29"/>
      <c r="L758" s="29"/>
      <c r="M758" s="29"/>
      <c r="N758" s="29"/>
    </row>
    <row r="759" spans="2:14" x14ac:dyDescent="0.25">
      <c r="B759" s="27"/>
      <c r="C759" s="28"/>
      <c r="D759" s="28"/>
      <c r="E759" s="27"/>
      <c r="F759" s="27"/>
      <c r="G759" s="28"/>
      <c r="H759" s="28"/>
      <c r="I759" s="36"/>
      <c r="J759" s="27"/>
      <c r="K759" s="29"/>
      <c r="L759" s="29"/>
      <c r="M759" s="29"/>
      <c r="N759" s="29"/>
    </row>
    <row r="760" spans="2:14" x14ac:dyDescent="0.25">
      <c r="B760" s="27"/>
      <c r="C760" s="28"/>
      <c r="D760" s="28"/>
      <c r="E760" s="27"/>
      <c r="F760" s="27"/>
      <c r="G760" s="28"/>
      <c r="H760" s="28"/>
      <c r="I760" s="36"/>
      <c r="J760" s="27"/>
      <c r="K760" s="29"/>
      <c r="L760" s="29"/>
      <c r="M760" s="29"/>
      <c r="N760" s="29"/>
    </row>
    <row r="761" spans="2:14" x14ac:dyDescent="0.25">
      <c r="B761" s="27"/>
      <c r="C761" s="28"/>
      <c r="D761" s="28"/>
      <c r="E761" s="27"/>
      <c r="F761" s="27"/>
      <c r="G761" s="28"/>
      <c r="H761" s="28"/>
      <c r="I761" s="36"/>
      <c r="J761" s="27"/>
      <c r="K761" s="29"/>
      <c r="L761" s="29"/>
      <c r="M761" s="29"/>
      <c r="N761" s="29"/>
    </row>
    <row r="762" spans="2:14" x14ac:dyDescent="0.25">
      <c r="B762" s="27"/>
      <c r="C762" s="28"/>
      <c r="D762" s="28"/>
      <c r="E762" s="27"/>
      <c r="F762" s="27"/>
      <c r="G762" s="28"/>
      <c r="H762" s="28"/>
      <c r="I762" s="36"/>
      <c r="J762" s="27"/>
      <c r="K762" s="29"/>
      <c r="L762" s="29"/>
      <c r="M762" s="29"/>
      <c r="N762" s="29"/>
    </row>
    <row r="763" spans="2:14" x14ac:dyDescent="0.25">
      <c r="B763" s="27"/>
      <c r="C763" s="28"/>
      <c r="D763" s="28"/>
      <c r="E763" s="27"/>
      <c r="F763" s="27"/>
      <c r="G763" s="28"/>
      <c r="H763" s="28"/>
      <c r="I763" s="36"/>
      <c r="J763" s="27"/>
      <c r="K763" s="29"/>
      <c r="L763" s="29"/>
      <c r="M763" s="29"/>
      <c r="N763" s="29"/>
    </row>
    <row r="764" spans="2:14" x14ac:dyDescent="0.25">
      <c r="B764" s="27"/>
      <c r="C764" s="28"/>
      <c r="D764" s="28"/>
      <c r="E764" s="27"/>
      <c r="F764" s="27"/>
      <c r="G764" s="28"/>
      <c r="H764" s="28"/>
      <c r="I764" s="36"/>
      <c r="J764" s="27"/>
      <c r="K764" s="29"/>
      <c r="L764" s="29"/>
      <c r="M764" s="29"/>
      <c r="N764" s="29"/>
    </row>
    <row r="765" spans="2:14" x14ac:dyDescent="0.25">
      <c r="B765" s="27"/>
      <c r="C765" s="28"/>
      <c r="D765" s="28"/>
      <c r="E765" s="27"/>
      <c r="F765" s="27"/>
      <c r="G765" s="28"/>
      <c r="H765" s="28"/>
      <c r="I765" s="36"/>
      <c r="J765" s="27"/>
      <c r="K765" s="29"/>
      <c r="L765" s="29"/>
      <c r="M765" s="29"/>
      <c r="N765" s="29"/>
    </row>
    <row r="766" spans="2:14" x14ac:dyDescent="0.25">
      <c r="B766" s="27"/>
      <c r="C766" s="28"/>
      <c r="D766" s="28"/>
      <c r="E766" s="27"/>
      <c r="F766" s="27"/>
      <c r="G766" s="28"/>
      <c r="H766" s="28"/>
      <c r="I766" s="36"/>
      <c r="J766" s="27"/>
      <c r="K766" s="29"/>
      <c r="L766" s="29"/>
      <c r="M766" s="29"/>
      <c r="N766" s="29"/>
    </row>
    <row r="767" spans="2:14" x14ac:dyDescent="0.25">
      <c r="B767" s="27"/>
      <c r="C767" s="28"/>
      <c r="D767" s="28"/>
      <c r="E767" s="27"/>
      <c r="F767" s="27"/>
      <c r="G767" s="28"/>
      <c r="H767" s="28"/>
      <c r="I767" s="36"/>
      <c r="J767" s="27"/>
      <c r="K767" s="29"/>
      <c r="L767" s="29"/>
      <c r="M767" s="29"/>
      <c r="N767" s="29"/>
    </row>
    <row r="768" spans="2:14" x14ac:dyDescent="0.25">
      <c r="B768" s="27"/>
      <c r="C768" s="28"/>
      <c r="D768" s="28"/>
      <c r="E768" s="27"/>
      <c r="F768" s="27"/>
      <c r="G768" s="28"/>
      <c r="H768" s="28"/>
      <c r="I768" s="36"/>
      <c r="J768" s="27"/>
      <c r="K768" s="29"/>
      <c r="L768" s="29"/>
      <c r="M768" s="29"/>
      <c r="N768" s="29"/>
    </row>
    <row r="769" spans="2:14" x14ac:dyDescent="0.25">
      <c r="B769" s="27"/>
      <c r="C769" s="28"/>
      <c r="D769" s="28"/>
      <c r="E769" s="27"/>
      <c r="F769" s="27"/>
      <c r="G769" s="28"/>
      <c r="H769" s="28"/>
      <c r="I769" s="36"/>
      <c r="J769" s="27"/>
      <c r="K769" s="29"/>
      <c r="L769" s="29"/>
      <c r="M769" s="29"/>
      <c r="N769" s="29"/>
    </row>
    <row r="770" spans="2:14" x14ac:dyDescent="0.25">
      <c r="B770" s="27"/>
      <c r="C770" s="28"/>
      <c r="D770" s="28"/>
      <c r="E770" s="27"/>
      <c r="F770" s="27"/>
      <c r="G770" s="28"/>
      <c r="H770" s="28"/>
      <c r="I770" s="36"/>
      <c r="J770" s="27"/>
      <c r="K770" s="29"/>
      <c r="L770" s="29"/>
      <c r="M770" s="29"/>
      <c r="N770" s="29"/>
    </row>
    <row r="771" spans="2:14" x14ac:dyDescent="0.25">
      <c r="B771" s="27"/>
      <c r="C771" s="28"/>
      <c r="D771" s="28"/>
      <c r="E771" s="27"/>
      <c r="F771" s="27"/>
      <c r="G771" s="28"/>
      <c r="H771" s="28"/>
      <c r="I771" s="36"/>
      <c r="J771" s="27"/>
      <c r="K771" s="29"/>
      <c r="L771" s="29"/>
      <c r="M771" s="29"/>
      <c r="N771" s="29"/>
    </row>
    <row r="772" spans="2:14" x14ac:dyDescent="0.25">
      <c r="B772" s="27"/>
      <c r="C772" s="28"/>
      <c r="D772" s="28"/>
      <c r="E772" s="27"/>
      <c r="F772" s="27"/>
      <c r="G772" s="28"/>
      <c r="H772" s="28"/>
      <c r="I772" s="36"/>
      <c r="J772" s="27"/>
      <c r="K772" s="29"/>
      <c r="L772" s="29"/>
      <c r="M772" s="29"/>
      <c r="N772" s="29"/>
    </row>
    <row r="773" spans="2:14" x14ac:dyDescent="0.25">
      <c r="B773" s="27"/>
      <c r="C773" s="28"/>
      <c r="D773" s="28"/>
      <c r="E773" s="27"/>
      <c r="F773" s="27"/>
      <c r="G773" s="28"/>
      <c r="H773" s="28"/>
      <c r="I773" s="36"/>
      <c r="J773" s="27"/>
      <c r="K773" s="29"/>
      <c r="L773" s="29"/>
      <c r="M773" s="29"/>
      <c r="N773" s="29"/>
    </row>
    <row r="774" spans="2:14" x14ac:dyDescent="0.25">
      <c r="B774" s="27"/>
      <c r="C774" s="28"/>
      <c r="D774" s="28"/>
      <c r="E774" s="27"/>
      <c r="F774" s="27"/>
      <c r="G774" s="28"/>
      <c r="H774" s="28"/>
      <c r="I774" s="36"/>
      <c r="J774" s="27"/>
      <c r="K774" s="29"/>
      <c r="L774" s="29"/>
      <c r="M774" s="29"/>
      <c r="N774" s="29"/>
    </row>
    <row r="775" spans="2:14" x14ac:dyDescent="0.25">
      <c r="B775" s="27"/>
      <c r="C775" s="28"/>
      <c r="D775" s="28"/>
      <c r="E775" s="27"/>
      <c r="F775" s="27"/>
      <c r="G775" s="28"/>
      <c r="H775" s="28"/>
      <c r="I775" s="36"/>
      <c r="J775" s="27"/>
      <c r="K775" s="29"/>
      <c r="L775" s="29"/>
      <c r="M775" s="29"/>
      <c r="N775" s="29"/>
    </row>
    <row r="776" spans="2:14" x14ac:dyDescent="0.25">
      <c r="B776" s="27"/>
      <c r="C776" s="28"/>
      <c r="D776" s="28"/>
      <c r="E776" s="27"/>
      <c r="F776" s="27"/>
      <c r="G776" s="28"/>
      <c r="H776" s="28"/>
      <c r="I776" s="36"/>
      <c r="J776" s="27"/>
      <c r="K776" s="29"/>
      <c r="L776" s="29"/>
      <c r="M776" s="29"/>
      <c r="N776" s="29"/>
    </row>
    <row r="777" spans="2:14" x14ac:dyDescent="0.25">
      <c r="B777" s="27"/>
      <c r="C777" s="28"/>
      <c r="D777" s="28"/>
      <c r="E777" s="27"/>
      <c r="F777" s="27"/>
      <c r="G777" s="28"/>
      <c r="H777" s="28"/>
      <c r="I777" s="36"/>
      <c r="J777" s="27"/>
      <c r="K777" s="29"/>
      <c r="L777" s="29"/>
      <c r="M777" s="29"/>
      <c r="N777" s="29"/>
    </row>
    <row r="778" spans="2:14" x14ac:dyDescent="0.25">
      <c r="B778" s="27"/>
      <c r="C778" s="28"/>
      <c r="D778" s="28"/>
      <c r="E778" s="27"/>
      <c r="F778" s="27"/>
      <c r="G778" s="28"/>
      <c r="H778" s="28"/>
      <c r="I778" s="36"/>
      <c r="J778" s="27"/>
      <c r="K778" s="29"/>
      <c r="L778" s="29"/>
      <c r="M778" s="29"/>
      <c r="N778" s="29"/>
    </row>
    <row r="779" spans="2:14" x14ac:dyDescent="0.25">
      <c r="B779" s="27"/>
      <c r="C779" s="28"/>
      <c r="D779" s="28"/>
      <c r="E779" s="27"/>
      <c r="F779" s="27"/>
      <c r="G779" s="28"/>
      <c r="H779" s="28"/>
      <c r="I779" s="36"/>
      <c r="J779" s="27"/>
      <c r="K779" s="29"/>
      <c r="L779" s="29"/>
      <c r="M779" s="29"/>
      <c r="N779" s="29"/>
    </row>
    <row r="780" spans="2:14" x14ac:dyDescent="0.25">
      <c r="B780" s="27"/>
      <c r="C780" s="28"/>
      <c r="D780" s="28"/>
      <c r="E780" s="27"/>
      <c r="F780" s="27"/>
      <c r="G780" s="28"/>
      <c r="H780" s="28"/>
      <c r="I780" s="36"/>
      <c r="J780" s="27"/>
      <c r="K780" s="29"/>
      <c r="L780" s="29"/>
      <c r="M780" s="29"/>
      <c r="N780" s="29"/>
    </row>
    <row r="781" spans="2:14" x14ac:dyDescent="0.25">
      <c r="B781" s="27"/>
      <c r="C781" s="28"/>
      <c r="D781" s="28"/>
      <c r="E781" s="27"/>
      <c r="F781" s="27"/>
      <c r="G781" s="28"/>
      <c r="H781" s="28"/>
      <c r="I781" s="36"/>
      <c r="J781" s="27"/>
      <c r="K781" s="29"/>
      <c r="L781" s="29"/>
      <c r="M781" s="29"/>
      <c r="N781" s="29"/>
    </row>
    <row r="782" spans="2:14" x14ac:dyDescent="0.25">
      <c r="B782" s="27"/>
      <c r="C782" s="28"/>
      <c r="D782" s="28"/>
      <c r="E782" s="27"/>
      <c r="F782" s="27"/>
      <c r="G782" s="28"/>
      <c r="H782" s="28"/>
      <c r="I782" s="36"/>
      <c r="J782" s="27"/>
      <c r="K782" s="29"/>
      <c r="L782" s="29"/>
      <c r="M782" s="29"/>
      <c r="N782" s="29"/>
    </row>
    <row r="783" spans="2:14" x14ac:dyDescent="0.25">
      <c r="B783" s="27"/>
      <c r="C783" s="28"/>
      <c r="D783" s="28"/>
      <c r="E783" s="27"/>
      <c r="F783" s="27"/>
      <c r="G783" s="28"/>
      <c r="H783" s="28"/>
      <c r="I783" s="36"/>
      <c r="J783" s="27"/>
      <c r="K783" s="29"/>
      <c r="L783" s="29"/>
      <c r="M783" s="29"/>
      <c r="N783" s="29"/>
    </row>
    <row r="784" spans="2:14" x14ac:dyDescent="0.25">
      <c r="B784" s="27"/>
      <c r="C784" s="28"/>
      <c r="D784" s="28"/>
      <c r="E784" s="27"/>
      <c r="F784" s="27"/>
      <c r="G784" s="28"/>
      <c r="H784" s="28"/>
      <c r="I784" s="36"/>
      <c r="J784" s="27"/>
      <c r="K784" s="29"/>
      <c r="L784" s="29"/>
      <c r="M784" s="29"/>
      <c r="N784" s="29"/>
    </row>
    <row r="785" spans="2:14" x14ac:dyDescent="0.25">
      <c r="B785" s="27"/>
      <c r="C785" s="28"/>
      <c r="D785" s="28"/>
      <c r="E785" s="27"/>
      <c r="F785" s="27"/>
      <c r="G785" s="28"/>
      <c r="H785" s="28"/>
      <c r="I785" s="36"/>
      <c r="J785" s="27"/>
      <c r="K785" s="29"/>
      <c r="L785" s="29"/>
      <c r="M785" s="29"/>
      <c r="N785" s="29"/>
    </row>
    <row r="786" spans="2:14" x14ac:dyDescent="0.25">
      <c r="B786" s="27"/>
      <c r="C786" s="28"/>
      <c r="D786" s="28"/>
      <c r="E786" s="27"/>
      <c r="F786" s="27"/>
      <c r="G786" s="28"/>
      <c r="H786" s="28"/>
      <c r="I786" s="36"/>
      <c r="J786" s="27"/>
      <c r="K786" s="29"/>
      <c r="L786" s="29"/>
      <c r="M786" s="29"/>
      <c r="N786" s="29"/>
    </row>
    <row r="787" spans="2:14" x14ac:dyDescent="0.25">
      <c r="B787" s="27"/>
      <c r="C787" s="28"/>
      <c r="D787" s="28"/>
      <c r="E787" s="27"/>
      <c r="F787" s="27"/>
      <c r="G787" s="28"/>
      <c r="H787" s="28"/>
      <c r="I787" s="36"/>
      <c r="J787" s="27"/>
      <c r="K787" s="29"/>
      <c r="L787" s="29"/>
      <c r="M787" s="29"/>
      <c r="N787" s="29"/>
    </row>
    <row r="788" spans="2:14" x14ac:dyDescent="0.25">
      <c r="B788" s="27"/>
      <c r="C788" s="28"/>
      <c r="D788" s="28"/>
      <c r="E788" s="27"/>
      <c r="F788" s="27"/>
      <c r="G788" s="28"/>
      <c r="H788" s="28"/>
      <c r="I788" s="36"/>
      <c r="J788" s="27"/>
      <c r="K788" s="29"/>
      <c r="L788" s="29"/>
      <c r="M788" s="29"/>
      <c r="N788" s="29"/>
    </row>
    <row r="789" spans="2:14" x14ac:dyDescent="0.25">
      <c r="B789" s="27"/>
      <c r="C789" s="28"/>
      <c r="D789" s="28"/>
      <c r="E789" s="27"/>
      <c r="F789" s="27"/>
      <c r="G789" s="28"/>
      <c r="H789" s="28"/>
      <c r="I789" s="36"/>
      <c r="J789" s="27"/>
      <c r="K789" s="29"/>
      <c r="L789" s="29"/>
      <c r="M789" s="29"/>
      <c r="N789" s="29"/>
    </row>
    <row r="790" spans="2:14" x14ac:dyDescent="0.25">
      <c r="B790" s="27"/>
      <c r="C790" s="28"/>
      <c r="D790" s="28"/>
      <c r="E790" s="27"/>
      <c r="F790" s="27"/>
      <c r="G790" s="28"/>
      <c r="H790" s="28"/>
      <c r="I790" s="36"/>
      <c r="J790" s="27"/>
      <c r="K790" s="29"/>
      <c r="L790" s="29"/>
      <c r="M790" s="29"/>
      <c r="N790" s="29"/>
    </row>
    <row r="791" spans="2:14" x14ac:dyDescent="0.25">
      <c r="B791" s="27"/>
      <c r="C791" s="28"/>
      <c r="D791" s="28"/>
      <c r="E791" s="27"/>
      <c r="F791" s="27"/>
      <c r="G791" s="28"/>
      <c r="H791" s="28"/>
      <c r="I791" s="36"/>
      <c r="J791" s="27"/>
      <c r="K791" s="29"/>
      <c r="L791" s="29"/>
      <c r="M791" s="29"/>
      <c r="N791" s="29"/>
    </row>
    <row r="792" spans="2:14" x14ac:dyDescent="0.25">
      <c r="B792" s="27"/>
      <c r="C792" s="28"/>
      <c r="D792" s="28"/>
      <c r="E792" s="27"/>
      <c r="F792" s="27"/>
      <c r="G792" s="28"/>
      <c r="H792" s="28"/>
      <c r="I792" s="36"/>
      <c r="J792" s="27"/>
      <c r="K792" s="29"/>
      <c r="L792" s="29"/>
      <c r="M792" s="29"/>
      <c r="N792" s="29"/>
    </row>
    <row r="793" spans="2:14" x14ac:dyDescent="0.25">
      <c r="B793" s="27"/>
      <c r="C793" s="28"/>
      <c r="D793" s="28"/>
      <c r="E793" s="27"/>
      <c r="F793" s="27"/>
      <c r="G793" s="28"/>
      <c r="H793" s="28"/>
      <c r="I793" s="36"/>
      <c r="J793" s="27"/>
      <c r="K793" s="29"/>
      <c r="L793" s="29"/>
      <c r="M793" s="29"/>
      <c r="N793" s="29"/>
    </row>
    <row r="794" spans="2:14" x14ac:dyDescent="0.25">
      <c r="B794" s="27"/>
      <c r="C794" s="28"/>
      <c r="D794" s="28"/>
      <c r="E794" s="27"/>
      <c r="F794" s="27"/>
      <c r="G794" s="28"/>
      <c r="H794" s="28"/>
      <c r="I794" s="36"/>
      <c r="J794" s="27"/>
      <c r="K794" s="29"/>
      <c r="L794" s="29"/>
      <c r="M794" s="29"/>
      <c r="N794" s="29"/>
    </row>
    <row r="795" spans="2:14" x14ac:dyDescent="0.25">
      <c r="B795" s="27"/>
      <c r="C795" s="28"/>
      <c r="D795" s="28"/>
      <c r="E795" s="27"/>
      <c r="F795" s="27"/>
      <c r="G795" s="28"/>
      <c r="H795" s="28"/>
      <c r="I795" s="36"/>
      <c r="J795" s="27"/>
      <c r="K795" s="29"/>
      <c r="L795" s="29"/>
      <c r="M795" s="29"/>
      <c r="N795" s="29"/>
    </row>
    <row r="796" spans="2:14" x14ac:dyDescent="0.25">
      <c r="B796" s="27"/>
      <c r="C796" s="28"/>
      <c r="D796" s="28"/>
      <c r="E796" s="27"/>
      <c r="F796" s="27"/>
      <c r="G796" s="28"/>
      <c r="H796" s="28"/>
      <c r="I796" s="36"/>
      <c r="J796" s="27"/>
      <c r="K796" s="29"/>
      <c r="L796" s="29"/>
      <c r="M796" s="29"/>
      <c r="N796" s="29"/>
    </row>
    <row r="797" spans="2:14" x14ac:dyDescent="0.25">
      <c r="B797" s="27"/>
      <c r="C797" s="28"/>
      <c r="D797" s="28"/>
      <c r="E797" s="27"/>
      <c r="F797" s="27"/>
      <c r="G797" s="28"/>
      <c r="H797" s="28"/>
      <c r="I797" s="36"/>
      <c r="J797" s="27"/>
      <c r="K797" s="29"/>
      <c r="L797" s="29"/>
      <c r="M797" s="29"/>
      <c r="N797" s="29"/>
    </row>
    <row r="798" spans="2:14" x14ac:dyDescent="0.25">
      <c r="B798" s="27"/>
      <c r="C798" s="28"/>
      <c r="D798" s="28"/>
      <c r="E798" s="27"/>
      <c r="F798" s="27"/>
      <c r="G798" s="28"/>
      <c r="H798" s="28"/>
      <c r="I798" s="36"/>
      <c r="J798" s="27"/>
      <c r="K798" s="29"/>
      <c r="L798" s="29"/>
      <c r="M798" s="29"/>
      <c r="N798" s="29"/>
    </row>
    <row r="799" spans="2:14" x14ac:dyDescent="0.25">
      <c r="B799" s="27"/>
      <c r="C799" s="28"/>
      <c r="D799" s="28"/>
      <c r="E799" s="27"/>
      <c r="F799" s="27"/>
      <c r="G799" s="28"/>
      <c r="H799" s="28"/>
      <c r="I799" s="36"/>
      <c r="J799" s="27"/>
      <c r="K799" s="29"/>
      <c r="L799" s="29"/>
      <c r="M799" s="29"/>
      <c r="N799" s="29"/>
    </row>
    <row r="800" spans="2:14" x14ac:dyDescent="0.25">
      <c r="B800" s="27"/>
      <c r="C800" s="28"/>
      <c r="D800" s="28"/>
      <c r="E800" s="27"/>
      <c r="F800" s="27"/>
      <c r="G800" s="28"/>
      <c r="H800" s="28"/>
      <c r="I800" s="36"/>
      <c r="J800" s="27"/>
      <c r="K800" s="29"/>
      <c r="L800" s="29"/>
      <c r="M800" s="29"/>
      <c r="N800" s="29"/>
    </row>
    <row r="801" spans="2:14" x14ac:dyDescent="0.25">
      <c r="B801" s="27"/>
      <c r="C801" s="28"/>
      <c r="D801" s="28"/>
      <c r="E801" s="27"/>
      <c r="F801" s="27"/>
      <c r="G801" s="28"/>
      <c r="H801" s="28"/>
      <c r="I801" s="36"/>
      <c r="J801" s="27"/>
      <c r="K801" s="29"/>
      <c r="L801" s="29"/>
      <c r="M801" s="29"/>
      <c r="N801" s="29"/>
    </row>
    <row r="802" spans="2:14" x14ac:dyDescent="0.25">
      <c r="B802" s="27"/>
      <c r="C802" s="28"/>
      <c r="D802" s="28"/>
      <c r="E802" s="27"/>
      <c r="F802" s="27"/>
      <c r="G802" s="28"/>
      <c r="H802" s="28"/>
      <c r="I802" s="36"/>
      <c r="J802" s="27"/>
      <c r="K802" s="29"/>
      <c r="L802" s="29"/>
      <c r="M802" s="29"/>
      <c r="N802" s="29"/>
    </row>
    <row r="803" spans="2:14" x14ac:dyDescent="0.25">
      <c r="B803" s="27"/>
      <c r="C803" s="28"/>
      <c r="D803" s="28"/>
      <c r="E803" s="27"/>
      <c r="F803" s="27"/>
      <c r="G803" s="28"/>
      <c r="H803" s="28"/>
      <c r="I803" s="36"/>
      <c r="J803" s="27"/>
      <c r="K803" s="29"/>
      <c r="L803" s="29"/>
      <c r="M803" s="29"/>
      <c r="N803" s="29"/>
    </row>
    <row r="804" spans="2:14" x14ac:dyDescent="0.25">
      <c r="B804" s="27"/>
      <c r="C804" s="28"/>
      <c r="D804" s="28"/>
      <c r="E804" s="27"/>
      <c r="F804" s="27"/>
      <c r="G804" s="28"/>
      <c r="H804" s="28"/>
      <c r="I804" s="36"/>
      <c r="J804" s="27"/>
      <c r="K804" s="29"/>
      <c r="L804" s="29"/>
      <c r="M804" s="29"/>
      <c r="N804" s="29"/>
    </row>
    <row r="805" spans="2:14" x14ac:dyDescent="0.25">
      <c r="B805" s="27"/>
      <c r="C805" s="28"/>
      <c r="D805" s="28"/>
      <c r="E805" s="27"/>
      <c r="F805" s="27"/>
      <c r="G805" s="28"/>
      <c r="H805" s="28"/>
      <c r="I805" s="36"/>
      <c r="J805" s="27"/>
      <c r="K805" s="29"/>
      <c r="L805" s="29"/>
      <c r="M805" s="29"/>
      <c r="N805" s="29"/>
    </row>
    <row r="806" spans="2:14" x14ac:dyDescent="0.25">
      <c r="B806" s="27"/>
      <c r="C806" s="28"/>
      <c r="D806" s="28"/>
      <c r="E806" s="27"/>
      <c r="F806" s="27"/>
      <c r="G806" s="28"/>
      <c r="H806" s="28"/>
      <c r="I806" s="36"/>
      <c r="J806" s="27"/>
      <c r="K806" s="29"/>
      <c r="L806" s="29"/>
      <c r="M806" s="29"/>
      <c r="N806" s="29"/>
    </row>
    <row r="807" spans="2:14" x14ac:dyDescent="0.25">
      <c r="B807" s="27"/>
      <c r="C807" s="28"/>
      <c r="D807" s="28"/>
      <c r="E807" s="27"/>
      <c r="F807" s="27"/>
      <c r="G807" s="28"/>
      <c r="H807" s="28"/>
      <c r="I807" s="36"/>
      <c r="J807" s="27"/>
      <c r="K807" s="29"/>
      <c r="L807" s="29"/>
      <c r="M807" s="29"/>
      <c r="N807" s="29"/>
    </row>
    <row r="808" spans="2:14" x14ac:dyDescent="0.25">
      <c r="B808" s="27"/>
      <c r="C808" s="28"/>
      <c r="D808" s="28"/>
      <c r="E808" s="27"/>
      <c r="F808" s="27"/>
      <c r="G808" s="28"/>
      <c r="H808" s="28"/>
      <c r="I808" s="36"/>
      <c r="J808" s="27"/>
      <c r="K808" s="29"/>
      <c r="L808" s="29"/>
      <c r="M808" s="29"/>
      <c r="N808" s="29"/>
    </row>
    <row r="809" spans="2:14" x14ac:dyDescent="0.25">
      <c r="B809" s="27"/>
      <c r="C809" s="28"/>
      <c r="D809" s="28"/>
      <c r="E809" s="27"/>
      <c r="F809" s="27"/>
      <c r="G809" s="28"/>
      <c r="H809" s="28"/>
      <c r="I809" s="36"/>
      <c r="J809" s="27"/>
      <c r="K809" s="29"/>
      <c r="L809" s="29"/>
      <c r="M809" s="29"/>
      <c r="N809" s="29"/>
    </row>
    <row r="810" spans="2:14" x14ac:dyDescent="0.25">
      <c r="B810" s="27"/>
      <c r="C810" s="28"/>
      <c r="D810" s="28"/>
      <c r="E810" s="27"/>
      <c r="F810" s="27"/>
      <c r="G810" s="28"/>
      <c r="H810" s="28"/>
      <c r="I810" s="36"/>
      <c r="J810" s="27"/>
      <c r="K810" s="29"/>
      <c r="L810" s="29"/>
      <c r="M810" s="29"/>
      <c r="N810" s="29"/>
    </row>
    <row r="811" spans="2:14" x14ac:dyDescent="0.25">
      <c r="B811" s="27"/>
      <c r="C811" s="28"/>
      <c r="D811" s="28"/>
      <c r="E811" s="27"/>
      <c r="F811" s="27"/>
      <c r="G811" s="28"/>
      <c r="H811" s="28"/>
      <c r="I811" s="36"/>
      <c r="J811" s="27"/>
      <c r="K811" s="29"/>
      <c r="L811" s="29"/>
      <c r="M811" s="29"/>
      <c r="N811" s="29"/>
    </row>
    <row r="812" spans="2:14" x14ac:dyDescent="0.25">
      <c r="B812" s="27"/>
      <c r="C812" s="28"/>
      <c r="D812" s="28"/>
      <c r="E812" s="27"/>
      <c r="F812" s="27"/>
      <c r="G812" s="28"/>
      <c r="H812" s="28"/>
      <c r="I812" s="36"/>
      <c r="J812" s="27"/>
      <c r="K812" s="29"/>
      <c r="L812" s="29"/>
      <c r="M812" s="29"/>
      <c r="N812" s="29"/>
    </row>
    <row r="813" spans="2:14" x14ac:dyDescent="0.25">
      <c r="B813" s="27"/>
      <c r="C813" s="28"/>
      <c r="D813" s="28"/>
      <c r="E813" s="27"/>
      <c r="F813" s="27"/>
      <c r="G813" s="28"/>
      <c r="H813" s="28"/>
      <c r="I813" s="36"/>
      <c r="J813" s="27"/>
      <c r="K813" s="29"/>
      <c r="L813" s="29"/>
      <c r="M813" s="29"/>
      <c r="N813" s="29"/>
    </row>
    <row r="814" spans="2:14" x14ac:dyDescent="0.25">
      <c r="B814" s="27"/>
      <c r="C814" s="28"/>
      <c r="D814" s="28"/>
      <c r="E814" s="27"/>
      <c r="F814" s="27"/>
      <c r="G814" s="28"/>
      <c r="H814" s="28"/>
      <c r="I814" s="36"/>
      <c r="J814" s="27"/>
      <c r="K814" s="29"/>
      <c r="L814" s="29"/>
      <c r="M814" s="29"/>
      <c r="N814" s="29"/>
    </row>
    <row r="815" spans="2:14" x14ac:dyDescent="0.25">
      <c r="B815" s="27"/>
      <c r="C815" s="28"/>
      <c r="D815" s="28"/>
      <c r="E815" s="27"/>
      <c r="F815" s="27"/>
      <c r="G815" s="28"/>
      <c r="H815" s="28"/>
      <c r="I815" s="36"/>
      <c r="J815" s="27"/>
      <c r="K815" s="29"/>
      <c r="L815" s="29"/>
      <c r="M815" s="29"/>
      <c r="N815" s="29"/>
    </row>
    <row r="816" spans="2:14" x14ac:dyDescent="0.25">
      <c r="B816" s="27"/>
      <c r="C816" s="28"/>
      <c r="D816" s="28"/>
      <c r="E816" s="27"/>
      <c r="F816" s="27"/>
      <c r="G816" s="28"/>
      <c r="H816" s="28"/>
      <c r="I816" s="36"/>
      <c r="J816" s="27"/>
      <c r="K816" s="29"/>
      <c r="L816" s="29"/>
      <c r="M816" s="29"/>
      <c r="N816" s="29"/>
    </row>
    <row r="817" spans="2:14" x14ac:dyDescent="0.25">
      <c r="B817" s="27"/>
      <c r="C817" s="28"/>
      <c r="D817" s="28"/>
      <c r="E817" s="27"/>
      <c r="F817" s="27"/>
      <c r="G817" s="28"/>
      <c r="H817" s="28"/>
      <c r="I817" s="36"/>
      <c r="J817" s="27"/>
      <c r="K817" s="29"/>
      <c r="L817" s="29"/>
      <c r="M817" s="29"/>
      <c r="N817" s="29"/>
    </row>
    <row r="818" spans="2:14" x14ac:dyDescent="0.25">
      <c r="B818" s="27"/>
      <c r="C818" s="28"/>
      <c r="D818" s="28"/>
      <c r="E818" s="27"/>
      <c r="F818" s="27"/>
      <c r="G818" s="28"/>
      <c r="H818" s="28"/>
      <c r="I818" s="36"/>
      <c r="J818" s="27"/>
      <c r="K818" s="29"/>
      <c r="L818" s="29"/>
      <c r="M818" s="29"/>
      <c r="N818" s="29"/>
    </row>
    <row r="819" spans="2:14" x14ac:dyDescent="0.25">
      <c r="B819" s="27"/>
      <c r="C819" s="28"/>
      <c r="D819" s="28"/>
      <c r="E819" s="27"/>
      <c r="F819" s="27"/>
      <c r="G819" s="28"/>
      <c r="H819" s="28"/>
      <c r="I819" s="36"/>
      <c r="J819" s="27"/>
      <c r="K819" s="29"/>
      <c r="L819" s="29"/>
      <c r="M819" s="29"/>
      <c r="N819" s="29"/>
    </row>
    <row r="820" spans="2:14" x14ac:dyDescent="0.25">
      <c r="B820" s="27"/>
      <c r="C820" s="28"/>
      <c r="D820" s="28"/>
      <c r="E820" s="27"/>
      <c r="F820" s="27"/>
      <c r="G820" s="28"/>
      <c r="H820" s="28"/>
      <c r="I820" s="36"/>
      <c r="J820" s="27"/>
      <c r="K820" s="29"/>
      <c r="L820" s="29"/>
      <c r="M820" s="29"/>
      <c r="N820" s="29"/>
    </row>
    <row r="821" spans="2:14" x14ac:dyDescent="0.25">
      <c r="B821" s="27"/>
      <c r="C821" s="28"/>
      <c r="D821" s="28"/>
      <c r="E821" s="27"/>
      <c r="F821" s="27"/>
      <c r="G821" s="28"/>
      <c r="H821" s="28"/>
      <c r="I821" s="36"/>
      <c r="J821" s="27"/>
      <c r="K821" s="29"/>
      <c r="L821" s="29"/>
      <c r="M821" s="29"/>
      <c r="N821" s="29"/>
    </row>
    <row r="822" spans="2:14" x14ac:dyDescent="0.25">
      <c r="B822" s="27"/>
      <c r="C822" s="28"/>
      <c r="D822" s="28"/>
      <c r="E822" s="27"/>
      <c r="F822" s="27"/>
      <c r="G822" s="28"/>
      <c r="H822" s="28"/>
      <c r="I822" s="36"/>
      <c r="J822" s="27"/>
      <c r="K822" s="29"/>
      <c r="L822" s="29"/>
      <c r="M822" s="29"/>
      <c r="N822" s="29"/>
    </row>
    <row r="823" spans="2:14" x14ac:dyDescent="0.25">
      <c r="B823" s="27"/>
      <c r="C823" s="28"/>
      <c r="D823" s="28"/>
      <c r="E823" s="27"/>
      <c r="F823" s="27"/>
      <c r="G823" s="28"/>
      <c r="H823" s="28"/>
      <c r="I823" s="36"/>
      <c r="J823" s="27"/>
      <c r="K823" s="29"/>
      <c r="L823" s="29"/>
      <c r="M823" s="29"/>
      <c r="N823" s="29"/>
    </row>
    <row r="824" spans="2:14" x14ac:dyDescent="0.25">
      <c r="B824" s="27"/>
      <c r="C824" s="28"/>
      <c r="D824" s="28"/>
      <c r="E824" s="27"/>
      <c r="F824" s="27"/>
      <c r="G824" s="28"/>
      <c r="H824" s="28"/>
      <c r="I824" s="36"/>
      <c r="J824" s="27"/>
      <c r="K824" s="29"/>
      <c r="L824" s="29"/>
      <c r="M824" s="29"/>
      <c r="N824" s="29"/>
    </row>
    <row r="825" spans="2:14" x14ac:dyDescent="0.25">
      <c r="B825" s="27"/>
      <c r="C825" s="28"/>
      <c r="D825" s="28"/>
      <c r="E825" s="27"/>
      <c r="F825" s="27"/>
      <c r="G825" s="28"/>
      <c r="H825" s="28"/>
      <c r="I825" s="36"/>
      <c r="J825" s="27"/>
      <c r="K825" s="29"/>
      <c r="L825" s="29"/>
      <c r="M825" s="29"/>
      <c r="N825" s="29"/>
    </row>
    <row r="826" spans="2:14" x14ac:dyDescent="0.25">
      <c r="B826" s="27"/>
      <c r="C826" s="28"/>
      <c r="D826" s="28"/>
      <c r="E826" s="27"/>
      <c r="F826" s="27"/>
      <c r="G826" s="28"/>
      <c r="H826" s="28"/>
      <c r="I826" s="36"/>
      <c r="J826" s="27"/>
      <c r="K826" s="29"/>
      <c r="L826" s="29"/>
      <c r="M826" s="29"/>
      <c r="N826" s="29"/>
    </row>
    <row r="827" spans="2:14" x14ac:dyDescent="0.25">
      <c r="B827" s="27"/>
      <c r="C827" s="28"/>
      <c r="D827" s="28"/>
      <c r="E827" s="27"/>
      <c r="F827" s="27"/>
      <c r="G827" s="28"/>
      <c r="H827" s="28"/>
      <c r="I827" s="36"/>
      <c r="J827" s="27"/>
      <c r="K827" s="29"/>
      <c r="L827" s="29"/>
      <c r="M827" s="29"/>
      <c r="N827" s="29"/>
    </row>
    <row r="828" spans="2:14" x14ac:dyDescent="0.25">
      <c r="B828" s="27"/>
      <c r="C828" s="28"/>
      <c r="D828" s="28"/>
      <c r="E828" s="27"/>
      <c r="F828" s="27"/>
      <c r="G828" s="28"/>
      <c r="H828" s="28"/>
      <c r="I828" s="36"/>
      <c r="J828" s="27"/>
      <c r="K828" s="29"/>
      <c r="L828" s="29"/>
      <c r="M828" s="29"/>
      <c r="N828" s="29"/>
    </row>
    <row r="829" spans="2:14" x14ac:dyDescent="0.25">
      <c r="B829" s="27"/>
      <c r="C829" s="28"/>
      <c r="D829" s="28"/>
      <c r="E829" s="27"/>
      <c r="F829" s="27"/>
      <c r="G829" s="28"/>
      <c r="H829" s="28"/>
      <c r="I829" s="36"/>
      <c r="J829" s="27"/>
      <c r="K829" s="29"/>
      <c r="L829" s="29"/>
      <c r="M829" s="29"/>
      <c r="N829" s="29"/>
    </row>
    <row r="830" spans="2:14" x14ac:dyDescent="0.25">
      <c r="B830" s="27"/>
      <c r="C830" s="28"/>
      <c r="D830" s="28"/>
      <c r="E830" s="27"/>
      <c r="F830" s="27"/>
      <c r="G830" s="28"/>
      <c r="H830" s="28"/>
      <c r="I830" s="36"/>
      <c r="J830" s="27"/>
      <c r="K830" s="29"/>
      <c r="L830" s="29"/>
      <c r="M830" s="29"/>
      <c r="N830" s="29"/>
    </row>
    <row r="831" spans="2:14" x14ac:dyDescent="0.25">
      <c r="B831" s="27"/>
      <c r="C831" s="28"/>
      <c r="D831" s="28"/>
      <c r="E831" s="27"/>
      <c r="F831" s="27"/>
      <c r="G831" s="28"/>
      <c r="H831" s="28"/>
      <c r="I831" s="36"/>
      <c r="J831" s="27"/>
      <c r="K831" s="29"/>
      <c r="L831" s="29"/>
      <c r="M831" s="29"/>
      <c r="N831" s="29"/>
    </row>
    <row r="832" spans="2:14" x14ac:dyDescent="0.25">
      <c r="B832" s="27"/>
      <c r="C832" s="28"/>
      <c r="D832" s="28"/>
      <c r="E832" s="27"/>
      <c r="F832" s="27"/>
      <c r="G832" s="28"/>
      <c r="H832" s="28"/>
      <c r="I832" s="36"/>
      <c r="J832" s="27"/>
      <c r="K832" s="29"/>
      <c r="L832" s="29"/>
      <c r="M832" s="29"/>
      <c r="N832" s="29"/>
    </row>
    <row r="833" spans="2:14" x14ac:dyDescent="0.25">
      <c r="B833" s="27"/>
      <c r="C833" s="28"/>
      <c r="D833" s="28"/>
      <c r="E833" s="27"/>
      <c r="F833" s="27"/>
      <c r="G833" s="28"/>
      <c r="H833" s="28"/>
      <c r="I833" s="36"/>
      <c r="J833" s="27"/>
      <c r="K833" s="29"/>
      <c r="L833" s="29"/>
      <c r="M833" s="29"/>
      <c r="N833" s="29"/>
    </row>
    <row r="834" spans="2:14" x14ac:dyDescent="0.25">
      <c r="B834" s="27"/>
      <c r="C834" s="28"/>
      <c r="D834" s="28"/>
      <c r="E834" s="27"/>
      <c r="F834" s="27"/>
      <c r="G834" s="28"/>
      <c r="H834" s="28"/>
      <c r="I834" s="36"/>
      <c r="J834" s="27"/>
      <c r="K834" s="29"/>
      <c r="L834" s="29"/>
      <c r="M834" s="29"/>
      <c r="N834" s="29"/>
    </row>
    <row r="835" spans="2:14" x14ac:dyDescent="0.25">
      <c r="B835" s="27"/>
      <c r="C835" s="28"/>
      <c r="D835" s="28"/>
      <c r="E835" s="27"/>
      <c r="F835" s="27"/>
      <c r="G835" s="28"/>
      <c r="H835" s="28"/>
      <c r="I835" s="36"/>
      <c r="J835" s="27"/>
      <c r="K835" s="29"/>
      <c r="L835" s="29"/>
      <c r="M835" s="29"/>
      <c r="N835" s="29"/>
    </row>
    <row r="836" spans="2:14" x14ac:dyDescent="0.25">
      <c r="B836" s="27"/>
      <c r="C836" s="28"/>
      <c r="D836" s="28"/>
      <c r="E836" s="27"/>
      <c r="F836" s="27"/>
      <c r="G836" s="28"/>
      <c r="H836" s="28"/>
      <c r="I836" s="36"/>
      <c r="J836" s="27"/>
      <c r="K836" s="29"/>
      <c r="L836" s="29"/>
      <c r="M836" s="29"/>
      <c r="N836" s="29"/>
    </row>
    <row r="837" spans="2:14" x14ac:dyDescent="0.25">
      <c r="B837" s="27"/>
      <c r="C837" s="28"/>
      <c r="D837" s="28"/>
      <c r="E837" s="27"/>
      <c r="F837" s="27"/>
      <c r="G837" s="28"/>
      <c r="H837" s="28"/>
      <c r="I837" s="36"/>
      <c r="J837" s="27"/>
      <c r="K837" s="29"/>
      <c r="L837" s="29"/>
      <c r="M837" s="29"/>
      <c r="N837" s="29"/>
    </row>
    <row r="838" spans="2:14" x14ac:dyDescent="0.25">
      <c r="B838" s="27"/>
      <c r="C838" s="28"/>
      <c r="D838" s="28"/>
      <c r="E838" s="27"/>
      <c r="F838" s="27"/>
      <c r="G838" s="28"/>
      <c r="H838" s="28"/>
      <c r="I838" s="36"/>
      <c r="J838" s="27"/>
      <c r="K838" s="29"/>
      <c r="L838" s="29"/>
      <c r="M838" s="29"/>
      <c r="N838" s="29"/>
    </row>
    <row r="839" spans="2:14" x14ac:dyDescent="0.25">
      <c r="B839" s="27"/>
      <c r="C839" s="28"/>
      <c r="D839" s="28"/>
      <c r="E839" s="27"/>
      <c r="F839" s="27"/>
      <c r="G839" s="28"/>
      <c r="H839" s="28"/>
      <c r="I839" s="36"/>
      <c r="J839" s="27"/>
      <c r="K839" s="29"/>
      <c r="L839" s="29"/>
      <c r="M839" s="29"/>
      <c r="N839" s="29"/>
    </row>
    <row r="840" spans="2:14" x14ac:dyDescent="0.25">
      <c r="B840" s="27"/>
      <c r="C840" s="28"/>
      <c r="D840" s="28"/>
      <c r="E840" s="27"/>
      <c r="F840" s="27"/>
      <c r="G840" s="28"/>
      <c r="H840" s="28"/>
      <c r="I840" s="36"/>
      <c r="J840" s="27"/>
      <c r="K840" s="29"/>
      <c r="L840" s="29"/>
      <c r="M840" s="29"/>
      <c r="N840" s="29"/>
    </row>
    <row r="841" spans="2:14" x14ac:dyDescent="0.25">
      <c r="B841" s="27"/>
      <c r="C841" s="28"/>
      <c r="D841" s="28"/>
      <c r="E841" s="27"/>
      <c r="F841" s="27"/>
      <c r="G841" s="28"/>
      <c r="H841" s="28"/>
      <c r="I841" s="36"/>
      <c r="J841" s="27"/>
      <c r="K841" s="29"/>
      <c r="L841" s="29"/>
      <c r="M841" s="29"/>
      <c r="N841" s="29"/>
    </row>
    <row r="842" spans="2:14" x14ac:dyDescent="0.25">
      <c r="B842" s="27"/>
      <c r="C842" s="28"/>
      <c r="D842" s="28"/>
      <c r="E842" s="27"/>
      <c r="F842" s="27"/>
      <c r="G842" s="28"/>
      <c r="H842" s="28"/>
      <c r="I842" s="36"/>
      <c r="J842" s="27"/>
      <c r="K842" s="29"/>
      <c r="L842" s="29"/>
      <c r="M842" s="29"/>
      <c r="N842" s="29"/>
    </row>
    <row r="843" spans="2:14" x14ac:dyDescent="0.25">
      <c r="B843" s="27"/>
      <c r="C843" s="28"/>
      <c r="D843" s="28"/>
      <c r="E843" s="27"/>
      <c r="F843" s="27"/>
      <c r="G843" s="28"/>
      <c r="H843" s="28"/>
      <c r="I843" s="36"/>
      <c r="J843" s="27"/>
      <c r="K843" s="29"/>
      <c r="L843" s="29"/>
      <c r="M843" s="29"/>
      <c r="N843" s="29"/>
    </row>
    <row r="844" spans="2:14" x14ac:dyDescent="0.25">
      <c r="B844" s="27"/>
      <c r="C844" s="28"/>
      <c r="D844" s="28"/>
      <c r="E844" s="27"/>
      <c r="F844" s="27"/>
      <c r="G844" s="28"/>
      <c r="H844" s="28"/>
      <c r="I844" s="36"/>
      <c r="J844" s="27"/>
      <c r="K844" s="29"/>
      <c r="L844" s="29"/>
      <c r="M844" s="29"/>
      <c r="N844" s="29"/>
    </row>
    <row r="845" spans="2:14" x14ac:dyDescent="0.25">
      <c r="B845" s="27"/>
      <c r="C845" s="28"/>
      <c r="D845" s="28"/>
      <c r="E845" s="27"/>
      <c r="F845" s="27"/>
      <c r="G845" s="28"/>
      <c r="H845" s="28"/>
      <c r="I845" s="36"/>
      <c r="J845" s="27"/>
      <c r="K845" s="29"/>
      <c r="L845" s="29"/>
      <c r="M845" s="29"/>
      <c r="N845" s="29"/>
    </row>
    <row r="846" spans="2:14" x14ac:dyDescent="0.25">
      <c r="B846" s="27"/>
      <c r="C846" s="28"/>
      <c r="D846" s="28"/>
      <c r="E846" s="27"/>
      <c r="F846" s="27"/>
      <c r="G846" s="28"/>
      <c r="H846" s="28"/>
      <c r="I846" s="36"/>
      <c r="J846" s="27"/>
      <c r="K846" s="29"/>
      <c r="L846" s="29"/>
      <c r="M846" s="29"/>
      <c r="N846" s="29"/>
    </row>
    <row r="847" spans="2:14" x14ac:dyDescent="0.25">
      <c r="B847" s="27"/>
      <c r="C847" s="28"/>
      <c r="D847" s="28"/>
      <c r="E847" s="27"/>
      <c r="F847" s="27"/>
      <c r="G847" s="28"/>
      <c r="H847" s="28"/>
      <c r="I847" s="36"/>
      <c r="J847" s="27"/>
      <c r="K847" s="29"/>
      <c r="L847" s="29"/>
      <c r="M847" s="29"/>
      <c r="N847" s="29"/>
    </row>
    <row r="848" spans="2:14" x14ac:dyDescent="0.25">
      <c r="B848" s="27"/>
      <c r="C848" s="28"/>
      <c r="D848" s="28"/>
      <c r="E848" s="27"/>
      <c r="F848" s="27"/>
      <c r="G848" s="28"/>
      <c r="H848" s="28"/>
      <c r="I848" s="36"/>
      <c r="J848" s="27"/>
      <c r="K848" s="29"/>
      <c r="L848" s="29"/>
      <c r="M848" s="29"/>
      <c r="N848" s="29"/>
    </row>
    <row r="849" spans="2:14" x14ac:dyDescent="0.25">
      <c r="B849" s="27"/>
      <c r="C849" s="28"/>
      <c r="D849" s="28"/>
      <c r="E849" s="27"/>
      <c r="F849" s="27"/>
      <c r="G849" s="28"/>
      <c r="H849" s="28"/>
      <c r="I849" s="36"/>
      <c r="J849" s="27"/>
      <c r="K849" s="29"/>
      <c r="L849" s="29"/>
      <c r="M849" s="29"/>
      <c r="N849" s="29"/>
    </row>
    <row r="850" spans="2:14" x14ac:dyDescent="0.25">
      <c r="B850" s="27"/>
      <c r="C850" s="28"/>
      <c r="D850" s="28"/>
      <c r="E850" s="27"/>
      <c r="F850" s="27"/>
      <c r="G850" s="28"/>
      <c r="H850" s="28"/>
      <c r="I850" s="36"/>
      <c r="J850" s="27"/>
      <c r="K850" s="29"/>
      <c r="L850" s="29"/>
      <c r="M850" s="29"/>
      <c r="N850" s="29"/>
    </row>
    <row r="851" spans="2:14" x14ac:dyDescent="0.25">
      <c r="B851" s="27"/>
      <c r="C851" s="28"/>
      <c r="D851" s="28"/>
      <c r="E851" s="27"/>
      <c r="F851" s="27"/>
      <c r="G851" s="28"/>
      <c r="H851" s="28"/>
      <c r="I851" s="36"/>
      <c r="J851" s="27"/>
      <c r="K851" s="29"/>
      <c r="L851" s="29"/>
      <c r="M851" s="29"/>
      <c r="N851" s="29"/>
    </row>
    <row r="852" spans="2:14" x14ac:dyDescent="0.25">
      <c r="B852" s="27"/>
      <c r="C852" s="28"/>
      <c r="D852" s="28"/>
      <c r="E852" s="27"/>
      <c r="F852" s="27"/>
      <c r="G852" s="28"/>
      <c r="H852" s="28"/>
      <c r="I852" s="36"/>
      <c r="J852" s="27"/>
      <c r="K852" s="29"/>
      <c r="L852" s="29"/>
      <c r="M852" s="29"/>
      <c r="N852" s="29"/>
    </row>
    <row r="853" spans="2:14" x14ac:dyDescent="0.25">
      <c r="B853" s="27"/>
      <c r="C853" s="28"/>
      <c r="D853" s="28"/>
      <c r="E853" s="27"/>
      <c r="F853" s="27"/>
      <c r="G853" s="28"/>
      <c r="H853" s="28"/>
      <c r="I853" s="36"/>
      <c r="J853" s="27"/>
      <c r="K853" s="29"/>
      <c r="L853" s="29"/>
      <c r="M853" s="29"/>
      <c r="N853" s="29"/>
    </row>
    <row r="854" spans="2:14" x14ac:dyDescent="0.25">
      <c r="B854" s="27"/>
      <c r="C854" s="28"/>
      <c r="D854" s="28"/>
      <c r="E854" s="27"/>
      <c r="F854" s="27"/>
      <c r="G854" s="28"/>
      <c r="H854" s="28"/>
      <c r="I854" s="36"/>
      <c r="J854" s="27"/>
      <c r="K854" s="29"/>
      <c r="L854" s="29"/>
      <c r="M854" s="29"/>
      <c r="N854" s="29"/>
    </row>
    <row r="855" spans="2:14" x14ac:dyDescent="0.25">
      <c r="B855" s="27"/>
      <c r="C855" s="28"/>
      <c r="D855" s="28"/>
      <c r="E855" s="27"/>
      <c r="F855" s="27"/>
      <c r="G855" s="28"/>
      <c r="H855" s="28"/>
      <c r="I855" s="36"/>
      <c r="J855" s="27"/>
      <c r="K855" s="29"/>
      <c r="L855" s="29"/>
      <c r="M855" s="29"/>
      <c r="N855" s="29"/>
    </row>
    <row r="856" spans="2:14" x14ac:dyDescent="0.25">
      <c r="B856" s="27"/>
      <c r="C856" s="28"/>
      <c r="D856" s="28"/>
      <c r="E856" s="27"/>
      <c r="F856" s="27"/>
      <c r="G856" s="28"/>
      <c r="H856" s="28"/>
      <c r="I856" s="36"/>
      <c r="J856" s="27"/>
      <c r="K856" s="29"/>
      <c r="L856" s="29"/>
      <c r="M856" s="29"/>
      <c r="N856" s="29"/>
    </row>
    <row r="857" spans="2:14" x14ac:dyDescent="0.25">
      <c r="B857" s="27"/>
      <c r="C857" s="28"/>
      <c r="D857" s="28"/>
      <c r="E857" s="27"/>
      <c r="F857" s="27"/>
      <c r="G857" s="28"/>
      <c r="H857" s="28"/>
      <c r="I857" s="36"/>
      <c r="J857" s="27"/>
      <c r="K857" s="29"/>
      <c r="L857" s="29"/>
      <c r="M857" s="29"/>
      <c r="N857" s="29"/>
    </row>
    <row r="858" spans="2:14" x14ac:dyDescent="0.25">
      <c r="B858" s="27"/>
      <c r="C858" s="28"/>
      <c r="D858" s="28"/>
      <c r="E858" s="27"/>
      <c r="F858" s="27"/>
      <c r="G858" s="28"/>
      <c r="H858" s="28"/>
      <c r="I858" s="36"/>
      <c r="J858" s="27"/>
      <c r="K858" s="29"/>
      <c r="L858" s="29"/>
      <c r="M858" s="29"/>
      <c r="N858" s="29"/>
    </row>
    <row r="859" spans="2:14" x14ac:dyDescent="0.25">
      <c r="B859" s="27"/>
      <c r="C859" s="28"/>
      <c r="D859" s="28"/>
      <c r="E859" s="27"/>
      <c r="F859" s="27"/>
      <c r="G859" s="28"/>
      <c r="H859" s="28"/>
      <c r="I859" s="36"/>
      <c r="J859" s="27"/>
      <c r="K859" s="29"/>
      <c r="L859" s="29"/>
      <c r="M859" s="29"/>
      <c r="N859" s="29"/>
    </row>
    <row r="860" spans="2:14" x14ac:dyDescent="0.25">
      <c r="B860" s="27"/>
      <c r="C860" s="28"/>
      <c r="D860" s="28"/>
      <c r="E860" s="27"/>
      <c r="F860" s="27"/>
      <c r="G860" s="28"/>
      <c r="H860" s="28"/>
      <c r="I860" s="36"/>
      <c r="J860" s="27"/>
      <c r="K860" s="29"/>
      <c r="L860" s="29"/>
      <c r="M860" s="29"/>
      <c r="N860" s="29"/>
    </row>
    <row r="861" spans="2:14" x14ac:dyDescent="0.25">
      <c r="B861" s="27"/>
      <c r="C861" s="28"/>
      <c r="D861" s="28"/>
      <c r="E861" s="27"/>
      <c r="F861" s="27"/>
      <c r="G861" s="28"/>
      <c r="H861" s="28"/>
      <c r="I861" s="36"/>
      <c r="J861" s="27"/>
      <c r="K861" s="29"/>
      <c r="L861" s="29"/>
      <c r="M861" s="29"/>
      <c r="N861" s="29"/>
    </row>
    <row r="862" spans="2:14" x14ac:dyDescent="0.25">
      <c r="B862" s="27"/>
      <c r="C862" s="28"/>
      <c r="D862" s="28"/>
      <c r="E862" s="27"/>
      <c r="F862" s="27"/>
      <c r="G862" s="28"/>
      <c r="H862" s="28"/>
      <c r="I862" s="36"/>
      <c r="J862" s="27"/>
      <c r="K862" s="29"/>
      <c r="L862" s="29"/>
      <c r="M862" s="29"/>
      <c r="N862" s="29"/>
    </row>
    <row r="863" spans="2:14" x14ac:dyDescent="0.25">
      <c r="B863" s="27"/>
      <c r="C863" s="28"/>
      <c r="D863" s="28"/>
      <c r="E863" s="27"/>
      <c r="F863" s="27"/>
      <c r="G863" s="28"/>
      <c r="H863" s="28"/>
      <c r="I863" s="36"/>
      <c r="J863" s="27"/>
      <c r="K863" s="29"/>
      <c r="L863" s="29"/>
      <c r="M863" s="29"/>
      <c r="N863" s="29"/>
    </row>
    <row r="864" spans="2:14" x14ac:dyDescent="0.25">
      <c r="B864" s="27"/>
      <c r="C864" s="28"/>
      <c r="D864" s="28"/>
      <c r="E864" s="27"/>
      <c r="F864" s="27"/>
      <c r="G864" s="28"/>
      <c r="H864" s="28"/>
      <c r="I864" s="36"/>
      <c r="J864" s="27"/>
      <c r="K864" s="29"/>
      <c r="L864" s="29"/>
      <c r="M864" s="29"/>
      <c r="N864" s="29"/>
    </row>
    <row r="865" spans="2:14" x14ac:dyDescent="0.25">
      <c r="B865" s="27"/>
      <c r="C865" s="28"/>
      <c r="D865" s="28"/>
      <c r="E865" s="27"/>
      <c r="F865" s="27"/>
      <c r="G865" s="28"/>
      <c r="H865" s="28"/>
      <c r="I865" s="36"/>
      <c r="J865" s="27"/>
      <c r="K865" s="29"/>
      <c r="L865" s="29"/>
      <c r="M865" s="29"/>
      <c r="N865" s="29"/>
    </row>
    <row r="866" spans="2:14" x14ac:dyDescent="0.25">
      <c r="B866" s="27"/>
      <c r="C866" s="28"/>
      <c r="D866" s="28"/>
      <c r="E866" s="27"/>
      <c r="F866" s="27"/>
      <c r="G866" s="28"/>
      <c r="H866" s="28"/>
      <c r="I866" s="36"/>
      <c r="J866" s="27"/>
      <c r="K866" s="29"/>
      <c r="L866" s="29"/>
      <c r="M866" s="29"/>
      <c r="N866" s="29"/>
    </row>
    <row r="867" spans="2:14" x14ac:dyDescent="0.25">
      <c r="B867" s="27"/>
      <c r="C867" s="28"/>
      <c r="D867" s="28"/>
      <c r="E867" s="27"/>
      <c r="F867" s="27"/>
      <c r="G867" s="28"/>
      <c r="H867" s="28"/>
      <c r="I867" s="36"/>
      <c r="J867" s="27"/>
      <c r="K867" s="29"/>
      <c r="L867" s="29"/>
      <c r="M867" s="29"/>
      <c r="N867" s="29"/>
    </row>
    <row r="868" spans="2:14" x14ac:dyDescent="0.25">
      <c r="B868" s="27"/>
      <c r="C868" s="28"/>
      <c r="D868" s="28"/>
      <c r="E868" s="27"/>
      <c r="F868" s="27"/>
      <c r="G868" s="28"/>
      <c r="H868" s="28"/>
      <c r="I868" s="36"/>
      <c r="J868" s="27"/>
      <c r="K868" s="29"/>
      <c r="L868" s="29"/>
      <c r="M868" s="29"/>
      <c r="N868" s="29"/>
    </row>
    <row r="869" spans="2:14" x14ac:dyDescent="0.25">
      <c r="B869" s="27"/>
      <c r="C869" s="28"/>
      <c r="D869" s="28"/>
      <c r="E869" s="27"/>
      <c r="F869" s="27"/>
      <c r="G869" s="28"/>
      <c r="H869" s="28"/>
      <c r="I869" s="36"/>
      <c r="J869" s="27"/>
      <c r="K869" s="29"/>
      <c r="L869" s="29"/>
      <c r="M869" s="29"/>
      <c r="N869" s="29"/>
    </row>
    <row r="870" spans="2:14" x14ac:dyDescent="0.25">
      <c r="B870" s="27"/>
      <c r="C870" s="28"/>
      <c r="D870" s="28"/>
      <c r="E870" s="27"/>
      <c r="F870" s="27"/>
      <c r="G870" s="28"/>
      <c r="H870" s="28"/>
      <c r="I870" s="36"/>
      <c r="J870" s="27"/>
      <c r="K870" s="29"/>
      <c r="L870" s="29"/>
      <c r="M870" s="29"/>
      <c r="N870" s="29"/>
    </row>
    <row r="871" spans="2:14" x14ac:dyDescent="0.25">
      <c r="B871" s="27"/>
      <c r="C871" s="28"/>
      <c r="D871" s="28"/>
      <c r="E871" s="27"/>
      <c r="F871" s="27"/>
      <c r="G871" s="28"/>
      <c r="H871" s="28"/>
      <c r="I871" s="36"/>
      <c r="J871" s="27"/>
      <c r="K871" s="29"/>
      <c r="L871" s="29"/>
      <c r="M871" s="29"/>
      <c r="N871" s="29"/>
    </row>
    <row r="872" spans="2:14" x14ac:dyDescent="0.25">
      <c r="B872" s="27"/>
      <c r="C872" s="28"/>
      <c r="D872" s="28"/>
      <c r="E872" s="27"/>
      <c r="F872" s="27"/>
      <c r="G872" s="28"/>
      <c r="H872" s="28"/>
      <c r="I872" s="36"/>
      <c r="J872" s="27"/>
      <c r="K872" s="29"/>
      <c r="L872" s="29"/>
      <c r="M872" s="29"/>
      <c r="N872" s="29"/>
    </row>
    <row r="873" spans="2:14" x14ac:dyDescent="0.25">
      <c r="B873" s="27"/>
      <c r="C873" s="28"/>
      <c r="D873" s="28"/>
      <c r="E873" s="27"/>
      <c r="F873" s="27"/>
      <c r="G873" s="28"/>
      <c r="H873" s="28"/>
      <c r="I873" s="36"/>
      <c r="J873" s="27"/>
      <c r="K873" s="29"/>
      <c r="L873" s="29"/>
      <c r="M873" s="29"/>
      <c r="N873" s="29"/>
    </row>
    <row r="874" spans="2:14" x14ac:dyDescent="0.25">
      <c r="B874" s="27"/>
      <c r="C874" s="28"/>
      <c r="D874" s="28"/>
      <c r="E874" s="27"/>
      <c r="F874" s="27"/>
      <c r="G874" s="28"/>
      <c r="H874" s="28"/>
      <c r="I874" s="36"/>
      <c r="J874" s="27"/>
      <c r="K874" s="29"/>
      <c r="L874" s="29"/>
      <c r="M874" s="29"/>
      <c r="N874" s="29"/>
    </row>
    <row r="875" spans="2:14" x14ac:dyDescent="0.25">
      <c r="B875" s="27"/>
      <c r="C875" s="28"/>
      <c r="D875" s="28"/>
      <c r="E875" s="27"/>
      <c r="F875" s="27"/>
      <c r="G875" s="28"/>
      <c r="H875" s="28"/>
      <c r="I875" s="36"/>
      <c r="J875" s="27"/>
      <c r="K875" s="29"/>
      <c r="L875" s="29"/>
      <c r="M875" s="29"/>
      <c r="N875" s="29"/>
    </row>
    <row r="876" spans="2:14" x14ac:dyDescent="0.25">
      <c r="B876" s="27"/>
      <c r="C876" s="28"/>
      <c r="D876" s="28"/>
      <c r="E876" s="27"/>
      <c r="F876" s="27"/>
      <c r="G876" s="28"/>
      <c r="H876" s="28"/>
      <c r="I876" s="36"/>
      <c r="J876" s="27"/>
      <c r="K876" s="29"/>
      <c r="L876" s="29"/>
      <c r="M876" s="29"/>
      <c r="N876" s="29"/>
    </row>
    <row r="877" spans="2:14" x14ac:dyDescent="0.25">
      <c r="B877" s="27"/>
      <c r="C877" s="28"/>
      <c r="D877" s="28"/>
      <c r="E877" s="27"/>
      <c r="F877" s="27"/>
      <c r="G877" s="28"/>
      <c r="H877" s="28"/>
      <c r="I877" s="36"/>
      <c r="J877" s="27"/>
      <c r="K877" s="29"/>
      <c r="L877" s="29"/>
      <c r="M877" s="29"/>
      <c r="N877" s="29"/>
    </row>
    <row r="878" spans="2:14" x14ac:dyDescent="0.25">
      <c r="B878" s="27"/>
      <c r="C878" s="28"/>
      <c r="D878" s="28"/>
      <c r="E878" s="27"/>
      <c r="F878" s="27"/>
      <c r="G878" s="28"/>
      <c r="H878" s="28"/>
      <c r="I878" s="36"/>
      <c r="J878" s="27"/>
      <c r="K878" s="29"/>
      <c r="L878" s="29"/>
      <c r="M878" s="29"/>
      <c r="N878" s="29"/>
    </row>
    <row r="879" spans="2:14" x14ac:dyDescent="0.25">
      <c r="B879" s="27"/>
      <c r="C879" s="28"/>
      <c r="D879" s="28"/>
      <c r="E879" s="27"/>
      <c r="F879" s="27"/>
      <c r="G879" s="28"/>
      <c r="H879" s="28"/>
      <c r="I879" s="36"/>
      <c r="J879" s="27"/>
      <c r="K879" s="29"/>
      <c r="L879" s="29"/>
      <c r="M879" s="29"/>
      <c r="N879" s="29"/>
    </row>
    <row r="880" spans="2:14" x14ac:dyDescent="0.25">
      <c r="B880" s="27"/>
      <c r="C880" s="28"/>
      <c r="D880" s="28"/>
      <c r="E880" s="27"/>
      <c r="F880" s="27"/>
      <c r="G880" s="28"/>
      <c r="H880" s="28"/>
      <c r="I880" s="36"/>
      <c r="J880" s="27"/>
      <c r="K880" s="29"/>
      <c r="L880" s="29"/>
      <c r="M880" s="29"/>
      <c r="N880" s="29"/>
    </row>
    <row r="881" spans="2:14" x14ac:dyDescent="0.25">
      <c r="B881" s="27"/>
      <c r="C881" s="28"/>
      <c r="D881" s="28"/>
      <c r="E881" s="27"/>
      <c r="F881" s="27"/>
      <c r="G881" s="28"/>
      <c r="H881" s="28"/>
      <c r="I881" s="36"/>
      <c r="J881" s="27"/>
      <c r="K881" s="29"/>
      <c r="L881" s="29"/>
      <c r="M881" s="29"/>
      <c r="N881" s="29"/>
    </row>
    <row r="882" spans="2:14" x14ac:dyDescent="0.25">
      <c r="B882" s="27"/>
      <c r="C882" s="28"/>
      <c r="D882" s="28"/>
      <c r="E882" s="27"/>
      <c r="F882" s="27"/>
      <c r="G882" s="28"/>
      <c r="H882" s="28"/>
      <c r="I882" s="36"/>
      <c r="J882" s="27"/>
      <c r="K882" s="29"/>
      <c r="L882" s="29"/>
      <c r="M882" s="29"/>
      <c r="N882" s="29"/>
    </row>
    <row r="883" spans="2:14" x14ac:dyDescent="0.25">
      <c r="B883" s="27"/>
      <c r="C883" s="28"/>
      <c r="D883" s="28"/>
      <c r="E883" s="27"/>
      <c r="F883" s="27"/>
      <c r="G883" s="28"/>
      <c r="H883" s="28"/>
      <c r="I883" s="36"/>
      <c r="J883" s="27"/>
      <c r="K883" s="29"/>
      <c r="L883" s="29"/>
      <c r="M883" s="29"/>
      <c r="N883" s="29"/>
    </row>
    <row r="884" spans="2:14" x14ac:dyDescent="0.25">
      <c r="B884" s="27"/>
      <c r="C884" s="28"/>
      <c r="D884" s="28"/>
      <c r="E884" s="27"/>
      <c r="F884" s="27"/>
      <c r="G884" s="28"/>
      <c r="H884" s="28"/>
      <c r="I884" s="36"/>
      <c r="J884" s="27"/>
      <c r="K884" s="29"/>
      <c r="L884" s="29"/>
      <c r="M884" s="29"/>
      <c r="N884" s="29"/>
    </row>
    <row r="885" spans="2:14" x14ac:dyDescent="0.25">
      <c r="B885" s="27"/>
      <c r="C885" s="28"/>
      <c r="D885" s="28"/>
      <c r="E885" s="27"/>
      <c r="F885" s="27"/>
      <c r="G885" s="28"/>
      <c r="H885" s="28"/>
      <c r="I885" s="36"/>
      <c r="J885" s="27"/>
      <c r="K885" s="29"/>
      <c r="L885" s="29"/>
      <c r="M885" s="29"/>
      <c r="N885" s="29"/>
    </row>
    <row r="886" spans="2:14" x14ac:dyDescent="0.25">
      <c r="B886" s="27"/>
      <c r="C886" s="28"/>
      <c r="D886" s="28"/>
      <c r="E886" s="27"/>
      <c r="F886" s="27"/>
      <c r="G886" s="28"/>
      <c r="H886" s="28"/>
      <c r="I886" s="36"/>
      <c r="J886" s="27"/>
      <c r="K886" s="29"/>
      <c r="L886" s="29"/>
      <c r="M886" s="29"/>
      <c r="N886" s="29"/>
    </row>
    <row r="887" spans="2:14" x14ac:dyDescent="0.25">
      <c r="B887" s="27"/>
      <c r="C887" s="28"/>
      <c r="D887" s="28"/>
      <c r="E887" s="27"/>
      <c r="F887" s="27"/>
      <c r="G887" s="28"/>
      <c r="H887" s="28"/>
      <c r="I887" s="36"/>
      <c r="J887" s="27"/>
      <c r="K887" s="29"/>
      <c r="L887" s="29"/>
      <c r="M887" s="29"/>
      <c r="N887" s="29"/>
    </row>
    <row r="888" spans="2:14" x14ac:dyDescent="0.25">
      <c r="B888" s="27"/>
      <c r="C888" s="28"/>
      <c r="D888" s="28"/>
      <c r="E888" s="27"/>
      <c r="F888" s="27"/>
      <c r="G888" s="28"/>
      <c r="H888" s="28"/>
      <c r="I888" s="36"/>
      <c r="J888" s="27"/>
      <c r="K888" s="29"/>
      <c r="L888" s="29"/>
      <c r="M888" s="29"/>
      <c r="N888" s="29"/>
    </row>
    <row r="889" spans="2:14" x14ac:dyDescent="0.25">
      <c r="B889" s="27"/>
      <c r="C889" s="28"/>
      <c r="D889" s="28"/>
      <c r="E889" s="27"/>
      <c r="F889" s="27"/>
      <c r="G889" s="28"/>
      <c r="H889" s="28"/>
      <c r="I889" s="36"/>
      <c r="J889" s="27"/>
      <c r="K889" s="29"/>
      <c r="L889" s="29"/>
      <c r="M889" s="29"/>
      <c r="N889" s="29"/>
    </row>
    <row r="890" spans="2:14" x14ac:dyDescent="0.25">
      <c r="B890" s="27"/>
      <c r="C890" s="28"/>
      <c r="D890" s="28"/>
      <c r="E890" s="27"/>
      <c r="F890" s="27"/>
      <c r="G890" s="28"/>
      <c r="H890" s="28"/>
      <c r="I890" s="36"/>
      <c r="J890" s="27"/>
      <c r="K890" s="29"/>
      <c r="L890" s="29"/>
      <c r="M890" s="29"/>
      <c r="N890" s="29"/>
    </row>
    <row r="891" spans="2:14" x14ac:dyDescent="0.25">
      <c r="B891" s="27"/>
      <c r="C891" s="28"/>
      <c r="D891" s="28"/>
      <c r="E891" s="27"/>
      <c r="F891" s="27"/>
      <c r="G891" s="28"/>
      <c r="H891" s="28"/>
      <c r="I891" s="36"/>
      <c r="J891" s="27"/>
      <c r="K891" s="29"/>
      <c r="L891" s="29"/>
      <c r="M891" s="29"/>
      <c r="N891" s="29"/>
    </row>
    <row r="892" spans="2:14" x14ac:dyDescent="0.25">
      <c r="B892" s="27"/>
      <c r="C892" s="28"/>
      <c r="D892" s="28"/>
      <c r="E892" s="27"/>
      <c r="F892" s="27"/>
      <c r="G892" s="28"/>
      <c r="H892" s="28"/>
      <c r="I892" s="36"/>
      <c r="J892" s="27"/>
      <c r="K892" s="29"/>
      <c r="L892" s="29"/>
      <c r="M892" s="29"/>
      <c r="N892" s="29"/>
    </row>
    <row r="893" spans="2:14" x14ac:dyDescent="0.25">
      <c r="B893" s="27"/>
      <c r="C893" s="28"/>
      <c r="D893" s="28"/>
      <c r="E893" s="27"/>
      <c r="F893" s="27"/>
      <c r="G893" s="28"/>
      <c r="H893" s="28"/>
      <c r="I893" s="36"/>
      <c r="J893" s="27"/>
      <c r="K893" s="29"/>
      <c r="L893" s="29"/>
      <c r="M893" s="29"/>
      <c r="N893" s="29"/>
    </row>
    <row r="894" spans="2:14" x14ac:dyDescent="0.25">
      <c r="B894" s="27"/>
      <c r="C894" s="28"/>
      <c r="D894" s="28"/>
      <c r="E894" s="27"/>
      <c r="F894" s="27"/>
      <c r="G894" s="28"/>
      <c r="H894" s="28"/>
      <c r="I894" s="36"/>
      <c r="J894" s="27"/>
      <c r="K894" s="29"/>
      <c r="L894" s="29"/>
      <c r="M894" s="29"/>
      <c r="N894" s="29"/>
    </row>
    <row r="895" spans="2:14" x14ac:dyDescent="0.25">
      <c r="B895" s="27"/>
      <c r="C895" s="28"/>
      <c r="D895" s="28"/>
      <c r="E895" s="27"/>
      <c r="F895" s="27"/>
      <c r="G895" s="28"/>
      <c r="H895" s="28"/>
      <c r="I895" s="36"/>
      <c r="J895" s="27"/>
      <c r="K895" s="29"/>
      <c r="L895" s="29"/>
      <c r="M895" s="29"/>
      <c r="N895" s="29"/>
    </row>
    <row r="896" spans="2:14" x14ac:dyDescent="0.25">
      <c r="B896" s="27"/>
      <c r="C896" s="28"/>
      <c r="D896" s="28"/>
      <c r="E896" s="27"/>
      <c r="F896" s="27"/>
      <c r="G896" s="28"/>
      <c r="H896" s="28"/>
      <c r="I896" s="36"/>
      <c r="J896" s="27"/>
      <c r="K896" s="29"/>
      <c r="L896" s="29"/>
      <c r="M896" s="29"/>
      <c r="N896" s="29"/>
    </row>
    <row r="897" spans="2:14" x14ac:dyDescent="0.25">
      <c r="B897" s="27"/>
      <c r="C897" s="28"/>
      <c r="D897" s="28"/>
      <c r="E897" s="27"/>
      <c r="F897" s="27"/>
      <c r="G897" s="28"/>
      <c r="H897" s="28"/>
      <c r="I897" s="36"/>
      <c r="J897" s="27"/>
      <c r="K897" s="29"/>
      <c r="L897" s="29"/>
      <c r="M897" s="29"/>
      <c r="N897" s="29"/>
    </row>
    <row r="898" spans="2:14" x14ac:dyDescent="0.25">
      <c r="B898" s="27"/>
      <c r="C898" s="28"/>
      <c r="D898" s="28"/>
      <c r="E898" s="27"/>
      <c r="F898" s="27"/>
      <c r="G898" s="28"/>
      <c r="H898" s="28"/>
      <c r="I898" s="36"/>
      <c r="J898" s="27"/>
      <c r="K898" s="29"/>
      <c r="L898" s="29"/>
      <c r="M898" s="29"/>
      <c r="N898" s="29"/>
    </row>
    <row r="899" spans="2:14" x14ac:dyDescent="0.25">
      <c r="B899" s="27"/>
      <c r="C899" s="28"/>
      <c r="D899" s="28"/>
      <c r="E899" s="27"/>
      <c r="F899" s="27"/>
      <c r="G899" s="28"/>
      <c r="H899" s="28"/>
      <c r="I899" s="36"/>
      <c r="J899" s="27"/>
      <c r="K899" s="29"/>
      <c r="L899" s="29"/>
      <c r="M899" s="29"/>
      <c r="N899" s="29"/>
    </row>
    <row r="900" spans="2:14" x14ac:dyDescent="0.25">
      <c r="B900" s="27"/>
      <c r="C900" s="28"/>
      <c r="D900" s="28"/>
      <c r="E900" s="27"/>
      <c r="F900" s="27"/>
      <c r="G900" s="28"/>
      <c r="H900" s="28"/>
      <c r="I900" s="36"/>
      <c r="J900" s="27"/>
      <c r="K900" s="29"/>
      <c r="L900" s="29"/>
      <c r="M900" s="29"/>
      <c r="N900" s="29"/>
    </row>
    <row r="901" spans="2:14" x14ac:dyDescent="0.25">
      <c r="B901" s="27"/>
      <c r="C901" s="28"/>
      <c r="D901" s="28"/>
      <c r="E901" s="27"/>
      <c r="F901" s="27"/>
      <c r="G901" s="28"/>
      <c r="H901" s="28"/>
      <c r="I901" s="36"/>
      <c r="J901" s="27"/>
      <c r="K901" s="29"/>
      <c r="L901" s="29"/>
      <c r="M901" s="29"/>
      <c r="N901" s="29"/>
    </row>
    <row r="902" spans="2:14" x14ac:dyDescent="0.25">
      <c r="B902" s="27"/>
      <c r="C902" s="28"/>
      <c r="D902" s="28"/>
      <c r="E902" s="27"/>
      <c r="F902" s="27"/>
      <c r="G902" s="28"/>
      <c r="H902" s="28"/>
      <c r="I902" s="36"/>
      <c r="J902" s="27"/>
      <c r="K902" s="29"/>
      <c r="L902" s="29"/>
      <c r="M902" s="29"/>
      <c r="N902" s="29"/>
    </row>
    <row r="903" spans="2:14" x14ac:dyDescent="0.25">
      <c r="B903" s="27"/>
      <c r="C903" s="28"/>
      <c r="D903" s="28"/>
      <c r="E903" s="27"/>
      <c r="F903" s="27"/>
      <c r="G903" s="28"/>
      <c r="H903" s="28"/>
      <c r="I903" s="36"/>
      <c r="J903" s="27"/>
      <c r="K903" s="29"/>
      <c r="L903" s="29"/>
      <c r="M903" s="29"/>
      <c r="N903" s="29"/>
    </row>
    <row r="904" spans="2:14" x14ac:dyDescent="0.25">
      <c r="B904" s="27"/>
      <c r="C904" s="28"/>
      <c r="D904" s="28"/>
      <c r="E904" s="27"/>
      <c r="F904" s="27"/>
      <c r="G904" s="28"/>
      <c r="H904" s="28"/>
      <c r="I904" s="36"/>
      <c r="J904" s="27"/>
      <c r="K904" s="29"/>
      <c r="L904" s="29"/>
      <c r="M904" s="29"/>
      <c r="N904" s="29"/>
    </row>
    <row r="905" spans="2:14" x14ac:dyDescent="0.25">
      <c r="B905" s="27"/>
      <c r="C905" s="28"/>
      <c r="D905" s="28"/>
      <c r="E905" s="27"/>
      <c r="F905" s="27"/>
      <c r="G905" s="28"/>
      <c r="H905" s="28"/>
      <c r="I905" s="36"/>
      <c r="J905" s="27"/>
      <c r="K905" s="29"/>
      <c r="L905" s="29"/>
      <c r="M905" s="29"/>
      <c r="N905" s="29"/>
    </row>
    <row r="906" spans="2:14" x14ac:dyDescent="0.25">
      <c r="B906" s="27"/>
      <c r="C906" s="28"/>
      <c r="D906" s="28"/>
      <c r="E906" s="27"/>
      <c r="F906" s="27"/>
      <c r="G906" s="28"/>
      <c r="H906" s="28"/>
      <c r="I906" s="36"/>
      <c r="J906" s="27"/>
      <c r="K906" s="29"/>
      <c r="L906" s="29"/>
      <c r="M906" s="29"/>
      <c r="N906" s="29"/>
    </row>
    <row r="907" spans="2:14" x14ac:dyDescent="0.25">
      <c r="B907" s="27"/>
      <c r="C907" s="28"/>
      <c r="D907" s="28"/>
      <c r="E907" s="27"/>
      <c r="F907" s="27"/>
      <c r="G907" s="28"/>
      <c r="H907" s="28"/>
      <c r="I907" s="36"/>
      <c r="J907" s="27"/>
      <c r="K907" s="29"/>
      <c r="L907" s="29"/>
      <c r="M907" s="29"/>
      <c r="N907" s="29"/>
    </row>
    <row r="908" spans="2:14" x14ac:dyDescent="0.25">
      <c r="B908" s="27"/>
      <c r="C908" s="28"/>
      <c r="D908" s="28"/>
      <c r="E908" s="27"/>
      <c r="F908" s="27"/>
      <c r="G908" s="28"/>
      <c r="H908" s="28"/>
      <c r="I908" s="36"/>
      <c r="J908" s="27"/>
      <c r="K908" s="29"/>
      <c r="L908" s="29"/>
      <c r="M908" s="29"/>
      <c r="N908" s="29"/>
    </row>
    <row r="909" spans="2:14" x14ac:dyDescent="0.25">
      <c r="B909" s="27"/>
      <c r="C909" s="28"/>
      <c r="D909" s="28"/>
      <c r="E909" s="27"/>
      <c r="F909" s="27"/>
      <c r="G909" s="28"/>
      <c r="H909" s="28"/>
      <c r="I909" s="36"/>
      <c r="J909" s="27"/>
      <c r="K909" s="29"/>
      <c r="L909" s="29"/>
      <c r="M909" s="29"/>
      <c r="N909" s="29"/>
    </row>
    <row r="910" spans="2:14" x14ac:dyDescent="0.25">
      <c r="B910" s="27"/>
      <c r="C910" s="28"/>
      <c r="D910" s="28"/>
      <c r="E910" s="27"/>
      <c r="F910" s="27"/>
      <c r="G910" s="28"/>
      <c r="H910" s="28"/>
      <c r="I910" s="36"/>
      <c r="J910" s="27"/>
      <c r="K910" s="29"/>
      <c r="L910" s="29"/>
      <c r="M910" s="29"/>
      <c r="N910" s="29"/>
    </row>
    <row r="911" spans="2:14" x14ac:dyDescent="0.25">
      <c r="B911" s="27"/>
      <c r="C911" s="28"/>
      <c r="D911" s="28"/>
      <c r="E911" s="27"/>
      <c r="F911" s="27"/>
      <c r="G911" s="28"/>
      <c r="H911" s="28"/>
      <c r="I911" s="36"/>
      <c r="J911" s="27"/>
      <c r="K911" s="29"/>
      <c r="L911" s="29"/>
      <c r="M911" s="29"/>
      <c r="N911" s="29"/>
    </row>
    <row r="912" spans="2:14" x14ac:dyDescent="0.25">
      <c r="B912" s="27"/>
      <c r="C912" s="28"/>
      <c r="D912" s="28"/>
      <c r="E912" s="27"/>
      <c r="F912" s="27"/>
      <c r="G912" s="28"/>
      <c r="H912" s="28"/>
      <c r="I912" s="36"/>
      <c r="J912" s="27"/>
      <c r="K912" s="29"/>
      <c r="L912" s="29"/>
      <c r="M912" s="29"/>
      <c r="N912" s="29"/>
    </row>
    <row r="913" spans="2:14" x14ac:dyDescent="0.25">
      <c r="B913" s="27"/>
      <c r="C913" s="28"/>
      <c r="D913" s="28"/>
      <c r="E913" s="27"/>
      <c r="F913" s="27"/>
      <c r="G913" s="28"/>
      <c r="H913" s="28"/>
      <c r="I913" s="36"/>
      <c r="J913" s="27"/>
      <c r="K913" s="29"/>
      <c r="L913" s="29"/>
      <c r="M913" s="29"/>
      <c r="N913" s="29"/>
    </row>
    <row r="914" spans="2:14" x14ac:dyDescent="0.25">
      <c r="B914" s="27"/>
      <c r="C914" s="28"/>
      <c r="D914" s="28"/>
      <c r="E914" s="27"/>
      <c r="F914" s="27"/>
      <c r="G914" s="28"/>
      <c r="H914" s="28"/>
      <c r="I914" s="36"/>
      <c r="J914" s="27"/>
      <c r="K914" s="29"/>
      <c r="L914" s="29"/>
      <c r="M914" s="29"/>
      <c r="N914" s="29"/>
    </row>
    <row r="915" spans="2:14" x14ac:dyDescent="0.25">
      <c r="B915" s="27"/>
      <c r="C915" s="28"/>
      <c r="D915" s="28"/>
      <c r="E915" s="27"/>
      <c r="F915" s="27"/>
      <c r="G915" s="28"/>
      <c r="H915" s="28"/>
      <c r="I915" s="36"/>
      <c r="J915" s="27"/>
      <c r="K915" s="29"/>
      <c r="L915" s="29"/>
      <c r="M915" s="29"/>
      <c r="N915" s="29"/>
    </row>
    <row r="916" spans="2:14" x14ac:dyDescent="0.25">
      <c r="B916" s="27"/>
      <c r="C916" s="28"/>
      <c r="D916" s="28"/>
      <c r="E916" s="27"/>
      <c r="F916" s="27"/>
      <c r="G916" s="28"/>
      <c r="H916" s="28"/>
      <c r="I916" s="36"/>
      <c r="J916" s="27"/>
      <c r="K916" s="29"/>
      <c r="L916" s="29"/>
      <c r="M916" s="29"/>
      <c r="N916" s="29"/>
    </row>
    <row r="917" spans="2:14" x14ac:dyDescent="0.25">
      <c r="B917" s="27"/>
      <c r="C917" s="28"/>
      <c r="D917" s="28"/>
      <c r="E917" s="27"/>
      <c r="F917" s="27"/>
      <c r="G917" s="28"/>
      <c r="H917" s="28"/>
      <c r="I917" s="36"/>
      <c r="J917" s="27"/>
      <c r="K917" s="29"/>
      <c r="L917" s="29"/>
      <c r="M917" s="29"/>
      <c r="N917" s="29"/>
    </row>
    <row r="918" spans="2:14" x14ac:dyDescent="0.25">
      <c r="B918" s="27"/>
      <c r="C918" s="28"/>
      <c r="D918" s="28"/>
      <c r="E918" s="27"/>
      <c r="F918" s="27"/>
      <c r="G918" s="28"/>
      <c r="H918" s="28"/>
      <c r="I918" s="36"/>
      <c r="J918" s="27"/>
      <c r="K918" s="29"/>
      <c r="L918" s="29"/>
      <c r="M918" s="29"/>
      <c r="N918" s="29"/>
    </row>
    <row r="919" spans="2:14" x14ac:dyDescent="0.25">
      <c r="B919" s="27"/>
      <c r="C919" s="28"/>
      <c r="D919" s="28"/>
      <c r="E919" s="27"/>
      <c r="F919" s="27"/>
      <c r="G919" s="28"/>
      <c r="H919" s="28"/>
      <c r="I919" s="36"/>
      <c r="J919" s="27"/>
      <c r="K919" s="29"/>
      <c r="L919" s="29"/>
      <c r="M919" s="29"/>
      <c r="N919" s="29"/>
    </row>
    <row r="920" spans="2:14" x14ac:dyDescent="0.25">
      <c r="B920" s="27"/>
      <c r="C920" s="28"/>
      <c r="D920" s="28"/>
      <c r="E920" s="27"/>
      <c r="F920" s="27"/>
      <c r="G920" s="28"/>
      <c r="H920" s="28"/>
      <c r="I920" s="36"/>
      <c r="J920" s="27"/>
      <c r="K920" s="29"/>
      <c r="L920" s="29"/>
      <c r="M920" s="29"/>
      <c r="N920" s="29"/>
    </row>
    <row r="921" spans="2:14" x14ac:dyDescent="0.25">
      <c r="B921" s="27"/>
      <c r="C921" s="28"/>
      <c r="D921" s="28"/>
      <c r="E921" s="27"/>
      <c r="F921" s="27"/>
      <c r="G921" s="28"/>
      <c r="H921" s="28"/>
      <c r="I921" s="36"/>
      <c r="J921" s="27"/>
      <c r="K921" s="29"/>
      <c r="L921" s="29"/>
      <c r="M921" s="29"/>
      <c r="N921" s="29"/>
    </row>
    <row r="922" spans="2:14" x14ac:dyDescent="0.25">
      <c r="B922" s="27"/>
      <c r="C922" s="28"/>
      <c r="D922" s="28"/>
      <c r="E922" s="27"/>
      <c r="F922" s="27"/>
      <c r="G922" s="28"/>
      <c r="H922" s="28"/>
      <c r="I922" s="36"/>
      <c r="J922" s="27"/>
      <c r="K922" s="29"/>
      <c r="L922" s="29"/>
      <c r="M922" s="29"/>
      <c r="N922" s="29"/>
    </row>
    <row r="923" spans="2:14" x14ac:dyDescent="0.25">
      <c r="B923" s="27"/>
      <c r="C923" s="28"/>
      <c r="D923" s="28"/>
      <c r="E923" s="27"/>
      <c r="F923" s="27"/>
      <c r="G923" s="28"/>
      <c r="H923" s="28"/>
      <c r="I923" s="36"/>
      <c r="J923" s="27"/>
      <c r="K923" s="29"/>
      <c r="L923" s="29"/>
      <c r="M923" s="29"/>
      <c r="N923" s="29"/>
    </row>
    <row r="924" spans="2:14" x14ac:dyDescent="0.25">
      <c r="B924" s="27"/>
      <c r="C924" s="28"/>
      <c r="D924" s="28"/>
      <c r="E924" s="27"/>
      <c r="F924" s="27"/>
      <c r="G924" s="28"/>
      <c r="H924" s="28"/>
      <c r="I924" s="36"/>
      <c r="J924" s="27"/>
      <c r="K924" s="29"/>
      <c r="L924" s="29"/>
      <c r="M924" s="29"/>
      <c r="N924" s="29"/>
    </row>
    <row r="925" spans="2:14" x14ac:dyDescent="0.25">
      <c r="B925" s="27"/>
      <c r="C925" s="28"/>
      <c r="D925" s="28"/>
      <c r="E925" s="27"/>
      <c r="F925" s="27"/>
      <c r="G925" s="28"/>
      <c r="H925" s="28"/>
      <c r="I925" s="36"/>
      <c r="J925" s="27"/>
      <c r="K925" s="29"/>
      <c r="L925" s="29"/>
      <c r="M925" s="29"/>
      <c r="N925" s="29"/>
    </row>
    <row r="926" spans="2:14" x14ac:dyDescent="0.25">
      <c r="B926" s="27"/>
      <c r="C926" s="28"/>
      <c r="D926" s="28"/>
      <c r="E926" s="27"/>
      <c r="F926" s="27"/>
      <c r="G926" s="28"/>
      <c r="H926" s="28"/>
      <c r="I926" s="36"/>
      <c r="J926" s="27"/>
      <c r="K926" s="29"/>
      <c r="L926" s="29"/>
      <c r="M926" s="29"/>
      <c r="N926" s="29"/>
    </row>
    <row r="927" spans="2:14" x14ac:dyDescent="0.25">
      <c r="B927" s="27"/>
      <c r="C927" s="28"/>
      <c r="D927" s="28"/>
      <c r="E927" s="27"/>
      <c r="F927" s="27"/>
      <c r="G927" s="28"/>
      <c r="H927" s="28"/>
      <c r="I927" s="36"/>
      <c r="J927" s="27"/>
      <c r="K927" s="29"/>
      <c r="L927" s="29"/>
      <c r="M927" s="29"/>
      <c r="N927" s="29"/>
    </row>
    <row r="928" spans="2:14" x14ac:dyDescent="0.25">
      <c r="B928" s="27"/>
      <c r="C928" s="28"/>
      <c r="D928" s="28"/>
      <c r="E928" s="27"/>
      <c r="F928" s="27"/>
      <c r="G928" s="28"/>
      <c r="H928" s="28"/>
      <c r="I928" s="36"/>
      <c r="J928" s="27"/>
      <c r="K928" s="29"/>
      <c r="L928" s="29"/>
      <c r="M928" s="29"/>
      <c r="N928" s="29"/>
    </row>
    <row r="929" spans="2:14" x14ac:dyDescent="0.25">
      <c r="B929" s="27"/>
      <c r="C929" s="28"/>
      <c r="D929" s="28"/>
      <c r="E929" s="27"/>
      <c r="F929" s="27"/>
      <c r="G929" s="28"/>
      <c r="H929" s="28"/>
      <c r="I929" s="36"/>
      <c r="J929" s="27"/>
      <c r="K929" s="29"/>
      <c r="L929" s="29"/>
      <c r="M929" s="29"/>
      <c r="N929" s="29"/>
    </row>
    <row r="930" spans="2:14" x14ac:dyDescent="0.25">
      <c r="B930" s="27"/>
      <c r="C930" s="28"/>
      <c r="D930" s="28"/>
      <c r="E930" s="27"/>
      <c r="F930" s="27"/>
      <c r="G930" s="28"/>
      <c r="H930" s="28"/>
      <c r="I930" s="36"/>
      <c r="J930" s="27"/>
      <c r="K930" s="29"/>
      <c r="L930" s="29"/>
      <c r="M930" s="29"/>
      <c r="N930" s="29"/>
    </row>
    <row r="931" spans="2:14" x14ac:dyDescent="0.25">
      <c r="B931" s="27"/>
      <c r="C931" s="28"/>
      <c r="D931" s="28"/>
      <c r="E931" s="27"/>
      <c r="F931" s="27"/>
      <c r="G931" s="28"/>
      <c r="H931" s="28"/>
      <c r="I931" s="36"/>
      <c r="J931" s="27"/>
      <c r="K931" s="29"/>
      <c r="L931" s="29"/>
      <c r="M931" s="29"/>
      <c r="N931" s="29"/>
    </row>
    <row r="932" spans="2:14" x14ac:dyDescent="0.25">
      <c r="B932" s="27"/>
      <c r="C932" s="28"/>
      <c r="D932" s="28"/>
      <c r="E932" s="27"/>
      <c r="F932" s="27"/>
      <c r="G932" s="28"/>
      <c r="H932" s="28"/>
      <c r="I932" s="36"/>
      <c r="J932" s="27"/>
      <c r="K932" s="29"/>
      <c r="L932" s="29"/>
      <c r="M932" s="29"/>
      <c r="N932" s="29"/>
    </row>
    <row r="933" spans="2:14" x14ac:dyDescent="0.25">
      <c r="B933" s="27"/>
      <c r="C933" s="28"/>
      <c r="D933" s="28"/>
      <c r="E933" s="27"/>
      <c r="F933" s="27"/>
      <c r="G933" s="28"/>
      <c r="H933" s="28"/>
      <c r="I933" s="36"/>
      <c r="J933" s="27"/>
      <c r="K933" s="29"/>
      <c r="L933" s="29"/>
      <c r="M933" s="29"/>
      <c r="N933" s="29"/>
    </row>
    <row r="934" spans="2:14" x14ac:dyDescent="0.25">
      <c r="B934" s="27"/>
      <c r="C934" s="28"/>
      <c r="D934" s="28"/>
      <c r="E934" s="27"/>
      <c r="F934" s="27"/>
      <c r="G934" s="28"/>
      <c r="H934" s="28"/>
      <c r="I934" s="36"/>
      <c r="J934" s="27"/>
      <c r="K934" s="29"/>
      <c r="L934" s="29"/>
      <c r="M934" s="29"/>
      <c r="N934" s="29"/>
    </row>
    <row r="935" spans="2:14" x14ac:dyDescent="0.25">
      <c r="B935" s="27"/>
      <c r="C935" s="28"/>
      <c r="D935" s="28"/>
      <c r="E935" s="27"/>
      <c r="F935" s="27"/>
      <c r="G935" s="28"/>
      <c r="H935" s="28"/>
      <c r="I935" s="36"/>
      <c r="J935" s="27"/>
      <c r="K935" s="29"/>
      <c r="L935" s="29"/>
      <c r="M935" s="29"/>
      <c r="N935" s="29"/>
    </row>
    <row r="936" spans="2:14" x14ac:dyDescent="0.25">
      <c r="B936" s="27"/>
      <c r="C936" s="28"/>
      <c r="D936" s="28"/>
      <c r="E936" s="27"/>
      <c r="F936" s="27"/>
      <c r="G936" s="28"/>
      <c r="H936" s="28"/>
      <c r="I936" s="36"/>
      <c r="J936" s="27"/>
      <c r="K936" s="29"/>
      <c r="L936" s="29"/>
      <c r="M936" s="29"/>
      <c r="N936" s="29"/>
    </row>
    <row r="937" spans="2:14" x14ac:dyDescent="0.25">
      <c r="B937" s="27"/>
      <c r="C937" s="28"/>
      <c r="D937" s="28"/>
      <c r="E937" s="27"/>
      <c r="F937" s="27"/>
      <c r="G937" s="28"/>
      <c r="H937" s="28"/>
      <c r="I937" s="36"/>
      <c r="J937" s="27"/>
      <c r="K937" s="29"/>
      <c r="L937" s="29"/>
      <c r="M937" s="29"/>
      <c r="N937" s="29"/>
    </row>
    <row r="938" spans="2:14" x14ac:dyDescent="0.25">
      <c r="B938" s="27"/>
      <c r="C938" s="28"/>
      <c r="D938" s="28"/>
      <c r="E938" s="27"/>
      <c r="F938" s="27"/>
      <c r="G938" s="28"/>
      <c r="H938" s="28"/>
      <c r="I938" s="36"/>
      <c r="J938" s="27"/>
      <c r="K938" s="29"/>
      <c r="L938" s="29"/>
      <c r="M938" s="29"/>
      <c r="N938" s="29"/>
    </row>
    <row r="939" spans="2:14" x14ac:dyDescent="0.25">
      <c r="B939" s="27"/>
      <c r="C939" s="28"/>
      <c r="D939" s="28"/>
      <c r="E939" s="27"/>
      <c r="F939" s="27"/>
      <c r="G939" s="28"/>
      <c r="H939" s="28"/>
      <c r="I939" s="36"/>
      <c r="J939" s="27"/>
      <c r="K939" s="29"/>
      <c r="L939" s="29"/>
      <c r="M939" s="29"/>
      <c r="N939" s="29"/>
    </row>
    <row r="940" spans="2:14" x14ac:dyDescent="0.25">
      <c r="B940" s="27"/>
      <c r="C940" s="28"/>
      <c r="D940" s="28"/>
      <c r="E940" s="27"/>
      <c r="F940" s="27"/>
      <c r="G940" s="28"/>
      <c r="H940" s="28"/>
      <c r="I940" s="36"/>
      <c r="J940" s="27"/>
      <c r="K940" s="29"/>
      <c r="L940" s="29"/>
      <c r="M940" s="29"/>
      <c r="N940" s="29"/>
    </row>
    <row r="941" spans="2:14" x14ac:dyDescent="0.25">
      <c r="B941" s="27"/>
      <c r="C941" s="28"/>
      <c r="D941" s="28"/>
      <c r="E941" s="27"/>
      <c r="F941" s="27"/>
      <c r="G941" s="28"/>
      <c r="H941" s="28"/>
      <c r="I941" s="36"/>
      <c r="J941" s="27"/>
      <c r="K941" s="29"/>
      <c r="L941" s="29"/>
      <c r="M941" s="29"/>
      <c r="N941" s="29"/>
    </row>
    <row r="942" spans="2:14" x14ac:dyDescent="0.25">
      <c r="B942" s="27"/>
      <c r="C942" s="28"/>
      <c r="D942" s="28"/>
      <c r="E942" s="27"/>
      <c r="F942" s="27"/>
      <c r="G942" s="28"/>
      <c r="H942" s="28"/>
      <c r="I942" s="36"/>
      <c r="J942" s="27"/>
      <c r="K942" s="29"/>
      <c r="L942" s="29"/>
      <c r="M942" s="29"/>
      <c r="N942" s="29"/>
    </row>
    <row r="943" spans="2:14" x14ac:dyDescent="0.25">
      <c r="B943" s="27"/>
      <c r="C943" s="28"/>
      <c r="D943" s="28"/>
      <c r="E943" s="27"/>
      <c r="F943" s="27"/>
      <c r="G943" s="28"/>
      <c r="H943" s="28"/>
      <c r="I943" s="36"/>
      <c r="J943" s="27"/>
      <c r="K943" s="29"/>
      <c r="L943" s="29"/>
      <c r="M943" s="29"/>
      <c r="N943" s="29"/>
    </row>
    <row r="944" spans="2:14" x14ac:dyDescent="0.25">
      <c r="B944" s="27"/>
      <c r="C944" s="28"/>
      <c r="D944" s="28"/>
      <c r="E944" s="27"/>
      <c r="F944" s="27"/>
      <c r="G944" s="28"/>
      <c r="H944" s="28"/>
      <c r="I944" s="36"/>
      <c r="J944" s="27"/>
      <c r="K944" s="29"/>
      <c r="L944" s="29"/>
      <c r="M944" s="29"/>
      <c r="N944" s="29"/>
    </row>
    <row r="945" spans="2:14" x14ac:dyDescent="0.25">
      <c r="B945" s="27"/>
      <c r="C945" s="28"/>
      <c r="D945" s="28"/>
      <c r="E945" s="27"/>
      <c r="F945" s="27"/>
      <c r="G945" s="28"/>
      <c r="H945" s="28"/>
      <c r="I945" s="36"/>
      <c r="J945" s="27"/>
      <c r="K945" s="29"/>
      <c r="L945" s="29"/>
      <c r="M945" s="29"/>
      <c r="N945" s="29"/>
    </row>
    <row r="946" spans="2:14" x14ac:dyDescent="0.25">
      <c r="B946" s="27"/>
      <c r="C946" s="28"/>
      <c r="D946" s="28"/>
      <c r="E946" s="27"/>
      <c r="F946" s="27"/>
      <c r="G946" s="28"/>
      <c r="H946" s="28"/>
      <c r="I946" s="36"/>
      <c r="J946" s="27"/>
      <c r="K946" s="29"/>
      <c r="L946" s="29"/>
      <c r="M946" s="29"/>
      <c r="N946" s="29"/>
    </row>
    <row r="947" spans="2:14" x14ac:dyDescent="0.25">
      <c r="B947" s="27"/>
      <c r="C947" s="28"/>
      <c r="D947" s="28"/>
      <c r="E947" s="27"/>
      <c r="F947" s="27"/>
      <c r="G947" s="28"/>
      <c r="H947" s="28"/>
      <c r="I947" s="36"/>
      <c r="J947" s="27"/>
      <c r="K947" s="29"/>
      <c r="L947" s="29"/>
      <c r="M947" s="29"/>
      <c r="N947" s="29"/>
    </row>
    <row r="948" spans="2:14" x14ac:dyDescent="0.25">
      <c r="B948" s="27"/>
      <c r="C948" s="28"/>
      <c r="D948" s="28"/>
      <c r="E948" s="27"/>
      <c r="F948" s="27"/>
      <c r="G948" s="28"/>
      <c r="H948" s="28"/>
      <c r="I948" s="36"/>
      <c r="J948" s="27"/>
      <c r="K948" s="29"/>
      <c r="L948" s="29"/>
      <c r="M948" s="29"/>
      <c r="N948" s="29"/>
    </row>
    <row r="949" spans="2:14" x14ac:dyDescent="0.25">
      <c r="B949" s="27"/>
      <c r="C949" s="28"/>
      <c r="D949" s="28"/>
      <c r="E949" s="27"/>
      <c r="F949" s="27"/>
      <c r="G949" s="28"/>
      <c r="H949" s="28"/>
      <c r="I949" s="36"/>
      <c r="J949" s="27"/>
      <c r="K949" s="29"/>
      <c r="L949" s="29"/>
      <c r="M949" s="29"/>
      <c r="N949" s="29"/>
    </row>
    <row r="950" spans="2:14" x14ac:dyDescent="0.25">
      <c r="B950" s="27"/>
      <c r="C950" s="28"/>
      <c r="D950" s="28"/>
      <c r="E950" s="27"/>
      <c r="F950" s="27"/>
      <c r="G950" s="28"/>
      <c r="H950" s="28"/>
      <c r="I950" s="36"/>
      <c r="J950" s="27"/>
      <c r="K950" s="29"/>
      <c r="L950" s="29"/>
      <c r="M950" s="29"/>
      <c r="N950" s="29"/>
    </row>
    <row r="951" spans="2:14" x14ac:dyDescent="0.25">
      <c r="B951" s="27"/>
      <c r="C951" s="28"/>
      <c r="D951" s="28"/>
      <c r="E951" s="27"/>
      <c r="F951" s="27"/>
      <c r="G951" s="28"/>
      <c r="H951" s="28"/>
      <c r="I951" s="36"/>
      <c r="J951" s="27"/>
      <c r="K951" s="29"/>
      <c r="L951" s="29"/>
      <c r="M951" s="29"/>
      <c r="N951" s="29"/>
    </row>
    <row r="952" spans="2:14" x14ac:dyDescent="0.25">
      <c r="B952" s="27"/>
      <c r="C952" s="28"/>
      <c r="D952" s="28"/>
      <c r="E952" s="27"/>
      <c r="F952" s="27"/>
      <c r="G952" s="28"/>
      <c r="H952" s="28"/>
      <c r="I952" s="36"/>
      <c r="J952" s="27"/>
      <c r="K952" s="29"/>
      <c r="L952" s="29"/>
      <c r="M952" s="29"/>
      <c r="N952" s="29"/>
    </row>
    <row r="953" spans="2:14" x14ac:dyDescent="0.25">
      <c r="B953" s="27"/>
      <c r="C953" s="28"/>
      <c r="D953" s="28"/>
      <c r="E953" s="27"/>
      <c r="F953" s="27"/>
      <c r="G953" s="28"/>
      <c r="H953" s="28"/>
      <c r="I953" s="36"/>
      <c r="J953" s="27"/>
      <c r="K953" s="29"/>
      <c r="L953" s="29"/>
      <c r="M953" s="29"/>
      <c r="N953" s="29"/>
    </row>
    <row r="954" spans="2:14" x14ac:dyDescent="0.25">
      <c r="B954" s="27"/>
      <c r="C954" s="28"/>
      <c r="D954" s="28"/>
      <c r="E954" s="27"/>
      <c r="F954" s="27"/>
      <c r="G954" s="28"/>
      <c r="H954" s="28"/>
      <c r="I954" s="36"/>
      <c r="J954" s="27"/>
      <c r="K954" s="29"/>
      <c r="L954" s="29"/>
      <c r="M954" s="29"/>
      <c r="N954" s="29"/>
    </row>
    <row r="955" spans="2:14" x14ac:dyDescent="0.25">
      <c r="B955" s="27"/>
      <c r="C955" s="28"/>
      <c r="D955" s="28"/>
      <c r="E955" s="27"/>
      <c r="F955" s="27"/>
      <c r="G955" s="28"/>
      <c r="H955" s="28"/>
      <c r="I955" s="36"/>
      <c r="J955" s="27"/>
      <c r="K955" s="29"/>
      <c r="L955" s="29"/>
      <c r="M955" s="29"/>
      <c r="N955" s="29"/>
    </row>
    <row r="956" spans="2:14" x14ac:dyDescent="0.25">
      <c r="B956" s="27"/>
      <c r="C956" s="28"/>
      <c r="D956" s="28"/>
      <c r="E956" s="27"/>
      <c r="F956" s="27"/>
      <c r="G956" s="28"/>
      <c r="H956" s="28"/>
      <c r="I956" s="36"/>
      <c r="J956" s="27"/>
      <c r="K956" s="29"/>
      <c r="L956" s="29"/>
      <c r="M956" s="29"/>
      <c r="N956" s="29"/>
    </row>
    <row r="957" spans="2:14" x14ac:dyDescent="0.25">
      <c r="B957" s="27"/>
      <c r="C957" s="28"/>
      <c r="D957" s="28"/>
      <c r="E957" s="27"/>
      <c r="F957" s="27"/>
      <c r="G957" s="28"/>
      <c r="H957" s="28"/>
      <c r="I957" s="36"/>
      <c r="J957" s="27"/>
      <c r="K957" s="29"/>
      <c r="L957" s="29"/>
      <c r="M957" s="29"/>
      <c r="N957" s="29"/>
    </row>
    <row r="958" spans="2:14" x14ac:dyDescent="0.25">
      <c r="B958" s="27"/>
      <c r="C958" s="28"/>
      <c r="D958" s="28"/>
      <c r="E958" s="27"/>
      <c r="F958" s="27"/>
      <c r="G958" s="28"/>
      <c r="H958" s="28"/>
      <c r="I958" s="36"/>
      <c r="J958" s="27"/>
      <c r="K958" s="29"/>
      <c r="L958" s="29"/>
      <c r="M958" s="29"/>
      <c r="N958" s="29"/>
    </row>
    <row r="959" spans="2:14" x14ac:dyDescent="0.25">
      <c r="B959" s="27"/>
      <c r="C959" s="28"/>
      <c r="D959" s="28"/>
      <c r="E959" s="27"/>
      <c r="F959" s="27"/>
      <c r="G959" s="28"/>
      <c r="H959" s="28"/>
      <c r="I959" s="36"/>
      <c r="J959" s="27"/>
      <c r="K959" s="29"/>
      <c r="L959" s="29"/>
      <c r="M959" s="29"/>
      <c r="N959" s="29"/>
    </row>
    <row r="960" spans="2:14" x14ac:dyDescent="0.25">
      <c r="B960" s="27"/>
      <c r="C960" s="28"/>
      <c r="D960" s="28"/>
      <c r="E960" s="27"/>
      <c r="F960" s="27"/>
      <c r="G960" s="28"/>
      <c r="H960" s="28"/>
      <c r="I960" s="36"/>
      <c r="J960" s="27"/>
      <c r="K960" s="29"/>
      <c r="L960" s="29"/>
      <c r="M960" s="29"/>
      <c r="N960" s="29"/>
    </row>
    <row r="961" spans="2:14" x14ac:dyDescent="0.25">
      <c r="B961" s="27"/>
      <c r="C961" s="28"/>
      <c r="D961" s="28"/>
      <c r="E961" s="27"/>
      <c r="F961" s="27"/>
      <c r="G961" s="28"/>
      <c r="H961" s="28"/>
      <c r="I961" s="36"/>
      <c r="J961" s="27"/>
      <c r="K961" s="29"/>
      <c r="L961" s="29"/>
      <c r="M961" s="29"/>
      <c r="N961" s="29"/>
    </row>
    <row r="962" spans="2:14" x14ac:dyDescent="0.25">
      <c r="B962" s="27"/>
      <c r="C962" s="28"/>
      <c r="D962" s="28"/>
      <c r="E962" s="27"/>
      <c r="F962" s="27"/>
      <c r="G962" s="28"/>
      <c r="H962" s="28"/>
      <c r="I962" s="36"/>
      <c r="J962" s="27"/>
      <c r="K962" s="29"/>
      <c r="L962" s="29"/>
      <c r="M962" s="29"/>
      <c r="N962" s="29"/>
    </row>
    <row r="963" spans="2:14" x14ac:dyDescent="0.25">
      <c r="B963" s="27"/>
      <c r="C963" s="28"/>
      <c r="D963" s="28"/>
      <c r="E963" s="27"/>
      <c r="F963" s="27"/>
      <c r="G963" s="28"/>
      <c r="H963" s="28"/>
      <c r="I963" s="36"/>
      <c r="J963" s="27"/>
      <c r="K963" s="29"/>
      <c r="L963" s="29"/>
      <c r="M963" s="29"/>
      <c r="N963" s="29"/>
    </row>
    <row r="964" spans="2:14" x14ac:dyDescent="0.25">
      <c r="B964" s="27"/>
      <c r="C964" s="28"/>
      <c r="D964" s="28"/>
      <c r="E964" s="27"/>
      <c r="F964" s="27"/>
      <c r="G964" s="28"/>
      <c r="H964" s="28"/>
      <c r="I964" s="36"/>
      <c r="J964" s="27"/>
      <c r="K964" s="29"/>
      <c r="L964" s="29"/>
      <c r="M964" s="29"/>
      <c r="N964" s="29"/>
    </row>
    <row r="965" spans="2:14" x14ac:dyDescent="0.25">
      <c r="B965" s="27"/>
      <c r="C965" s="28"/>
      <c r="D965" s="28"/>
      <c r="E965" s="27"/>
      <c r="F965" s="27"/>
      <c r="G965" s="28"/>
      <c r="H965" s="28"/>
      <c r="I965" s="36"/>
      <c r="J965" s="27"/>
      <c r="K965" s="29"/>
      <c r="L965" s="29"/>
      <c r="M965" s="29"/>
      <c r="N965" s="29"/>
    </row>
    <row r="966" spans="2:14" x14ac:dyDescent="0.25">
      <c r="B966" s="27"/>
      <c r="C966" s="28"/>
      <c r="D966" s="28"/>
      <c r="E966" s="27"/>
      <c r="F966" s="27"/>
      <c r="G966" s="28"/>
      <c r="H966" s="28"/>
      <c r="I966" s="36"/>
      <c r="J966" s="27"/>
      <c r="K966" s="29"/>
      <c r="L966" s="29"/>
      <c r="M966" s="29"/>
      <c r="N966" s="29"/>
    </row>
    <row r="967" spans="2:14" x14ac:dyDescent="0.25">
      <c r="B967" s="27"/>
      <c r="C967" s="28"/>
      <c r="D967" s="28"/>
      <c r="E967" s="27"/>
      <c r="F967" s="27"/>
      <c r="G967" s="28"/>
      <c r="H967" s="28"/>
      <c r="I967" s="36"/>
      <c r="J967" s="27"/>
      <c r="K967" s="29"/>
      <c r="L967" s="29"/>
      <c r="M967" s="29"/>
      <c r="N967" s="29"/>
    </row>
    <row r="968" spans="2:14" x14ac:dyDescent="0.25">
      <c r="B968" s="27"/>
      <c r="C968" s="28"/>
      <c r="D968" s="28"/>
      <c r="E968" s="27"/>
      <c r="F968" s="27"/>
      <c r="G968" s="28"/>
      <c r="H968" s="28"/>
      <c r="I968" s="36"/>
      <c r="J968" s="27"/>
      <c r="K968" s="29"/>
      <c r="L968" s="29"/>
      <c r="M968" s="29"/>
      <c r="N968" s="29"/>
    </row>
    <row r="969" spans="2:14" x14ac:dyDescent="0.25">
      <c r="B969" s="27"/>
      <c r="C969" s="28"/>
      <c r="D969" s="28"/>
      <c r="E969" s="27"/>
      <c r="F969" s="27"/>
      <c r="G969" s="28"/>
      <c r="H969" s="28"/>
      <c r="I969" s="36"/>
      <c r="J969" s="27"/>
      <c r="K969" s="29"/>
      <c r="L969" s="29"/>
      <c r="M969" s="29"/>
      <c r="N969" s="29"/>
    </row>
    <row r="970" spans="2:14" x14ac:dyDescent="0.25">
      <c r="B970" s="27"/>
      <c r="C970" s="28"/>
      <c r="D970" s="28"/>
      <c r="E970" s="27"/>
      <c r="F970" s="27"/>
      <c r="G970" s="28"/>
      <c r="H970" s="28"/>
      <c r="I970" s="36"/>
      <c r="J970" s="27"/>
      <c r="K970" s="29"/>
      <c r="L970" s="29"/>
      <c r="M970" s="29"/>
      <c r="N970" s="29"/>
    </row>
    <row r="971" spans="2:14" x14ac:dyDescent="0.25">
      <c r="B971" s="27"/>
      <c r="C971" s="28"/>
      <c r="D971" s="28"/>
      <c r="E971" s="27"/>
      <c r="F971" s="27"/>
      <c r="G971" s="28"/>
      <c r="H971" s="28"/>
      <c r="I971" s="36"/>
      <c r="J971" s="27"/>
      <c r="K971" s="29"/>
      <c r="L971" s="29"/>
      <c r="M971" s="29"/>
      <c r="N971" s="29"/>
    </row>
    <row r="972" spans="2:14" x14ac:dyDescent="0.25">
      <c r="B972" s="27"/>
      <c r="C972" s="28"/>
      <c r="D972" s="28"/>
      <c r="E972" s="27"/>
      <c r="F972" s="27"/>
      <c r="G972" s="28"/>
      <c r="H972" s="28"/>
      <c r="I972" s="36"/>
      <c r="J972" s="27"/>
      <c r="K972" s="29"/>
      <c r="L972" s="29"/>
      <c r="M972" s="29"/>
      <c r="N972" s="29"/>
    </row>
    <row r="973" spans="2:14" x14ac:dyDescent="0.25">
      <c r="B973" s="27"/>
      <c r="C973" s="28"/>
      <c r="D973" s="28"/>
      <c r="E973" s="27"/>
      <c r="F973" s="27"/>
      <c r="G973" s="28"/>
      <c r="H973" s="28"/>
      <c r="I973" s="36"/>
      <c r="J973" s="27"/>
      <c r="K973" s="29"/>
      <c r="L973" s="29"/>
      <c r="M973" s="29"/>
      <c r="N973" s="29"/>
    </row>
    <row r="974" spans="2:14" x14ac:dyDescent="0.25">
      <c r="B974" s="27"/>
      <c r="C974" s="28"/>
      <c r="D974" s="28"/>
      <c r="E974" s="27"/>
      <c r="F974" s="27"/>
      <c r="G974" s="28"/>
      <c r="H974" s="28"/>
      <c r="I974" s="36"/>
      <c r="J974" s="27"/>
      <c r="K974" s="29"/>
      <c r="L974" s="29"/>
      <c r="M974" s="29"/>
      <c r="N974" s="29"/>
    </row>
    <row r="975" spans="2:14" x14ac:dyDescent="0.25">
      <c r="B975" s="27"/>
      <c r="C975" s="28"/>
      <c r="D975" s="28"/>
      <c r="E975" s="27"/>
      <c r="F975" s="27"/>
      <c r="G975" s="28"/>
      <c r="H975" s="28"/>
      <c r="I975" s="36"/>
      <c r="J975" s="27"/>
      <c r="K975" s="29"/>
      <c r="L975" s="29"/>
      <c r="M975" s="29"/>
      <c r="N975" s="29"/>
    </row>
    <row r="976" spans="2:14" x14ac:dyDescent="0.25">
      <c r="B976" s="27"/>
      <c r="C976" s="28"/>
      <c r="D976" s="28"/>
      <c r="E976" s="27"/>
      <c r="F976" s="27"/>
      <c r="G976" s="28"/>
      <c r="H976" s="28"/>
      <c r="I976" s="36"/>
      <c r="J976" s="27"/>
      <c r="K976" s="29"/>
      <c r="L976" s="29"/>
      <c r="M976" s="29"/>
      <c r="N976" s="29"/>
    </row>
    <row r="977" spans="2:14" x14ac:dyDescent="0.25">
      <c r="B977" s="27"/>
      <c r="C977" s="28"/>
      <c r="D977" s="28"/>
      <c r="E977" s="27"/>
      <c r="F977" s="27"/>
      <c r="G977" s="28"/>
      <c r="H977" s="28"/>
      <c r="I977" s="36"/>
      <c r="J977" s="27"/>
      <c r="K977" s="29"/>
      <c r="L977" s="29"/>
      <c r="M977" s="29"/>
      <c r="N977" s="29"/>
    </row>
    <row r="978" spans="2:14" x14ac:dyDescent="0.25">
      <c r="B978" s="27"/>
      <c r="C978" s="28"/>
      <c r="D978" s="28"/>
      <c r="E978" s="27"/>
      <c r="F978" s="27"/>
      <c r="G978" s="28"/>
      <c r="H978" s="28"/>
      <c r="I978" s="36"/>
      <c r="J978" s="27"/>
      <c r="K978" s="29"/>
      <c r="L978" s="29"/>
      <c r="M978" s="29"/>
      <c r="N978" s="29"/>
    </row>
    <row r="979" spans="2:14" x14ac:dyDescent="0.25">
      <c r="B979" s="27"/>
      <c r="C979" s="28"/>
      <c r="D979" s="28"/>
      <c r="E979" s="27"/>
      <c r="F979" s="27"/>
      <c r="G979" s="28"/>
      <c r="H979" s="28"/>
      <c r="I979" s="36"/>
      <c r="J979" s="27"/>
      <c r="K979" s="29"/>
      <c r="L979" s="29"/>
      <c r="M979" s="29"/>
      <c r="N979" s="29"/>
    </row>
    <row r="980" spans="2:14" x14ac:dyDescent="0.25">
      <c r="B980" s="27"/>
      <c r="C980" s="28"/>
      <c r="D980" s="28"/>
      <c r="E980" s="27"/>
      <c r="F980" s="27"/>
      <c r="G980" s="28"/>
      <c r="H980" s="28"/>
      <c r="I980" s="36"/>
      <c r="J980" s="27"/>
      <c r="K980" s="29"/>
      <c r="L980" s="29"/>
      <c r="M980" s="29"/>
      <c r="N980" s="29"/>
    </row>
    <row r="981" spans="2:14" x14ac:dyDescent="0.25">
      <c r="B981" s="27"/>
      <c r="C981" s="28"/>
      <c r="D981" s="28"/>
      <c r="E981" s="27"/>
      <c r="F981" s="27"/>
      <c r="G981" s="28"/>
      <c r="H981" s="28"/>
      <c r="I981" s="36"/>
      <c r="J981" s="27"/>
      <c r="K981" s="29"/>
      <c r="L981" s="29"/>
      <c r="M981" s="29"/>
      <c r="N981" s="29"/>
    </row>
    <row r="982" spans="2:14" x14ac:dyDescent="0.25">
      <c r="B982" s="27"/>
      <c r="C982" s="28"/>
      <c r="D982" s="28"/>
      <c r="E982" s="27"/>
      <c r="F982" s="27"/>
      <c r="G982" s="28"/>
      <c r="H982" s="28"/>
      <c r="I982" s="36"/>
      <c r="J982" s="27"/>
      <c r="K982" s="29"/>
      <c r="L982" s="29"/>
      <c r="M982" s="29"/>
      <c r="N982" s="29"/>
    </row>
    <row r="983" spans="2:14" x14ac:dyDescent="0.25">
      <c r="B983" s="27"/>
      <c r="C983" s="28"/>
      <c r="D983" s="28"/>
      <c r="E983" s="27"/>
      <c r="F983" s="27"/>
      <c r="G983" s="28"/>
      <c r="H983" s="28"/>
      <c r="I983" s="36"/>
      <c r="J983" s="27"/>
      <c r="K983" s="29"/>
      <c r="L983" s="29"/>
      <c r="M983" s="29"/>
      <c r="N983" s="29"/>
    </row>
    <row r="984" spans="2:14" x14ac:dyDescent="0.25">
      <c r="B984" s="27"/>
      <c r="C984" s="28"/>
      <c r="D984" s="28"/>
      <c r="E984" s="27"/>
      <c r="F984" s="27"/>
      <c r="G984" s="28"/>
      <c r="H984" s="28"/>
      <c r="I984" s="36"/>
      <c r="J984" s="27"/>
      <c r="K984" s="29"/>
      <c r="L984" s="29"/>
      <c r="M984" s="29"/>
      <c r="N984" s="29"/>
    </row>
    <row r="985" spans="2:14" x14ac:dyDescent="0.25">
      <c r="B985" s="27"/>
      <c r="C985" s="28"/>
      <c r="D985" s="28"/>
      <c r="E985" s="27"/>
      <c r="F985" s="27"/>
      <c r="G985" s="28"/>
      <c r="H985" s="28"/>
      <c r="I985" s="36"/>
      <c r="J985" s="27"/>
      <c r="K985" s="29"/>
      <c r="L985" s="29"/>
      <c r="M985" s="29"/>
      <c r="N985" s="29"/>
    </row>
    <row r="986" spans="2:14" x14ac:dyDescent="0.25">
      <c r="B986" s="27"/>
      <c r="C986" s="28"/>
      <c r="D986" s="28"/>
      <c r="E986" s="27"/>
      <c r="F986" s="27"/>
      <c r="G986" s="28"/>
      <c r="H986" s="28"/>
      <c r="I986" s="36"/>
      <c r="J986" s="27"/>
      <c r="K986" s="29"/>
      <c r="L986" s="29"/>
      <c r="M986" s="29"/>
      <c r="N986" s="29"/>
    </row>
    <row r="987" spans="2:14" x14ac:dyDescent="0.25">
      <c r="B987" s="27"/>
      <c r="C987" s="28"/>
      <c r="D987" s="28"/>
      <c r="E987" s="27"/>
      <c r="F987" s="27"/>
      <c r="G987" s="28"/>
      <c r="H987" s="28"/>
      <c r="I987" s="36"/>
      <c r="J987" s="27"/>
      <c r="K987" s="29"/>
      <c r="L987" s="29"/>
      <c r="M987" s="29"/>
      <c r="N987" s="29"/>
    </row>
    <row r="988" spans="2:14" x14ac:dyDescent="0.25">
      <c r="B988" s="27"/>
      <c r="C988" s="28"/>
      <c r="D988" s="28"/>
      <c r="E988" s="27"/>
      <c r="F988" s="27"/>
      <c r="G988" s="28"/>
      <c r="H988" s="28"/>
      <c r="I988" s="36"/>
      <c r="J988" s="27"/>
      <c r="K988" s="29"/>
      <c r="L988" s="29"/>
      <c r="M988" s="29"/>
      <c r="N988" s="29"/>
    </row>
    <row r="989" spans="2:14" x14ac:dyDescent="0.25">
      <c r="B989" s="27"/>
      <c r="C989" s="28"/>
      <c r="D989" s="28"/>
      <c r="E989" s="27"/>
      <c r="F989" s="27"/>
      <c r="G989" s="28"/>
      <c r="H989" s="28"/>
      <c r="I989" s="36"/>
      <c r="J989" s="27"/>
      <c r="K989" s="29"/>
      <c r="L989" s="29"/>
      <c r="M989" s="29"/>
      <c r="N989" s="29"/>
    </row>
    <row r="990" spans="2:14" x14ac:dyDescent="0.25">
      <c r="B990" s="27"/>
      <c r="C990" s="28"/>
      <c r="D990" s="28"/>
      <c r="E990" s="27"/>
      <c r="F990" s="27"/>
      <c r="G990" s="28"/>
      <c r="H990" s="28"/>
      <c r="I990" s="36"/>
      <c r="J990" s="27"/>
      <c r="K990" s="29"/>
      <c r="L990" s="29"/>
      <c r="M990" s="29"/>
      <c r="N990" s="29"/>
    </row>
    <row r="991" spans="2:14" x14ac:dyDescent="0.25">
      <c r="B991" s="27"/>
      <c r="C991" s="28"/>
      <c r="D991" s="28"/>
      <c r="E991" s="27"/>
      <c r="F991" s="27"/>
      <c r="G991" s="28"/>
      <c r="H991" s="28"/>
      <c r="I991" s="36"/>
      <c r="J991" s="27"/>
      <c r="K991" s="29"/>
      <c r="L991" s="29"/>
      <c r="M991" s="29"/>
      <c r="N991" s="29"/>
    </row>
    <row r="992" spans="2:14" x14ac:dyDescent="0.25">
      <c r="B992" s="27"/>
      <c r="C992" s="28"/>
      <c r="D992" s="28"/>
      <c r="E992" s="27"/>
      <c r="F992" s="27"/>
      <c r="G992" s="28"/>
      <c r="H992" s="28"/>
      <c r="I992" s="36"/>
      <c r="J992" s="27"/>
      <c r="K992" s="29"/>
      <c r="L992" s="29"/>
      <c r="M992" s="29"/>
      <c r="N992" s="29"/>
    </row>
    <row r="993" spans="2:14" x14ac:dyDescent="0.25">
      <c r="B993" s="27"/>
      <c r="C993" s="28"/>
      <c r="D993" s="28"/>
      <c r="E993" s="27"/>
      <c r="F993" s="27"/>
      <c r="G993" s="28"/>
      <c r="H993" s="28"/>
      <c r="I993" s="36"/>
      <c r="J993" s="27"/>
      <c r="K993" s="29"/>
      <c r="L993" s="29"/>
      <c r="M993" s="29"/>
      <c r="N993" s="29"/>
    </row>
    <row r="994" spans="2:14" x14ac:dyDescent="0.25">
      <c r="B994" s="27"/>
      <c r="C994" s="28"/>
      <c r="D994" s="28"/>
      <c r="E994" s="27"/>
      <c r="F994" s="27"/>
      <c r="G994" s="28"/>
      <c r="H994" s="28"/>
      <c r="I994" s="36"/>
      <c r="J994" s="27"/>
      <c r="K994" s="29"/>
      <c r="L994" s="29"/>
      <c r="M994" s="29"/>
      <c r="N994" s="29"/>
    </row>
    <row r="995" spans="2:14" x14ac:dyDescent="0.25">
      <c r="B995" s="27"/>
      <c r="C995" s="28"/>
      <c r="D995" s="28"/>
      <c r="E995" s="27"/>
      <c r="F995" s="27"/>
      <c r="G995" s="28"/>
      <c r="H995" s="28"/>
      <c r="I995" s="36"/>
      <c r="J995" s="27"/>
      <c r="K995" s="29"/>
      <c r="L995" s="29"/>
      <c r="M995" s="29"/>
      <c r="N995" s="29"/>
    </row>
    <row r="996" spans="2:14" x14ac:dyDescent="0.25">
      <c r="B996" s="27"/>
      <c r="C996" s="28"/>
      <c r="D996" s="28"/>
      <c r="E996" s="27"/>
      <c r="F996" s="27"/>
      <c r="G996" s="28"/>
      <c r="H996" s="28"/>
      <c r="I996" s="36"/>
      <c r="J996" s="27"/>
      <c r="K996" s="29"/>
      <c r="L996" s="29"/>
      <c r="M996" s="29"/>
      <c r="N996" s="29"/>
    </row>
    <row r="997" spans="2:14" x14ac:dyDescent="0.25">
      <c r="B997" s="27"/>
      <c r="C997" s="28"/>
      <c r="D997" s="28"/>
      <c r="E997" s="27"/>
      <c r="F997" s="27"/>
      <c r="G997" s="28"/>
      <c r="H997" s="28"/>
      <c r="I997" s="36"/>
      <c r="J997" s="27"/>
      <c r="K997" s="29"/>
      <c r="L997" s="29"/>
      <c r="M997" s="29"/>
      <c r="N997" s="29"/>
    </row>
    <row r="998" spans="2:14" x14ac:dyDescent="0.25">
      <c r="B998" s="27"/>
      <c r="C998" s="28"/>
      <c r="D998" s="28"/>
      <c r="E998" s="27"/>
      <c r="F998" s="27"/>
      <c r="G998" s="28"/>
      <c r="H998" s="28"/>
      <c r="I998" s="36"/>
      <c r="J998" s="27"/>
      <c r="K998" s="29"/>
      <c r="L998" s="29"/>
      <c r="M998" s="29"/>
      <c r="N998" s="29"/>
    </row>
    <row r="999" spans="2:14" x14ac:dyDescent="0.25">
      <c r="B999" s="27"/>
      <c r="C999" s="28"/>
      <c r="D999" s="28"/>
      <c r="E999" s="27"/>
      <c r="F999" s="27"/>
      <c r="G999" s="28"/>
      <c r="H999" s="28"/>
      <c r="I999" s="36"/>
      <c r="J999" s="27"/>
      <c r="K999" s="29"/>
      <c r="L999" s="29"/>
      <c r="M999" s="29"/>
      <c r="N999" s="29"/>
    </row>
    <row r="1000" spans="2:14" x14ac:dyDescent="0.25">
      <c r="B1000" s="27"/>
      <c r="C1000" s="28"/>
      <c r="D1000" s="28"/>
      <c r="E1000" s="27"/>
      <c r="F1000" s="27"/>
      <c r="G1000" s="28"/>
      <c r="H1000" s="28"/>
      <c r="I1000" s="36"/>
      <c r="J1000" s="27"/>
      <c r="K1000" s="29"/>
      <c r="L1000" s="29"/>
      <c r="M1000" s="29"/>
      <c r="N1000" s="29"/>
    </row>
    <row r="1001" spans="2:14" x14ac:dyDescent="0.25">
      <c r="B1001" s="27"/>
      <c r="C1001" s="28"/>
      <c r="D1001" s="28"/>
      <c r="E1001" s="27"/>
      <c r="F1001" s="27"/>
      <c r="G1001" s="28"/>
      <c r="H1001" s="28"/>
      <c r="I1001" s="36"/>
      <c r="J1001" s="27"/>
      <c r="K1001" s="29"/>
      <c r="L1001" s="29"/>
      <c r="M1001" s="29"/>
      <c r="N1001" s="29"/>
    </row>
    <row r="1002" spans="2:14" x14ac:dyDescent="0.25">
      <c r="B1002" s="27"/>
      <c r="C1002" s="28"/>
      <c r="D1002" s="28"/>
      <c r="E1002" s="27"/>
      <c r="F1002" s="27"/>
      <c r="G1002" s="28"/>
      <c r="H1002" s="28"/>
      <c r="I1002" s="36"/>
      <c r="J1002" s="27"/>
      <c r="K1002" s="29"/>
      <c r="L1002" s="29"/>
      <c r="M1002" s="29"/>
      <c r="N1002" s="29"/>
    </row>
    <row r="1003" spans="2:14" x14ac:dyDescent="0.25">
      <c r="B1003" s="27"/>
      <c r="C1003" s="28"/>
      <c r="D1003" s="28"/>
      <c r="E1003" s="27"/>
      <c r="F1003" s="27"/>
      <c r="G1003" s="28"/>
      <c r="H1003" s="28"/>
      <c r="I1003" s="36"/>
      <c r="J1003" s="27"/>
      <c r="K1003" s="29"/>
      <c r="L1003" s="29"/>
      <c r="M1003" s="29"/>
      <c r="N1003" s="29"/>
    </row>
    <row r="1004" spans="2:14" x14ac:dyDescent="0.25">
      <c r="B1004" s="27"/>
      <c r="C1004" s="28"/>
      <c r="D1004" s="28"/>
      <c r="E1004" s="27"/>
      <c r="F1004" s="27"/>
      <c r="G1004" s="28"/>
      <c r="H1004" s="28"/>
      <c r="I1004" s="36"/>
      <c r="J1004" s="27"/>
      <c r="K1004" s="29"/>
      <c r="L1004" s="29"/>
      <c r="M1004" s="29"/>
      <c r="N1004" s="29"/>
    </row>
    <row r="1005" spans="2:14" x14ac:dyDescent="0.25">
      <c r="B1005" s="27"/>
      <c r="C1005" s="28"/>
      <c r="D1005" s="28"/>
      <c r="E1005" s="27"/>
      <c r="F1005" s="27"/>
      <c r="G1005" s="28"/>
      <c r="H1005" s="28"/>
      <c r="I1005" s="36"/>
      <c r="J1005" s="27"/>
      <c r="K1005" s="29"/>
      <c r="L1005" s="29"/>
      <c r="M1005" s="29"/>
      <c r="N1005" s="29"/>
    </row>
    <row r="1006" spans="2:14" x14ac:dyDescent="0.25">
      <c r="B1006" s="27"/>
      <c r="C1006" s="28"/>
      <c r="D1006" s="28"/>
      <c r="E1006" s="27"/>
      <c r="F1006" s="27"/>
      <c r="G1006" s="28"/>
      <c r="H1006" s="28"/>
      <c r="I1006" s="36"/>
      <c r="J1006" s="27"/>
      <c r="K1006" s="29"/>
      <c r="L1006" s="29"/>
      <c r="M1006" s="29"/>
      <c r="N1006" s="29"/>
    </row>
    <row r="1007" spans="2:14" x14ac:dyDescent="0.25">
      <c r="B1007" s="27"/>
      <c r="C1007" s="28"/>
      <c r="D1007" s="28"/>
      <c r="E1007" s="27"/>
      <c r="F1007" s="27"/>
      <c r="G1007" s="28"/>
      <c r="H1007" s="28"/>
      <c r="I1007" s="36"/>
      <c r="J1007" s="27"/>
      <c r="K1007" s="29"/>
      <c r="L1007" s="29"/>
      <c r="M1007" s="29"/>
      <c r="N1007" s="29"/>
    </row>
    <row r="1008" spans="2:14" x14ac:dyDescent="0.25">
      <c r="B1008" s="27"/>
      <c r="C1008" s="28"/>
      <c r="D1008" s="28"/>
      <c r="E1008" s="27"/>
      <c r="F1008" s="27"/>
      <c r="G1008" s="28"/>
      <c r="H1008" s="28"/>
      <c r="I1008" s="36"/>
      <c r="J1008" s="27"/>
      <c r="K1008" s="29"/>
      <c r="L1008" s="29"/>
      <c r="M1008" s="29"/>
      <c r="N1008" s="29"/>
    </row>
    <row r="1009" spans="2:14" x14ac:dyDescent="0.25">
      <c r="B1009" s="27"/>
      <c r="C1009" s="28"/>
      <c r="D1009" s="28"/>
      <c r="E1009" s="27"/>
      <c r="F1009" s="27"/>
      <c r="G1009" s="28"/>
      <c r="H1009" s="28"/>
      <c r="I1009" s="36"/>
      <c r="J1009" s="27"/>
      <c r="K1009" s="29"/>
      <c r="L1009" s="29"/>
      <c r="M1009" s="29"/>
      <c r="N1009" s="29"/>
    </row>
    <row r="1010" spans="2:14" x14ac:dyDescent="0.25">
      <c r="B1010" s="27"/>
      <c r="C1010" s="28"/>
      <c r="D1010" s="28"/>
      <c r="E1010" s="27"/>
      <c r="F1010" s="27"/>
      <c r="G1010" s="28"/>
      <c r="H1010" s="28"/>
      <c r="I1010" s="36"/>
      <c r="J1010" s="27"/>
      <c r="K1010" s="29"/>
      <c r="L1010" s="29"/>
      <c r="M1010" s="29"/>
      <c r="N1010" s="29"/>
    </row>
    <row r="1011" spans="2:14" x14ac:dyDescent="0.25">
      <c r="B1011" s="27"/>
      <c r="C1011" s="28"/>
      <c r="D1011" s="28"/>
      <c r="E1011" s="27"/>
      <c r="F1011" s="27"/>
      <c r="G1011" s="28"/>
      <c r="H1011" s="28"/>
      <c r="I1011" s="36"/>
      <c r="J1011" s="27"/>
      <c r="K1011" s="29"/>
      <c r="L1011" s="29"/>
      <c r="M1011" s="29"/>
      <c r="N1011" s="29"/>
    </row>
    <row r="1012" spans="2:14" x14ac:dyDescent="0.25">
      <c r="B1012" s="27"/>
      <c r="C1012" s="28"/>
      <c r="D1012" s="28"/>
      <c r="E1012" s="27"/>
      <c r="F1012" s="27"/>
      <c r="G1012" s="28"/>
      <c r="H1012" s="28"/>
      <c r="I1012" s="36"/>
      <c r="J1012" s="27"/>
      <c r="K1012" s="29"/>
      <c r="L1012" s="29"/>
      <c r="M1012" s="29"/>
      <c r="N1012" s="29"/>
    </row>
    <row r="1013" spans="2:14" x14ac:dyDescent="0.25">
      <c r="B1013" s="27"/>
      <c r="C1013" s="28"/>
      <c r="D1013" s="28"/>
      <c r="E1013" s="27"/>
      <c r="F1013" s="27"/>
      <c r="G1013" s="28"/>
      <c r="H1013" s="28"/>
      <c r="I1013" s="36"/>
      <c r="J1013" s="27"/>
      <c r="K1013" s="29"/>
      <c r="L1013" s="29"/>
      <c r="M1013" s="29"/>
      <c r="N1013" s="29"/>
    </row>
    <row r="1014" spans="2:14" x14ac:dyDescent="0.25">
      <c r="B1014" s="27"/>
      <c r="C1014" s="28"/>
      <c r="D1014" s="28"/>
      <c r="E1014" s="27"/>
      <c r="F1014" s="27"/>
      <c r="G1014" s="28"/>
      <c r="H1014" s="28"/>
      <c r="I1014" s="36"/>
      <c r="J1014" s="27"/>
      <c r="K1014" s="29"/>
      <c r="L1014" s="29"/>
      <c r="M1014" s="29"/>
      <c r="N1014" s="29"/>
    </row>
    <row r="1015" spans="2:14" x14ac:dyDescent="0.25">
      <c r="B1015" s="27"/>
      <c r="C1015" s="28"/>
      <c r="D1015" s="28"/>
      <c r="E1015" s="27"/>
      <c r="F1015" s="27"/>
      <c r="G1015" s="28"/>
      <c r="H1015" s="28"/>
      <c r="I1015" s="36"/>
      <c r="J1015" s="27"/>
      <c r="K1015" s="29"/>
      <c r="L1015" s="29"/>
      <c r="M1015" s="29"/>
      <c r="N1015" s="29"/>
    </row>
    <row r="1016" spans="2:14" x14ac:dyDescent="0.25">
      <c r="B1016" s="27"/>
      <c r="C1016" s="28"/>
      <c r="D1016" s="28"/>
      <c r="E1016" s="27"/>
      <c r="F1016" s="27"/>
      <c r="G1016" s="28"/>
      <c r="H1016" s="28"/>
      <c r="I1016" s="36"/>
      <c r="J1016" s="27"/>
      <c r="K1016" s="29"/>
      <c r="L1016" s="29"/>
      <c r="M1016" s="29"/>
      <c r="N1016" s="29"/>
    </row>
    <row r="1017" spans="2:14" x14ac:dyDescent="0.25">
      <c r="B1017" s="27"/>
      <c r="C1017" s="28"/>
      <c r="D1017" s="28"/>
      <c r="E1017" s="27"/>
      <c r="F1017" s="27"/>
      <c r="G1017" s="28"/>
      <c r="H1017" s="28"/>
      <c r="I1017" s="36"/>
      <c r="J1017" s="27"/>
      <c r="K1017" s="29"/>
      <c r="L1017" s="29"/>
      <c r="M1017" s="29"/>
      <c r="N1017" s="29"/>
    </row>
    <row r="1018" spans="2:14" x14ac:dyDescent="0.25">
      <c r="B1018" s="27"/>
      <c r="C1018" s="28"/>
      <c r="D1018" s="28"/>
      <c r="E1018" s="27"/>
      <c r="F1018" s="27"/>
      <c r="G1018" s="28"/>
      <c r="H1018" s="28"/>
      <c r="I1018" s="36"/>
      <c r="J1018" s="27"/>
      <c r="K1018" s="29"/>
      <c r="L1018" s="29"/>
      <c r="M1018" s="29"/>
      <c r="N1018" s="29"/>
    </row>
    <row r="1019" spans="2:14" x14ac:dyDescent="0.25">
      <c r="B1019" s="27"/>
      <c r="C1019" s="28"/>
      <c r="D1019" s="28"/>
      <c r="E1019" s="27"/>
      <c r="F1019" s="27"/>
      <c r="G1019" s="28"/>
      <c r="H1019" s="28"/>
      <c r="I1019" s="36"/>
      <c r="J1019" s="27"/>
      <c r="K1019" s="29"/>
      <c r="L1019" s="29"/>
      <c r="M1019" s="29"/>
      <c r="N1019" s="29"/>
    </row>
    <row r="1020" spans="2:14" x14ac:dyDescent="0.25">
      <c r="B1020" s="27"/>
      <c r="C1020" s="28"/>
      <c r="D1020" s="28"/>
      <c r="E1020" s="27"/>
      <c r="F1020" s="27"/>
      <c r="G1020" s="28"/>
      <c r="H1020" s="28"/>
      <c r="I1020" s="36"/>
      <c r="J1020" s="27"/>
      <c r="K1020" s="29"/>
      <c r="L1020" s="29"/>
      <c r="M1020" s="29"/>
      <c r="N1020" s="29"/>
    </row>
    <row r="1021" spans="2:14" x14ac:dyDescent="0.25">
      <c r="B1021" s="27"/>
      <c r="C1021" s="28"/>
      <c r="D1021" s="28"/>
      <c r="E1021" s="27"/>
      <c r="F1021" s="27"/>
      <c r="G1021" s="28"/>
      <c r="H1021" s="28"/>
      <c r="I1021" s="36"/>
      <c r="J1021" s="27"/>
      <c r="K1021" s="29"/>
      <c r="L1021" s="29"/>
      <c r="M1021" s="29"/>
      <c r="N1021" s="29"/>
    </row>
    <row r="1022" spans="2:14" x14ac:dyDescent="0.25">
      <c r="B1022" s="27"/>
      <c r="C1022" s="28"/>
      <c r="D1022" s="28"/>
      <c r="E1022" s="27"/>
      <c r="F1022" s="27"/>
      <c r="G1022" s="28"/>
      <c r="H1022" s="28"/>
      <c r="I1022" s="36"/>
      <c r="J1022" s="27"/>
      <c r="K1022" s="29"/>
      <c r="L1022" s="29"/>
      <c r="M1022" s="29"/>
      <c r="N1022" s="29"/>
    </row>
    <row r="1023" spans="2:14" x14ac:dyDescent="0.25">
      <c r="B1023" s="27"/>
      <c r="C1023" s="28"/>
      <c r="D1023" s="28"/>
      <c r="E1023" s="27"/>
      <c r="F1023" s="27"/>
      <c r="G1023" s="28"/>
      <c r="H1023" s="28"/>
      <c r="I1023" s="36"/>
      <c r="J1023" s="27"/>
      <c r="K1023" s="29"/>
      <c r="L1023" s="29"/>
      <c r="M1023" s="29"/>
      <c r="N1023" s="29"/>
    </row>
    <row r="1024" spans="2:14" x14ac:dyDescent="0.25">
      <c r="B1024" s="27"/>
      <c r="C1024" s="28"/>
      <c r="D1024" s="28"/>
      <c r="E1024" s="27"/>
      <c r="F1024" s="27"/>
      <c r="G1024" s="28"/>
      <c r="H1024" s="28"/>
      <c r="I1024" s="36"/>
      <c r="J1024" s="27"/>
      <c r="K1024" s="29"/>
      <c r="L1024" s="29"/>
      <c r="M1024" s="29"/>
      <c r="N1024" s="29"/>
    </row>
    <row r="1025" spans="2:14" x14ac:dyDescent="0.25">
      <c r="B1025" s="27"/>
      <c r="C1025" s="28"/>
      <c r="D1025" s="28"/>
      <c r="E1025" s="27"/>
      <c r="F1025" s="27"/>
      <c r="G1025" s="28"/>
      <c r="H1025" s="28"/>
      <c r="I1025" s="36"/>
      <c r="J1025" s="27"/>
      <c r="K1025" s="29"/>
      <c r="L1025" s="29"/>
      <c r="M1025" s="29"/>
      <c r="N1025" s="29"/>
    </row>
    <row r="1026" spans="2:14" x14ac:dyDescent="0.25">
      <c r="B1026" s="27"/>
      <c r="C1026" s="28"/>
      <c r="D1026" s="28"/>
      <c r="E1026" s="27"/>
      <c r="F1026" s="27"/>
      <c r="G1026" s="28"/>
      <c r="H1026" s="28"/>
      <c r="I1026" s="36"/>
      <c r="J1026" s="27"/>
      <c r="K1026" s="29"/>
      <c r="L1026" s="29"/>
      <c r="M1026" s="29"/>
      <c r="N1026" s="29"/>
    </row>
    <row r="1027" spans="2:14" x14ac:dyDescent="0.25">
      <c r="B1027" s="27"/>
      <c r="C1027" s="28"/>
      <c r="D1027" s="28"/>
      <c r="E1027" s="27"/>
      <c r="F1027" s="27"/>
      <c r="G1027" s="28"/>
      <c r="H1027" s="28"/>
      <c r="I1027" s="36"/>
      <c r="J1027" s="27"/>
      <c r="K1027" s="29"/>
      <c r="L1027" s="29"/>
      <c r="M1027" s="29"/>
      <c r="N1027" s="29"/>
    </row>
    <row r="1028" spans="2:14" x14ac:dyDescent="0.25">
      <c r="B1028" s="27"/>
      <c r="C1028" s="28"/>
      <c r="D1028" s="28"/>
      <c r="E1028" s="27"/>
      <c r="F1028" s="27"/>
      <c r="G1028" s="28"/>
      <c r="H1028" s="28"/>
      <c r="I1028" s="36"/>
      <c r="J1028" s="27"/>
      <c r="K1028" s="29"/>
      <c r="L1028" s="29"/>
      <c r="M1028" s="29"/>
      <c r="N1028" s="29"/>
    </row>
    <row r="1029" spans="2:14" x14ac:dyDescent="0.25">
      <c r="B1029" s="27"/>
      <c r="C1029" s="28"/>
      <c r="D1029" s="28"/>
      <c r="E1029" s="27"/>
      <c r="F1029" s="27"/>
      <c r="G1029" s="28"/>
      <c r="H1029" s="28"/>
      <c r="I1029" s="36"/>
      <c r="J1029" s="27"/>
      <c r="K1029" s="29"/>
      <c r="L1029" s="29"/>
      <c r="M1029" s="29"/>
      <c r="N1029" s="29"/>
    </row>
    <row r="1030" spans="2:14" x14ac:dyDescent="0.25">
      <c r="B1030" s="27"/>
      <c r="C1030" s="28"/>
      <c r="D1030" s="28"/>
      <c r="E1030" s="27"/>
      <c r="F1030" s="27"/>
      <c r="G1030" s="28"/>
      <c r="H1030" s="28"/>
      <c r="I1030" s="36"/>
      <c r="J1030" s="27"/>
      <c r="K1030" s="29"/>
      <c r="L1030" s="29"/>
      <c r="M1030" s="29"/>
      <c r="N1030" s="29"/>
    </row>
    <row r="1031" spans="2:14" x14ac:dyDescent="0.25">
      <c r="B1031" s="27"/>
      <c r="C1031" s="28"/>
      <c r="D1031" s="28"/>
      <c r="E1031" s="27"/>
      <c r="F1031" s="27"/>
      <c r="G1031" s="28"/>
      <c r="H1031" s="28"/>
      <c r="I1031" s="36"/>
      <c r="J1031" s="27"/>
      <c r="K1031" s="29"/>
      <c r="L1031" s="29"/>
      <c r="M1031" s="29"/>
      <c r="N1031" s="29"/>
    </row>
    <row r="1032" spans="2:14" x14ac:dyDescent="0.25">
      <c r="B1032" s="27"/>
      <c r="C1032" s="28"/>
      <c r="D1032" s="28"/>
      <c r="E1032" s="27"/>
      <c r="F1032" s="27"/>
      <c r="G1032" s="28"/>
      <c r="H1032" s="28"/>
      <c r="I1032" s="36"/>
      <c r="J1032" s="27"/>
      <c r="K1032" s="29"/>
      <c r="L1032" s="29"/>
      <c r="M1032" s="29"/>
      <c r="N1032" s="29"/>
    </row>
    <row r="1033" spans="2:14" x14ac:dyDescent="0.25">
      <c r="B1033" s="27"/>
      <c r="C1033" s="28"/>
      <c r="D1033" s="28"/>
      <c r="E1033" s="27"/>
      <c r="F1033" s="27"/>
      <c r="G1033" s="28"/>
      <c r="H1033" s="28"/>
      <c r="I1033" s="36"/>
      <c r="J1033" s="27"/>
      <c r="K1033" s="29"/>
      <c r="L1033" s="29"/>
      <c r="M1033" s="29"/>
      <c r="N1033" s="29"/>
    </row>
    <row r="1034" spans="2:14" x14ac:dyDescent="0.25">
      <c r="B1034" s="27"/>
      <c r="C1034" s="28"/>
      <c r="D1034" s="28"/>
      <c r="E1034" s="27"/>
      <c r="F1034" s="27"/>
      <c r="G1034" s="28"/>
      <c r="H1034" s="28"/>
      <c r="I1034" s="36"/>
      <c r="J1034" s="27"/>
      <c r="K1034" s="29"/>
      <c r="L1034" s="29"/>
      <c r="M1034" s="29"/>
      <c r="N1034" s="29"/>
    </row>
    <row r="1035" spans="2:14" x14ac:dyDescent="0.25">
      <c r="B1035" s="27"/>
      <c r="C1035" s="28"/>
      <c r="D1035" s="28"/>
      <c r="E1035" s="27"/>
      <c r="F1035" s="27"/>
      <c r="G1035" s="28"/>
      <c r="H1035" s="28"/>
      <c r="I1035" s="36"/>
      <c r="J1035" s="27"/>
      <c r="K1035" s="29"/>
      <c r="L1035" s="29"/>
      <c r="M1035" s="29"/>
      <c r="N1035" s="29"/>
    </row>
    <row r="1036" spans="2:14" x14ac:dyDescent="0.25">
      <c r="B1036" s="27"/>
      <c r="C1036" s="28"/>
      <c r="D1036" s="28"/>
      <c r="E1036" s="27"/>
      <c r="F1036" s="27"/>
      <c r="G1036" s="28"/>
      <c r="H1036" s="28"/>
      <c r="I1036" s="36"/>
      <c r="J1036" s="27"/>
      <c r="K1036" s="29"/>
      <c r="L1036" s="29"/>
      <c r="M1036" s="29"/>
      <c r="N1036" s="29"/>
    </row>
    <row r="1037" spans="2:14" x14ac:dyDescent="0.25">
      <c r="B1037" s="27"/>
      <c r="C1037" s="28"/>
      <c r="D1037" s="28"/>
      <c r="E1037" s="27"/>
      <c r="F1037" s="27"/>
      <c r="G1037" s="28"/>
      <c r="H1037" s="28"/>
      <c r="I1037" s="36"/>
      <c r="J1037" s="27"/>
      <c r="K1037" s="29"/>
      <c r="L1037" s="29"/>
      <c r="M1037" s="29"/>
      <c r="N1037" s="29"/>
    </row>
    <row r="1038" spans="2:14" x14ac:dyDescent="0.25">
      <c r="B1038" s="27"/>
      <c r="C1038" s="28"/>
      <c r="D1038" s="28"/>
      <c r="E1038" s="27"/>
      <c r="F1038" s="27"/>
      <c r="G1038" s="28"/>
      <c r="H1038" s="28"/>
      <c r="I1038" s="36"/>
      <c r="J1038" s="27"/>
      <c r="K1038" s="29"/>
      <c r="L1038" s="29"/>
      <c r="M1038" s="29"/>
      <c r="N1038" s="29"/>
    </row>
    <row r="1039" spans="2:14" x14ac:dyDescent="0.25">
      <c r="B1039" s="27"/>
      <c r="C1039" s="28"/>
      <c r="D1039" s="28"/>
      <c r="E1039" s="27"/>
      <c r="F1039" s="27"/>
      <c r="G1039" s="28"/>
      <c r="H1039" s="28"/>
      <c r="I1039" s="36"/>
      <c r="J1039" s="27"/>
      <c r="K1039" s="29"/>
      <c r="L1039" s="29"/>
      <c r="M1039" s="29"/>
      <c r="N1039" s="29"/>
    </row>
    <row r="1040" spans="2:14" x14ac:dyDescent="0.25">
      <c r="B1040" s="27"/>
      <c r="C1040" s="28"/>
      <c r="D1040" s="28"/>
      <c r="E1040" s="27"/>
      <c r="F1040" s="27"/>
      <c r="G1040" s="28"/>
      <c r="H1040" s="28"/>
      <c r="I1040" s="36"/>
      <c r="J1040" s="27"/>
      <c r="K1040" s="29"/>
      <c r="L1040" s="29"/>
      <c r="M1040" s="29"/>
      <c r="N1040" s="29"/>
    </row>
    <row r="1041" spans="2:14" x14ac:dyDescent="0.25">
      <c r="B1041" s="27"/>
      <c r="C1041" s="28"/>
      <c r="D1041" s="28"/>
      <c r="E1041" s="27"/>
      <c r="F1041" s="27"/>
      <c r="G1041" s="28"/>
      <c r="H1041" s="28"/>
      <c r="I1041" s="36"/>
      <c r="J1041" s="27"/>
      <c r="K1041" s="29"/>
      <c r="L1041" s="29"/>
      <c r="M1041" s="29"/>
      <c r="N1041" s="29"/>
    </row>
    <row r="1042" spans="2:14" x14ac:dyDescent="0.25">
      <c r="B1042" s="27"/>
      <c r="C1042" s="28"/>
      <c r="D1042" s="28"/>
      <c r="E1042" s="27"/>
      <c r="F1042" s="27"/>
      <c r="G1042" s="28"/>
      <c r="H1042" s="28"/>
      <c r="I1042" s="36"/>
      <c r="J1042" s="27"/>
      <c r="K1042" s="29"/>
      <c r="L1042" s="29"/>
      <c r="M1042" s="29"/>
      <c r="N1042" s="29"/>
    </row>
    <row r="1043" spans="2:14" x14ac:dyDescent="0.25">
      <c r="B1043" s="27"/>
      <c r="C1043" s="28"/>
      <c r="D1043" s="28"/>
      <c r="E1043" s="27"/>
      <c r="F1043" s="27"/>
      <c r="G1043" s="28"/>
      <c r="H1043" s="28"/>
      <c r="I1043" s="36"/>
      <c r="J1043" s="27"/>
      <c r="K1043" s="29"/>
      <c r="L1043" s="29"/>
      <c r="M1043" s="29"/>
      <c r="N1043" s="29"/>
    </row>
    <row r="1044" spans="2:14" x14ac:dyDescent="0.25">
      <c r="B1044" s="27"/>
      <c r="C1044" s="28"/>
      <c r="D1044" s="28"/>
      <c r="E1044" s="27"/>
      <c r="F1044" s="27"/>
      <c r="G1044" s="28"/>
      <c r="H1044" s="28"/>
      <c r="I1044" s="36"/>
      <c r="J1044" s="27"/>
      <c r="K1044" s="29"/>
      <c r="L1044" s="29"/>
      <c r="M1044" s="29"/>
      <c r="N1044" s="29"/>
    </row>
    <row r="1045" spans="2:14" x14ac:dyDescent="0.25">
      <c r="B1045" s="27"/>
      <c r="C1045" s="28"/>
      <c r="D1045" s="28"/>
      <c r="E1045" s="27"/>
      <c r="F1045" s="27"/>
      <c r="G1045" s="28"/>
      <c r="H1045" s="28"/>
      <c r="I1045" s="36"/>
      <c r="J1045" s="27"/>
      <c r="K1045" s="29"/>
      <c r="L1045" s="29"/>
      <c r="M1045" s="29"/>
      <c r="N1045" s="29"/>
    </row>
    <row r="1046" spans="2:14" x14ac:dyDescent="0.25">
      <c r="B1046" s="27"/>
      <c r="C1046" s="28"/>
      <c r="D1046" s="28"/>
      <c r="E1046" s="27"/>
      <c r="F1046" s="27"/>
      <c r="G1046" s="28"/>
      <c r="H1046" s="28"/>
      <c r="I1046" s="36"/>
      <c r="J1046" s="27"/>
      <c r="K1046" s="29"/>
      <c r="L1046" s="29"/>
      <c r="M1046" s="29"/>
      <c r="N1046" s="29"/>
    </row>
    <row r="1047" spans="2:14" x14ac:dyDescent="0.25">
      <c r="B1047" s="27"/>
      <c r="C1047" s="28"/>
      <c r="D1047" s="28"/>
      <c r="E1047" s="27"/>
      <c r="F1047" s="27"/>
      <c r="G1047" s="28"/>
      <c r="H1047" s="28"/>
      <c r="I1047" s="36"/>
      <c r="J1047" s="27"/>
      <c r="K1047" s="29"/>
      <c r="L1047" s="29"/>
      <c r="M1047" s="29"/>
      <c r="N1047" s="29"/>
    </row>
    <row r="1048" spans="2:14" x14ac:dyDescent="0.25">
      <c r="B1048" s="27"/>
      <c r="C1048" s="28"/>
      <c r="D1048" s="28"/>
      <c r="E1048" s="27"/>
      <c r="F1048" s="27"/>
      <c r="G1048" s="28"/>
      <c r="H1048" s="28"/>
      <c r="I1048" s="36"/>
      <c r="J1048" s="27"/>
      <c r="K1048" s="29"/>
      <c r="L1048" s="29"/>
      <c r="M1048" s="29"/>
      <c r="N1048" s="29"/>
    </row>
    <row r="1049" spans="2:14" x14ac:dyDescent="0.25">
      <c r="B1049" s="27"/>
      <c r="C1049" s="28"/>
      <c r="D1049" s="28"/>
      <c r="E1049" s="27"/>
      <c r="F1049" s="27"/>
      <c r="G1049" s="28"/>
      <c r="H1049" s="28"/>
      <c r="I1049" s="36"/>
      <c r="J1049" s="27"/>
      <c r="K1049" s="29"/>
      <c r="L1049" s="29"/>
      <c r="M1049" s="29"/>
      <c r="N1049" s="29"/>
    </row>
    <row r="1050" spans="2:14" x14ac:dyDescent="0.25">
      <c r="B1050" s="27"/>
      <c r="C1050" s="28"/>
      <c r="D1050" s="28"/>
      <c r="E1050" s="27"/>
      <c r="F1050" s="27"/>
      <c r="G1050" s="28"/>
      <c r="H1050" s="28"/>
      <c r="I1050" s="36"/>
      <c r="J1050" s="27"/>
      <c r="K1050" s="29"/>
      <c r="L1050" s="29"/>
      <c r="M1050" s="29"/>
      <c r="N1050" s="29"/>
    </row>
    <row r="1051" spans="2:14" x14ac:dyDescent="0.25">
      <c r="B1051" s="27"/>
      <c r="C1051" s="28"/>
      <c r="D1051" s="28"/>
      <c r="E1051" s="27"/>
      <c r="F1051" s="27"/>
      <c r="G1051" s="28"/>
      <c r="H1051" s="28"/>
      <c r="I1051" s="36"/>
      <c r="J1051" s="27"/>
      <c r="K1051" s="29"/>
      <c r="L1051" s="29"/>
      <c r="M1051" s="29"/>
      <c r="N1051" s="29"/>
    </row>
    <row r="1052" spans="2:14" x14ac:dyDescent="0.25">
      <c r="B1052" s="27"/>
      <c r="C1052" s="28"/>
      <c r="D1052" s="28"/>
      <c r="E1052" s="27"/>
      <c r="F1052" s="27"/>
      <c r="G1052" s="28"/>
      <c r="H1052" s="28"/>
      <c r="I1052" s="36"/>
      <c r="J1052" s="27"/>
      <c r="K1052" s="29"/>
      <c r="L1052" s="29"/>
      <c r="M1052" s="29"/>
      <c r="N1052" s="29"/>
    </row>
    <row r="1053" spans="2:14" x14ac:dyDescent="0.25">
      <c r="B1053" s="27"/>
      <c r="C1053" s="28"/>
      <c r="D1053" s="28"/>
      <c r="E1053" s="27"/>
      <c r="F1053" s="27"/>
      <c r="G1053" s="28"/>
      <c r="H1053" s="28"/>
      <c r="I1053" s="36"/>
      <c r="J1053" s="27"/>
      <c r="K1053" s="29"/>
      <c r="L1053" s="29"/>
      <c r="M1053" s="29"/>
      <c r="N1053" s="29"/>
    </row>
    <row r="1054" spans="2:14" x14ac:dyDescent="0.25">
      <c r="B1054" s="27"/>
      <c r="C1054" s="28"/>
      <c r="D1054" s="28"/>
      <c r="E1054" s="27"/>
      <c r="F1054" s="27"/>
      <c r="G1054" s="28"/>
      <c r="H1054" s="28"/>
      <c r="I1054" s="36"/>
      <c r="J1054" s="27"/>
      <c r="K1054" s="29"/>
      <c r="L1054" s="29"/>
      <c r="M1054" s="29"/>
      <c r="N1054" s="29"/>
    </row>
    <row r="1055" spans="2:14" x14ac:dyDescent="0.25">
      <c r="B1055" s="27"/>
      <c r="C1055" s="28"/>
      <c r="D1055" s="28"/>
      <c r="E1055" s="27"/>
      <c r="F1055" s="27"/>
      <c r="G1055" s="28"/>
      <c r="H1055" s="28"/>
      <c r="I1055" s="36"/>
      <c r="J1055" s="27"/>
      <c r="K1055" s="29"/>
      <c r="L1055" s="29"/>
      <c r="M1055" s="29"/>
      <c r="N1055" s="29"/>
    </row>
    <row r="1056" spans="2:14" x14ac:dyDescent="0.25">
      <c r="B1056" s="27"/>
      <c r="C1056" s="28"/>
      <c r="D1056" s="28"/>
      <c r="E1056" s="27"/>
      <c r="F1056" s="27"/>
      <c r="G1056" s="28"/>
      <c r="H1056" s="28"/>
      <c r="I1056" s="36"/>
      <c r="J1056" s="27"/>
      <c r="K1056" s="29"/>
      <c r="L1056" s="29"/>
      <c r="M1056" s="29"/>
      <c r="N1056" s="29"/>
    </row>
    <row r="1057" spans="2:14" x14ac:dyDescent="0.25">
      <c r="B1057" s="27"/>
      <c r="C1057" s="28"/>
      <c r="D1057" s="28"/>
      <c r="E1057" s="27"/>
      <c r="F1057" s="27"/>
      <c r="G1057" s="28"/>
      <c r="H1057" s="28"/>
      <c r="I1057" s="36"/>
      <c r="J1057" s="27"/>
      <c r="K1057" s="29"/>
      <c r="L1057" s="29"/>
      <c r="M1057" s="29"/>
      <c r="N1057" s="29"/>
    </row>
    <row r="1058" spans="2:14" x14ac:dyDescent="0.25">
      <c r="B1058" s="27"/>
      <c r="C1058" s="28"/>
      <c r="D1058" s="28"/>
      <c r="E1058" s="27"/>
      <c r="F1058" s="27"/>
      <c r="G1058" s="28"/>
      <c r="H1058" s="28"/>
      <c r="I1058" s="36"/>
      <c r="J1058" s="27"/>
      <c r="K1058" s="29"/>
      <c r="L1058" s="29"/>
      <c r="M1058" s="29"/>
      <c r="N1058" s="29"/>
    </row>
    <row r="1059" spans="2:14" x14ac:dyDescent="0.25">
      <c r="B1059" s="27"/>
      <c r="C1059" s="28"/>
      <c r="D1059" s="28"/>
      <c r="E1059" s="27"/>
      <c r="F1059" s="27"/>
      <c r="G1059" s="28"/>
      <c r="H1059" s="28"/>
      <c r="I1059" s="36"/>
      <c r="J1059" s="27"/>
      <c r="K1059" s="29"/>
      <c r="L1059" s="29"/>
      <c r="M1059" s="29"/>
      <c r="N1059" s="29"/>
    </row>
    <row r="1060" spans="2:14" x14ac:dyDescent="0.25">
      <c r="B1060" s="27"/>
      <c r="C1060" s="28"/>
      <c r="D1060" s="28"/>
      <c r="E1060" s="27"/>
      <c r="F1060" s="27"/>
      <c r="G1060" s="28"/>
      <c r="H1060" s="28"/>
      <c r="I1060" s="36"/>
      <c r="J1060" s="27"/>
      <c r="K1060" s="29"/>
      <c r="L1060" s="29"/>
      <c r="M1060" s="29"/>
      <c r="N1060" s="29"/>
    </row>
    <row r="1061" spans="2:14" x14ac:dyDescent="0.25">
      <c r="B1061" s="27"/>
      <c r="C1061" s="28"/>
      <c r="D1061" s="28"/>
      <c r="E1061" s="27"/>
      <c r="F1061" s="27"/>
      <c r="G1061" s="28"/>
      <c r="H1061" s="28"/>
      <c r="I1061" s="36"/>
      <c r="J1061" s="27"/>
      <c r="K1061" s="29"/>
      <c r="L1061" s="29"/>
      <c r="M1061" s="29"/>
      <c r="N1061" s="29"/>
    </row>
    <row r="1062" spans="2:14" x14ac:dyDescent="0.25">
      <c r="B1062" s="27"/>
      <c r="C1062" s="28"/>
      <c r="D1062" s="28"/>
      <c r="E1062" s="27"/>
      <c r="F1062" s="27"/>
      <c r="G1062" s="28"/>
      <c r="H1062" s="28"/>
      <c r="I1062" s="36"/>
      <c r="J1062" s="27"/>
      <c r="K1062" s="29"/>
      <c r="L1062" s="29"/>
      <c r="M1062" s="29"/>
      <c r="N1062" s="29"/>
    </row>
    <row r="1063" spans="2:14" x14ac:dyDescent="0.25">
      <c r="B1063" s="27"/>
      <c r="C1063" s="28"/>
      <c r="D1063" s="28"/>
      <c r="E1063" s="27"/>
      <c r="F1063" s="27"/>
      <c r="G1063" s="28"/>
      <c r="H1063" s="28"/>
      <c r="I1063" s="36"/>
      <c r="J1063" s="27"/>
      <c r="K1063" s="29"/>
      <c r="L1063" s="29"/>
      <c r="M1063" s="29"/>
      <c r="N1063" s="29"/>
    </row>
    <row r="1064" spans="2:14" x14ac:dyDescent="0.25">
      <c r="B1064" s="27"/>
      <c r="C1064" s="28"/>
      <c r="D1064" s="28"/>
      <c r="E1064" s="27"/>
      <c r="F1064" s="27"/>
      <c r="G1064" s="28"/>
      <c r="H1064" s="28"/>
      <c r="I1064" s="36"/>
      <c r="J1064" s="27"/>
      <c r="K1064" s="29"/>
      <c r="L1064" s="29"/>
      <c r="M1064" s="29"/>
      <c r="N1064" s="29"/>
    </row>
    <row r="1065" spans="2:14" x14ac:dyDescent="0.25">
      <c r="B1065" s="27"/>
      <c r="C1065" s="28"/>
      <c r="D1065" s="28"/>
      <c r="E1065" s="27"/>
      <c r="F1065" s="27"/>
      <c r="G1065" s="28"/>
      <c r="H1065" s="28"/>
      <c r="I1065" s="36"/>
      <c r="J1065" s="27"/>
      <c r="K1065" s="29"/>
      <c r="L1065" s="29"/>
      <c r="M1065" s="29"/>
      <c r="N1065" s="29"/>
    </row>
    <row r="1066" spans="2:14" x14ac:dyDescent="0.25">
      <c r="B1066" s="27"/>
      <c r="C1066" s="28"/>
      <c r="D1066" s="28"/>
      <c r="E1066" s="27"/>
      <c r="F1066" s="27"/>
      <c r="G1066" s="28"/>
      <c r="H1066" s="28"/>
      <c r="I1066" s="36"/>
      <c r="J1066" s="27"/>
      <c r="K1066" s="29"/>
      <c r="L1066" s="29"/>
      <c r="M1066" s="29"/>
      <c r="N1066" s="29"/>
    </row>
    <row r="1067" spans="2:14" x14ac:dyDescent="0.25">
      <c r="B1067" s="27"/>
      <c r="C1067" s="28"/>
      <c r="D1067" s="28"/>
      <c r="E1067" s="27"/>
      <c r="F1067" s="27"/>
      <c r="G1067" s="28"/>
      <c r="H1067" s="28"/>
      <c r="I1067" s="36"/>
      <c r="J1067" s="27"/>
      <c r="K1067" s="29"/>
      <c r="L1067" s="29"/>
      <c r="M1067" s="29"/>
      <c r="N1067" s="29"/>
    </row>
    <row r="1068" spans="2:14" x14ac:dyDescent="0.25">
      <c r="B1068" s="27"/>
      <c r="C1068" s="28"/>
      <c r="D1068" s="28"/>
      <c r="E1068" s="27"/>
      <c r="F1068" s="27"/>
      <c r="G1068" s="28"/>
      <c r="H1068" s="28"/>
      <c r="I1068" s="36"/>
      <c r="J1068" s="27"/>
      <c r="K1068" s="29"/>
      <c r="L1068" s="29"/>
      <c r="M1068" s="29"/>
      <c r="N1068" s="29"/>
    </row>
    <row r="1069" spans="2:14" x14ac:dyDescent="0.25">
      <c r="B1069" s="27"/>
      <c r="C1069" s="28"/>
      <c r="D1069" s="28"/>
      <c r="E1069" s="27"/>
      <c r="F1069" s="27"/>
      <c r="G1069" s="28"/>
      <c r="H1069" s="28"/>
      <c r="I1069" s="36"/>
      <c r="J1069" s="27"/>
      <c r="K1069" s="29"/>
      <c r="L1069" s="29"/>
      <c r="M1069" s="29"/>
      <c r="N1069" s="29"/>
    </row>
    <row r="1070" spans="2:14" x14ac:dyDescent="0.25">
      <c r="B1070" s="27"/>
      <c r="C1070" s="28"/>
      <c r="D1070" s="28"/>
      <c r="E1070" s="27"/>
      <c r="F1070" s="27"/>
      <c r="G1070" s="28"/>
      <c r="H1070" s="28"/>
      <c r="I1070" s="36"/>
      <c r="J1070" s="27"/>
      <c r="K1070" s="29"/>
      <c r="L1070" s="29"/>
      <c r="M1070" s="29"/>
      <c r="N1070" s="29"/>
    </row>
    <row r="1071" spans="2:14" x14ac:dyDescent="0.25">
      <c r="B1071" s="27"/>
      <c r="C1071" s="28"/>
      <c r="D1071" s="28"/>
      <c r="E1071" s="27"/>
      <c r="F1071" s="27"/>
      <c r="G1071" s="28"/>
      <c r="H1071" s="28"/>
      <c r="I1071" s="36"/>
      <c r="J1071" s="27"/>
      <c r="K1071" s="29"/>
      <c r="L1071" s="29"/>
      <c r="M1071" s="29"/>
      <c r="N1071" s="29"/>
    </row>
    <row r="1072" spans="2:14" x14ac:dyDescent="0.25">
      <c r="B1072" s="27"/>
      <c r="C1072" s="28"/>
      <c r="D1072" s="28"/>
      <c r="E1072" s="27"/>
      <c r="F1072" s="27"/>
      <c r="G1072" s="28"/>
      <c r="H1072" s="28"/>
      <c r="I1072" s="36"/>
      <c r="J1072" s="27"/>
      <c r="K1072" s="29"/>
      <c r="L1072" s="29"/>
      <c r="M1072" s="29"/>
      <c r="N1072" s="29"/>
    </row>
    <row r="1073" spans="2:14" x14ac:dyDescent="0.25">
      <c r="B1073" s="27"/>
      <c r="C1073" s="28"/>
      <c r="D1073" s="28"/>
      <c r="E1073" s="27"/>
      <c r="F1073" s="27"/>
      <c r="G1073" s="28"/>
      <c r="H1073" s="28"/>
      <c r="I1073" s="36"/>
      <c r="J1073" s="27"/>
      <c r="K1073" s="29"/>
      <c r="L1073" s="29"/>
      <c r="M1073" s="29"/>
      <c r="N1073" s="29"/>
    </row>
    <row r="1074" spans="2:14" x14ac:dyDescent="0.25">
      <c r="B1074" s="27"/>
      <c r="C1074" s="28"/>
      <c r="D1074" s="28"/>
      <c r="E1074" s="27"/>
      <c r="F1074" s="27"/>
      <c r="G1074" s="28"/>
      <c r="H1074" s="28"/>
      <c r="I1074" s="36"/>
      <c r="J1074" s="27"/>
      <c r="K1074" s="29"/>
      <c r="L1074" s="29"/>
      <c r="M1074" s="29"/>
      <c r="N1074" s="29"/>
    </row>
    <row r="1075" spans="2:14" x14ac:dyDescent="0.25">
      <c r="B1075" s="27"/>
      <c r="C1075" s="28"/>
      <c r="D1075" s="28"/>
      <c r="E1075" s="27"/>
      <c r="F1075" s="27"/>
      <c r="G1075" s="28"/>
      <c r="H1075" s="28"/>
      <c r="I1075" s="36"/>
      <c r="J1075" s="27"/>
      <c r="K1075" s="29"/>
      <c r="L1075" s="29"/>
      <c r="M1075" s="29"/>
      <c r="N1075" s="29"/>
    </row>
    <row r="1076" spans="2:14" x14ac:dyDescent="0.25">
      <c r="B1076" s="27"/>
      <c r="C1076" s="28"/>
      <c r="D1076" s="28"/>
      <c r="E1076" s="27"/>
      <c r="F1076" s="27"/>
      <c r="G1076" s="28"/>
      <c r="H1076" s="28"/>
      <c r="I1076" s="36"/>
      <c r="J1076" s="27"/>
      <c r="K1076" s="29"/>
      <c r="L1076" s="29"/>
      <c r="M1076" s="29"/>
      <c r="N1076" s="29"/>
    </row>
    <row r="1077" spans="2:14" x14ac:dyDescent="0.25">
      <c r="B1077" s="27"/>
      <c r="C1077" s="28"/>
      <c r="D1077" s="28"/>
      <c r="E1077" s="27"/>
      <c r="F1077" s="27"/>
      <c r="G1077" s="28"/>
      <c r="H1077" s="28"/>
      <c r="I1077" s="36"/>
      <c r="J1077" s="27"/>
      <c r="K1077" s="29"/>
      <c r="L1077" s="29"/>
      <c r="M1077" s="29"/>
      <c r="N1077" s="29"/>
    </row>
    <row r="1078" spans="2:14" x14ac:dyDescent="0.25">
      <c r="B1078" s="27"/>
      <c r="C1078" s="28"/>
      <c r="D1078" s="28"/>
      <c r="E1078" s="27"/>
      <c r="F1078" s="27"/>
      <c r="G1078" s="28"/>
      <c r="H1078" s="28"/>
      <c r="I1078" s="36"/>
      <c r="J1078" s="27"/>
      <c r="K1078" s="29"/>
      <c r="L1078" s="29"/>
      <c r="M1078" s="29"/>
      <c r="N1078" s="29"/>
    </row>
    <row r="1079" spans="2:14" x14ac:dyDescent="0.25">
      <c r="B1079" s="27"/>
      <c r="C1079" s="28"/>
      <c r="D1079" s="28"/>
      <c r="E1079" s="27"/>
      <c r="F1079" s="27"/>
      <c r="G1079" s="28"/>
      <c r="H1079" s="28"/>
      <c r="I1079" s="36"/>
      <c r="J1079" s="27"/>
      <c r="K1079" s="29"/>
      <c r="L1079" s="29"/>
      <c r="M1079" s="29"/>
      <c r="N1079" s="29"/>
    </row>
    <row r="1080" spans="2:14" x14ac:dyDescent="0.25">
      <c r="B1080" s="27"/>
      <c r="C1080" s="28"/>
      <c r="D1080" s="28"/>
      <c r="E1080" s="27"/>
      <c r="F1080" s="27"/>
      <c r="G1080" s="28"/>
      <c r="H1080" s="28"/>
      <c r="I1080" s="36"/>
      <c r="J1080" s="27"/>
      <c r="K1080" s="29"/>
      <c r="L1080" s="29"/>
      <c r="M1080" s="29"/>
      <c r="N1080" s="29"/>
    </row>
    <row r="1081" spans="2:14" x14ac:dyDescent="0.25">
      <c r="B1081" s="27"/>
      <c r="C1081" s="28"/>
      <c r="D1081" s="28"/>
      <c r="E1081" s="27"/>
      <c r="F1081" s="27"/>
      <c r="G1081" s="28"/>
      <c r="H1081" s="28"/>
      <c r="I1081" s="36"/>
      <c r="J1081" s="27"/>
      <c r="K1081" s="29"/>
      <c r="L1081" s="29"/>
      <c r="M1081" s="29"/>
      <c r="N1081" s="29"/>
    </row>
    <row r="1082" spans="2:14" x14ac:dyDescent="0.25">
      <c r="B1082" s="27"/>
      <c r="C1082" s="28"/>
      <c r="D1082" s="28"/>
      <c r="E1082" s="27"/>
      <c r="F1082" s="27"/>
      <c r="G1082" s="28"/>
      <c r="H1082" s="28"/>
      <c r="I1082" s="36"/>
      <c r="J1082" s="27"/>
      <c r="K1082" s="29"/>
      <c r="L1082" s="29"/>
      <c r="M1082" s="29"/>
      <c r="N1082" s="29"/>
    </row>
    <row r="1083" spans="2:14" x14ac:dyDescent="0.25">
      <c r="B1083" s="27"/>
      <c r="C1083" s="28"/>
      <c r="D1083" s="28"/>
      <c r="E1083" s="27"/>
      <c r="F1083" s="27"/>
      <c r="G1083" s="28"/>
      <c r="H1083" s="28"/>
      <c r="I1083" s="36"/>
      <c r="J1083" s="27"/>
      <c r="K1083" s="29"/>
      <c r="L1083" s="29"/>
      <c r="M1083" s="29"/>
      <c r="N1083" s="29"/>
    </row>
    <row r="1084" spans="2:14" x14ac:dyDescent="0.25">
      <c r="B1084" s="27"/>
      <c r="C1084" s="28"/>
      <c r="D1084" s="28"/>
      <c r="E1084" s="27"/>
      <c r="F1084" s="27"/>
      <c r="G1084" s="28"/>
      <c r="H1084" s="28"/>
      <c r="I1084" s="36"/>
      <c r="J1084" s="27"/>
      <c r="K1084" s="29"/>
      <c r="L1084" s="29"/>
      <c r="M1084" s="29"/>
      <c r="N1084" s="29"/>
    </row>
    <row r="1085" spans="2:14" x14ac:dyDescent="0.25">
      <c r="B1085" s="27"/>
      <c r="C1085" s="28"/>
      <c r="D1085" s="28"/>
      <c r="E1085" s="27"/>
      <c r="F1085" s="27"/>
      <c r="G1085" s="28"/>
      <c r="H1085" s="28"/>
      <c r="I1085" s="36"/>
      <c r="J1085" s="27"/>
      <c r="K1085" s="29"/>
      <c r="L1085" s="29"/>
      <c r="M1085" s="29"/>
      <c r="N1085" s="29"/>
    </row>
    <row r="1086" spans="2:14" x14ac:dyDescent="0.25">
      <c r="B1086" s="27"/>
      <c r="C1086" s="28"/>
      <c r="D1086" s="28"/>
      <c r="E1086" s="27"/>
      <c r="F1086" s="27"/>
      <c r="G1086" s="28"/>
      <c r="H1086" s="28"/>
      <c r="I1086" s="36"/>
      <c r="J1086" s="27"/>
      <c r="K1086" s="29"/>
      <c r="L1086" s="29"/>
      <c r="M1086" s="29"/>
      <c r="N1086" s="29"/>
    </row>
    <row r="1087" spans="2:14" x14ac:dyDescent="0.25">
      <c r="B1087" s="27"/>
      <c r="C1087" s="28"/>
      <c r="D1087" s="28"/>
      <c r="E1087" s="27"/>
      <c r="F1087" s="27"/>
      <c r="G1087" s="28"/>
      <c r="H1087" s="28"/>
      <c r="I1087" s="36"/>
      <c r="J1087" s="27"/>
      <c r="K1087" s="29"/>
      <c r="L1087" s="29"/>
      <c r="M1087" s="29"/>
      <c r="N1087" s="29"/>
    </row>
    <row r="1088" spans="2:14" x14ac:dyDescent="0.25">
      <c r="B1088" s="27"/>
      <c r="C1088" s="28"/>
      <c r="D1088" s="28"/>
      <c r="E1088" s="27"/>
      <c r="F1088" s="27"/>
      <c r="G1088" s="28"/>
      <c r="H1088" s="28"/>
      <c r="I1088" s="36"/>
      <c r="J1088" s="27"/>
      <c r="K1088" s="29"/>
      <c r="L1088" s="29"/>
      <c r="M1088" s="29"/>
      <c r="N1088" s="29"/>
    </row>
    <row r="1089" spans="2:14" x14ac:dyDescent="0.25">
      <c r="B1089" s="27"/>
      <c r="C1089" s="28"/>
      <c r="D1089" s="28"/>
      <c r="E1089" s="27"/>
      <c r="F1089" s="27"/>
      <c r="G1089" s="28"/>
      <c r="H1089" s="28"/>
      <c r="I1089" s="36"/>
      <c r="J1089" s="27"/>
      <c r="K1089" s="29"/>
      <c r="L1089" s="29"/>
      <c r="M1089" s="29"/>
      <c r="N1089" s="29"/>
    </row>
    <row r="1090" spans="2:14" x14ac:dyDescent="0.25">
      <c r="B1090" s="27"/>
      <c r="C1090" s="28"/>
      <c r="D1090" s="28"/>
      <c r="E1090" s="27"/>
      <c r="F1090" s="27"/>
      <c r="G1090" s="28"/>
      <c r="H1090" s="28"/>
      <c r="I1090" s="36"/>
      <c r="J1090" s="27"/>
      <c r="K1090" s="29"/>
      <c r="L1090" s="29"/>
      <c r="M1090" s="29"/>
      <c r="N1090" s="29"/>
    </row>
    <row r="1091" spans="2:14" x14ac:dyDescent="0.25">
      <c r="B1091" s="27"/>
      <c r="C1091" s="28"/>
      <c r="D1091" s="28"/>
      <c r="E1091" s="27"/>
      <c r="F1091" s="27"/>
      <c r="G1091" s="28"/>
      <c r="H1091" s="28"/>
      <c r="I1091" s="36"/>
      <c r="J1091" s="27"/>
      <c r="K1091" s="29"/>
      <c r="L1091" s="29"/>
      <c r="M1091" s="29"/>
      <c r="N1091" s="29"/>
    </row>
    <row r="1092" spans="2:14" x14ac:dyDescent="0.25">
      <c r="B1092" s="27"/>
      <c r="C1092" s="28"/>
      <c r="D1092" s="28"/>
      <c r="E1092" s="27"/>
      <c r="F1092" s="27"/>
      <c r="G1092" s="28"/>
      <c r="H1092" s="28"/>
      <c r="I1092" s="36"/>
      <c r="J1092" s="27"/>
      <c r="K1092" s="29"/>
      <c r="L1092" s="29"/>
      <c r="M1092" s="29"/>
      <c r="N1092" s="29"/>
    </row>
    <row r="1093" spans="2:14" x14ac:dyDescent="0.25">
      <c r="B1093" s="27"/>
      <c r="C1093" s="28"/>
      <c r="D1093" s="28"/>
      <c r="E1093" s="27"/>
      <c r="F1093" s="27"/>
      <c r="G1093" s="28"/>
      <c r="H1093" s="28"/>
      <c r="I1093" s="36"/>
      <c r="J1093" s="27"/>
      <c r="K1093" s="29"/>
      <c r="L1093" s="29"/>
      <c r="M1093" s="29"/>
      <c r="N1093" s="29"/>
    </row>
    <row r="1094" spans="2:14" x14ac:dyDescent="0.25">
      <c r="B1094" s="27"/>
      <c r="C1094" s="28"/>
      <c r="D1094" s="28"/>
      <c r="E1094" s="27"/>
      <c r="F1094" s="27"/>
      <c r="G1094" s="28"/>
      <c r="H1094" s="28"/>
      <c r="I1094" s="36"/>
      <c r="J1094" s="27"/>
      <c r="K1094" s="29"/>
      <c r="L1094" s="29"/>
      <c r="M1094" s="29"/>
      <c r="N1094" s="29"/>
    </row>
    <row r="1095" spans="2:14" x14ac:dyDescent="0.25">
      <c r="B1095" s="27"/>
      <c r="C1095" s="28"/>
      <c r="D1095" s="28"/>
      <c r="E1095" s="27"/>
      <c r="F1095" s="27"/>
      <c r="G1095" s="28"/>
      <c r="H1095" s="28"/>
      <c r="I1095" s="36"/>
      <c r="J1095" s="27"/>
      <c r="K1095" s="29"/>
      <c r="L1095" s="29"/>
      <c r="M1095" s="29"/>
      <c r="N1095" s="29"/>
    </row>
    <row r="1096" spans="2:14" x14ac:dyDescent="0.25">
      <c r="B1096" s="27"/>
      <c r="C1096" s="28"/>
      <c r="D1096" s="28"/>
      <c r="E1096" s="27"/>
      <c r="F1096" s="27"/>
      <c r="G1096" s="28"/>
      <c r="H1096" s="28"/>
      <c r="I1096" s="36"/>
      <c r="J1096" s="27"/>
      <c r="K1096" s="29"/>
      <c r="L1096" s="29"/>
      <c r="M1096" s="29"/>
      <c r="N1096" s="29"/>
    </row>
    <row r="1097" spans="2:14" x14ac:dyDescent="0.25">
      <c r="B1097" s="27"/>
      <c r="C1097" s="28"/>
      <c r="D1097" s="28"/>
      <c r="E1097" s="27"/>
      <c r="F1097" s="27"/>
      <c r="G1097" s="28"/>
      <c r="H1097" s="28"/>
      <c r="I1097" s="36"/>
      <c r="J1097" s="27"/>
      <c r="K1097" s="29"/>
      <c r="L1097" s="29"/>
      <c r="M1097" s="29"/>
      <c r="N1097" s="29"/>
    </row>
    <row r="1098" spans="2:14" x14ac:dyDescent="0.25">
      <c r="B1098" s="27"/>
      <c r="C1098" s="28"/>
      <c r="D1098" s="28"/>
      <c r="E1098" s="27"/>
      <c r="F1098" s="27"/>
      <c r="G1098" s="28"/>
      <c r="H1098" s="28"/>
      <c r="I1098" s="36"/>
      <c r="J1098" s="27"/>
      <c r="K1098" s="29"/>
      <c r="L1098" s="29"/>
      <c r="M1098" s="29"/>
      <c r="N1098" s="29"/>
    </row>
    <row r="1099" spans="2:14" x14ac:dyDescent="0.25">
      <c r="B1099" s="27"/>
      <c r="C1099" s="28"/>
      <c r="D1099" s="28"/>
      <c r="E1099" s="27"/>
      <c r="F1099" s="27"/>
      <c r="G1099" s="28"/>
      <c r="H1099" s="28"/>
      <c r="I1099" s="36"/>
      <c r="J1099" s="27"/>
      <c r="K1099" s="29"/>
      <c r="L1099" s="29"/>
      <c r="M1099" s="29"/>
      <c r="N1099" s="29"/>
    </row>
    <row r="1100" spans="2:14" x14ac:dyDescent="0.25">
      <c r="B1100" s="27"/>
      <c r="C1100" s="28"/>
      <c r="D1100" s="28"/>
      <c r="E1100" s="27"/>
      <c r="F1100" s="27"/>
      <c r="G1100" s="28"/>
      <c r="H1100" s="28"/>
      <c r="I1100" s="36"/>
      <c r="J1100" s="27"/>
      <c r="K1100" s="29"/>
      <c r="L1100" s="29"/>
      <c r="M1100" s="29"/>
      <c r="N1100" s="29"/>
    </row>
    <row r="1101" spans="2:14" x14ac:dyDescent="0.25">
      <c r="B1101" s="27"/>
      <c r="C1101" s="28"/>
      <c r="D1101" s="28"/>
      <c r="E1101" s="27"/>
      <c r="F1101" s="27"/>
      <c r="G1101" s="28"/>
      <c r="H1101" s="28"/>
      <c r="I1101" s="36"/>
      <c r="J1101" s="27"/>
      <c r="K1101" s="29"/>
      <c r="L1101" s="29"/>
      <c r="M1101" s="29"/>
      <c r="N1101" s="29"/>
    </row>
    <row r="1102" spans="2:14" x14ac:dyDescent="0.25">
      <c r="B1102" s="27"/>
      <c r="C1102" s="28"/>
      <c r="D1102" s="28"/>
      <c r="E1102" s="27"/>
      <c r="F1102" s="27"/>
      <c r="G1102" s="28"/>
      <c r="H1102" s="28"/>
      <c r="I1102" s="36"/>
      <c r="J1102" s="27"/>
      <c r="K1102" s="29"/>
      <c r="L1102" s="29"/>
      <c r="M1102" s="29"/>
      <c r="N1102" s="29"/>
    </row>
    <row r="1103" spans="2:14" x14ac:dyDescent="0.25">
      <c r="B1103" s="27"/>
      <c r="C1103" s="28"/>
      <c r="D1103" s="28"/>
      <c r="E1103" s="27"/>
      <c r="F1103" s="27"/>
      <c r="G1103" s="28"/>
      <c r="H1103" s="28"/>
      <c r="I1103" s="36"/>
      <c r="J1103" s="27"/>
      <c r="K1103" s="29"/>
      <c r="L1103" s="29"/>
      <c r="M1103" s="29"/>
      <c r="N1103" s="29"/>
    </row>
    <row r="1104" spans="2:14" x14ac:dyDescent="0.25">
      <c r="B1104" s="27"/>
      <c r="C1104" s="28"/>
      <c r="D1104" s="28"/>
      <c r="E1104" s="27"/>
      <c r="F1104" s="27"/>
      <c r="G1104" s="28"/>
      <c r="H1104" s="28"/>
      <c r="I1104" s="36"/>
      <c r="J1104" s="27"/>
      <c r="K1104" s="29"/>
      <c r="L1104" s="29"/>
      <c r="M1104" s="29"/>
      <c r="N1104" s="29"/>
    </row>
    <row r="1105" spans="2:14" x14ac:dyDescent="0.25">
      <c r="B1105" s="27"/>
      <c r="C1105" s="28"/>
      <c r="D1105" s="28"/>
      <c r="E1105" s="27"/>
      <c r="F1105" s="27"/>
      <c r="G1105" s="28"/>
      <c r="H1105" s="28"/>
      <c r="I1105" s="36"/>
      <c r="J1105" s="27"/>
      <c r="K1105" s="29"/>
      <c r="L1105" s="29"/>
      <c r="M1105" s="29"/>
      <c r="N1105" s="29"/>
    </row>
    <row r="1106" spans="2:14" x14ac:dyDescent="0.25">
      <c r="B1106" s="27"/>
      <c r="C1106" s="28"/>
      <c r="D1106" s="28"/>
      <c r="E1106" s="27"/>
      <c r="F1106" s="27"/>
      <c r="G1106" s="28"/>
      <c r="H1106" s="28"/>
      <c r="I1106" s="36"/>
      <c r="J1106" s="27"/>
      <c r="K1106" s="29"/>
      <c r="L1106" s="29"/>
      <c r="M1106" s="29"/>
      <c r="N1106" s="29"/>
    </row>
    <row r="1107" spans="2:14" x14ac:dyDescent="0.25">
      <c r="B1107" s="27"/>
      <c r="C1107" s="28"/>
      <c r="D1107" s="28"/>
      <c r="E1107" s="27"/>
      <c r="F1107" s="27"/>
      <c r="G1107" s="28"/>
      <c r="H1107" s="28"/>
      <c r="I1107" s="36"/>
      <c r="J1107" s="27"/>
      <c r="K1107" s="29"/>
      <c r="L1107" s="29"/>
      <c r="M1107" s="29"/>
      <c r="N1107" s="29"/>
    </row>
    <row r="1108" spans="2:14" x14ac:dyDescent="0.25">
      <c r="B1108" s="27"/>
      <c r="C1108" s="28"/>
      <c r="D1108" s="28"/>
      <c r="E1108" s="27"/>
      <c r="F1108" s="27"/>
      <c r="G1108" s="28"/>
      <c r="H1108" s="28"/>
      <c r="I1108" s="36"/>
      <c r="J1108" s="27"/>
      <c r="K1108" s="29"/>
      <c r="L1108" s="29"/>
      <c r="M1108" s="29"/>
      <c r="N1108" s="29"/>
    </row>
    <row r="1109" spans="2:14" x14ac:dyDescent="0.25">
      <c r="B1109" s="27"/>
      <c r="C1109" s="28"/>
      <c r="D1109" s="28"/>
      <c r="E1109" s="27"/>
      <c r="F1109" s="27"/>
      <c r="G1109" s="28"/>
      <c r="H1109" s="28"/>
      <c r="I1109" s="36"/>
      <c r="J1109" s="27"/>
      <c r="K1109" s="29"/>
      <c r="L1109" s="29"/>
      <c r="M1109" s="29"/>
      <c r="N1109" s="29"/>
    </row>
    <row r="1110" spans="2:14" x14ac:dyDescent="0.25">
      <c r="B1110" s="27"/>
      <c r="C1110" s="28"/>
      <c r="D1110" s="28"/>
      <c r="E1110" s="27"/>
      <c r="F1110" s="27"/>
      <c r="G1110" s="28"/>
      <c r="H1110" s="28"/>
      <c r="I1110" s="36"/>
      <c r="J1110" s="27"/>
      <c r="K1110" s="29"/>
      <c r="L1110" s="29"/>
      <c r="M1110" s="29"/>
      <c r="N1110" s="29"/>
    </row>
    <row r="1111" spans="2:14" x14ac:dyDescent="0.25">
      <c r="B1111" s="27"/>
      <c r="C1111" s="28"/>
      <c r="D1111" s="28"/>
      <c r="E1111" s="27"/>
      <c r="F1111" s="27"/>
      <c r="G1111" s="28"/>
      <c r="H1111" s="28"/>
      <c r="I1111" s="36"/>
      <c r="J1111" s="27"/>
      <c r="K1111" s="29"/>
      <c r="L1111" s="29"/>
      <c r="M1111" s="29"/>
      <c r="N1111" s="29"/>
    </row>
    <row r="1112" spans="2:14" x14ac:dyDescent="0.25">
      <c r="B1112" s="27"/>
      <c r="C1112" s="28"/>
      <c r="D1112" s="28"/>
      <c r="E1112" s="27"/>
      <c r="F1112" s="27"/>
      <c r="G1112" s="28"/>
      <c r="H1112" s="28"/>
      <c r="I1112" s="36"/>
      <c r="J1112" s="27"/>
      <c r="K1112" s="29"/>
      <c r="L1112" s="29"/>
      <c r="M1112" s="29"/>
      <c r="N1112" s="29"/>
    </row>
    <row r="1113" spans="2:14" x14ac:dyDescent="0.25">
      <c r="B1113" s="27"/>
      <c r="C1113" s="28"/>
      <c r="D1113" s="28"/>
      <c r="E1113" s="27"/>
      <c r="F1113" s="27"/>
      <c r="G1113" s="28"/>
      <c r="H1113" s="28"/>
      <c r="I1113" s="36"/>
      <c r="J1113" s="27"/>
      <c r="K1113" s="29"/>
      <c r="L1113" s="29"/>
      <c r="M1113" s="29"/>
      <c r="N1113" s="29"/>
    </row>
    <row r="1114" spans="2:14" x14ac:dyDescent="0.25">
      <c r="B1114" s="27"/>
      <c r="C1114" s="28"/>
      <c r="D1114" s="28"/>
      <c r="E1114" s="27"/>
      <c r="F1114" s="27"/>
      <c r="G1114" s="28"/>
      <c r="H1114" s="28"/>
      <c r="I1114" s="36"/>
      <c r="J1114" s="27"/>
      <c r="K1114" s="29"/>
      <c r="L1114" s="29"/>
      <c r="M1114" s="29"/>
      <c r="N1114" s="29"/>
    </row>
    <row r="1115" spans="2:14" x14ac:dyDescent="0.25">
      <c r="B1115" s="27"/>
      <c r="C1115" s="28"/>
      <c r="D1115" s="28"/>
      <c r="E1115" s="27"/>
      <c r="F1115" s="27"/>
      <c r="G1115" s="28"/>
      <c r="H1115" s="28"/>
      <c r="I1115" s="36"/>
      <c r="J1115" s="27"/>
      <c r="K1115" s="29"/>
      <c r="L1115" s="29"/>
      <c r="M1115" s="29"/>
      <c r="N1115" s="29"/>
    </row>
    <row r="1116" spans="2:14" x14ac:dyDescent="0.25">
      <c r="B1116" s="27"/>
      <c r="C1116" s="28"/>
      <c r="D1116" s="28"/>
      <c r="E1116" s="27"/>
      <c r="F1116" s="27"/>
      <c r="G1116" s="28"/>
      <c r="H1116" s="28"/>
      <c r="I1116" s="36"/>
      <c r="J1116" s="27"/>
      <c r="K1116" s="29"/>
      <c r="L1116" s="29"/>
      <c r="M1116" s="29"/>
      <c r="N1116" s="29"/>
    </row>
    <row r="1117" spans="2:14" x14ac:dyDescent="0.25">
      <c r="B1117" s="27"/>
      <c r="C1117" s="28"/>
      <c r="D1117" s="28"/>
      <c r="E1117" s="27"/>
      <c r="F1117" s="27"/>
      <c r="G1117" s="28"/>
      <c r="H1117" s="28"/>
      <c r="I1117" s="36"/>
      <c r="J1117" s="27"/>
      <c r="K1117" s="29"/>
      <c r="L1117" s="29"/>
      <c r="M1117" s="29"/>
      <c r="N1117" s="29"/>
    </row>
    <row r="1118" spans="2:14" x14ac:dyDescent="0.25">
      <c r="B1118" s="27"/>
      <c r="C1118" s="28"/>
      <c r="D1118" s="28"/>
      <c r="E1118" s="27"/>
      <c r="F1118" s="27"/>
      <c r="G1118" s="28"/>
      <c r="H1118" s="28"/>
      <c r="I1118" s="36"/>
      <c r="J1118" s="27"/>
      <c r="K1118" s="29"/>
      <c r="L1118" s="29"/>
      <c r="M1118" s="29"/>
      <c r="N1118" s="29"/>
    </row>
    <row r="1119" spans="2:14" x14ac:dyDescent="0.25">
      <c r="B1119" s="27"/>
      <c r="C1119" s="28"/>
      <c r="D1119" s="28"/>
      <c r="E1119" s="27"/>
      <c r="F1119" s="27"/>
      <c r="G1119" s="28"/>
      <c r="H1119" s="28"/>
      <c r="I1119" s="36"/>
      <c r="J1119" s="27"/>
      <c r="K1119" s="29"/>
      <c r="L1119" s="29"/>
      <c r="M1119" s="29"/>
      <c r="N1119" s="29"/>
    </row>
    <row r="1120" spans="2:14" x14ac:dyDescent="0.25">
      <c r="B1120" s="27"/>
      <c r="C1120" s="28"/>
      <c r="D1120" s="28"/>
      <c r="E1120" s="27"/>
      <c r="F1120" s="27"/>
      <c r="G1120" s="28"/>
      <c r="H1120" s="28"/>
      <c r="I1120" s="36"/>
      <c r="J1120" s="27"/>
      <c r="K1120" s="29"/>
      <c r="L1120" s="29"/>
      <c r="M1120" s="29"/>
      <c r="N1120" s="29"/>
    </row>
    <row r="1121" spans="2:14" x14ac:dyDescent="0.25">
      <c r="B1121" s="27"/>
      <c r="C1121" s="28"/>
      <c r="D1121" s="28"/>
      <c r="E1121" s="27"/>
      <c r="F1121" s="27"/>
      <c r="G1121" s="28"/>
      <c r="H1121" s="28"/>
      <c r="I1121" s="36"/>
      <c r="J1121" s="27"/>
      <c r="K1121" s="29"/>
      <c r="L1121" s="29"/>
      <c r="M1121" s="29"/>
      <c r="N1121" s="29"/>
    </row>
    <row r="1122" spans="2:14" x14ac:dyDescent="0.25">
      <c r="B1122" s="27"/>
      <c r="C1122" s="28"/>
      <c r="D1122" s="28"/>
      <c r="E1122" s="27"/>
      <c r="F1122" s="27"/>
      <c r="G1122" s="28"/>
      <c r="H1122" s="28"/>
      <c r="I1122" s="36"/>
      <c r="J1122" s="27"/>
      <c r="K1122" s="29"/>
      <c r="L1122" s="29"/>
      <c r="M1122" s="29"/>
      <c r="N1122" s="29"/>
    </row>
    <row r="1123" spans="2:14" x14ac:dyDescent="0.25">
      <c r="B1123" s="27"/>
      <c r="C1123" s="28"/>
      <c r="D1123" s="28"/>
      <c r="E1123" s="27"/>
      <c r="F1123" s="27"/>
      <c r="G1123" s="28"/>
      <c r="H1123" s="28"/>
      <c r="I1123" s="36"/>
      <c r="J1123" s="27"/>
      <c r="K1123" s="29"/>
      <c r="L1123" s="29"/>
      <c r="M1123" s="29"/>
      <c r="N1123" s="29"/>
    </row>
    <row r="1124" spans="2:14" x14ac:dyDescent="0.25">
      <c r="B1124" s="27"/>
      <c r="C1124" s="28"/>
      <c r="D1124" s="28"/>
      <c r="E1124" s="27"/>
      <c r="F1124" s="27"/>
      <c r="G1124" s="28"/>
      <c r="H1124" s="28"/>
      <c r="I1124" s="36"/>
      <c r="J1124" s="27"/>
      <c r="K1124" s="29"/>
      <c r="L1124" s="29"/>
      <c r="M1124" s="29"/>
      <c r="N1124" s="29"/>
    </row>
    <row r="1125" spans="2:14" x14ac:dyDescent="0.25">
      <c r="B1125" s="27"/>
      <c r="C1125" s="28"/>
      <c r="D1125" s="28"/>
      <c r="E1125" s="27"/>
      <c r="F1125" s="27"/>
      <c r="G1125" s="28"/>
      <c r="H1125" s="28"/>
      <c r="I1125" s="36"/>
      <c r="J1125" s="27"/>
      <c r="K1125" s="29"/>
      <c r="L1125" s="29"/>
      <c r="M1125" s="29"/>
      <c r="N1125" s="29"/>
    </row>
    <row r="1126" spans="2:14" x14ac:dyDescent="0.25">
      <c r="B1126" s="27"/>
      <c r="C1126" s="28"/>
      <c r="D1126" s="28"/>
      <c r="E1126" s="27"/>
      <c r="F1126" s="27"/>
      <c r="G1126" s="28"/>
      <c r="H1126" s="28"/>
      <c r="I1126" s="36"/>
      <c r="J1126" s="27"/>
      <c r="K1126" s="29"/>
      <c r="L1126" s="29"/>
      <c r="M1126" s="29"/>
      <c r="N1126" s="29"/>
    </row>
    <row r="1127" spans="2:14" x14ac:dyDescent="0.25">
      <c r="B1127" s="27"/>
      <c r="C1127" s="28"/>
      <c r="D1127" s="28"/>
      <c r="E1127" s="27"/>
      <c r="F1127" s="27"/>
      <c r="G1127" s="28"/>
      <c r="H1127" s="28"/>
      <c r="I1127" s="36"/>
      <c r="J1127" s="27"/>
      <c r="K1127" s="29"/>
      <c r="L1127" s="29"/>
      <c r="M1127" s="29"/>
      <c r="N1127" s="29"/>
    </row>
    <row r="1128" spans="2:14" x14ac:dyDescent="0.25">
      <c r="B1128" s="27"/>
      <c r="C1128" s="28"/>
      <c r="D1128" s="28"/>
      <c r="E1128" s="27"/>
      <c r="F1128" s="27"/>
      <c r="G1128" s="28"/>
      <c r="H1128" s="28"/>
      <c r="I1128" s="36"/>
      <c r="J1128" s="27"/>
      <c r="K1128" s="29"/>
      <c r="L1128" s="29"/>
      <c r="M1128" s="29"/>
      <c r="N1128" s="29"/>
    </row>
    <row r="1129" spans="2:14" x14ac:dyDescent="0.25">
      <c r="B1129" s="27"/>
      <c r="C1129" s="28"/>
      <c r="D1129" s="28"/>
      <c r="E1129" s="27"/>
      <c r="F1129" s="27"/>
      <c r="G1129" s="28"/>
      <c r="H1129" s="28"/>
      <c r="I1129" s="36"/>
      <c r="J1129" s="27"/>
      <c r="K1129" s="29"/>
      <c r="L1129" s="29"/>
      <c r="M1129" s="29"/>
      <c r="N1129" s="29"/>
    </row>
    <row r="1130" spans="2:14" x14ac:dyDescent="0.25">
      <c r="B1130" s="27"/>
      <c r="C1130" s="28"/>
      <c r="D1130" s="28"/>
      <c r="E1130" s="27"/>
      <c r="F1130" s="27"/>
      <c r="G1130" s="28"/>
      <c r="H1130" s="28"/>
      <c r="I1130" s="36"/>
      <c r="J1130" s="27"/>
      <c r="K1130" s="29"/>
      <c r="L1130" s="29"/>
      <c r="M1130" s="29"/>
      <c r="N1130" s="29"/>
    </row>
    <row r="1131" spans="2:14" x14ac:dyDescent="0.25">
      <c r="B1131" s="27"/>
      <c r="C1131" s="28"/>
      <c r="D1131" s="28"/>
      <c r="E1131" s="27"/>
      <c r="F1131" s="27"/>
      <c r="G1131" s="28"/>
      <c r="H1131" s="28"/>
      <c r="I1131" s="36"/>
      <c r="J1131" s="27"/>
      <c r="K1131" s="29"/>
      <c r="L1131" s="29"/>
      <c r="M1131" s="29"/>
      <c r="N1131" s="29"/>
    </row>
    <row r="1132" spans="2:14" x14ac:dyDescent="0.25">
      <c r="B1132" s="27"/>
      <c r="C1132" s="28"/>
      <c r="D1132" s="28"/>
      <c r="E1132" s="27"/>
      <c r="F1132" s="27"/>
      <c r="G1132" s="28"/>
      <c r="H1132" s="28"/>
      <c r="I1132" s="36"/>
      <c r="J1132" s="27"/>
      <c r="K1132" s="29"/>
      <c r="L1132" s="29"/>
      <c r="M1132" s="29"/>
      <c r="N1132" s="29"/>
    </row>
    <row r="1133" spans="2:14" x14ac:dyDescent="0.25">
      <c r="B1133" s="27"/>
      <c r="C1133" s="28"/>
      <c r="D1133" s="28"/>
      <c r="E1133" s="27"/>
      <c r="F1133" s="27"/>
      <c r="G1133" s="28"/>
      <c r="H1133" s="28"/>
      <c r="I1133" s="36"/>
      <c r="J1133" s="27"/>
      <c r="K1133" s="29"/>
      <c r="L1133" s="29"/>
      <c r="M1133" s="29"/>
      <c r="N1133" s="29"/>
    </row>
    <row r="1134" spans="2:14" x14ac:dyDescent="0.25">
      <c r="B1134" s="27"/>
      <c r="C1134" s="28"/>
      <c r="D1134" s="28"/>
      <c r="E1134" s="27"/>
      <c r="F1134" s="27"/>
      <c r="G1134" s="28"/>
      <c r="H1134" s="28"/>
      <c r="I1134" s="36"/>
      <c r="J1134" s="27"/>
      <c r="K1134" s="29"/>
      <c r="L1134" s="29"/>
      <c r="M1134" s="29"/>
      <c r="N1134" s="29"/>
    </row>
    <row r="1135" spans="2:14" x14ac:dyDescent="0.25">
      <c r="B1135" s="27"/>
      <c r="C1135" s="28"/>
      <c r="D1135" s="28"/>
      <c r="E1135" s="27"/>
      <c r="F1135" s="27"/>
      <c r="G1135" s="28"/>
      <c r="H1135" s="28"/>
      <c r="I1135" s="36"/>
      <c r="J1135" s="27"/>
      <c r="K1135" s="29"/>
      <c r="L1135" s="29"/>
      <c r="M1135" s="29"/>
      <c r="N1135" s="29"/>
    </row>
    <row r="1136" spans="2:14" x14ac:dyDescent="0.25">
      <c r="B1136" s="27"/>
      <c r="C1136" s="28"/>
      <c r="D1136" s="28"/>
      <c r="E1136" s="27"/>
      <c r="F1136" s="27"/>
      <c r="G1136" s="28"/>
      <c r="H1136" s="28"/>
      <c r="I1136" s="36"/>
      <c r="J1136" s="27"/>
      <c r="K1136" s="29"/>
      <c r="L1136" s="29"/>
      <c r="M1136" s="29"/>
      <c r="N1136" s="29"/>
    </row>
    <row r="1137" spans="2:14" x14ac:dyDescent="0.25">
      <c r="B1137" s="27"/>
      <c r="C1137" s="28"/>
      <c r="D1137" s="28"/>
      <c r="E1137" s="27"/>
      <c r="F1137" s="27"/>
      <c r="G1137" s="28"/>
      <c r="H1137" s="28"/>
      <c r="I1137" s="36"/>
      <c r="J1137" s="27"/>
      <c r="K1137" s="29"/>
      <c r="L1137" s="29"/>
      <c r="M1137" s="29"/>
      <c r="N1137" s="29"/>
    </row>
    <row r="1138" spans="2:14" x14ac:dyDescent="0.25">
      <c r="B1138" s="27"/>
      <c r="C1138" s="28"/>
      <c r="D1138" s="28"/>
      <c r="E1138" s="27"/>
      <c r="F1138" s="27"/>
      <c r="G1138" s="28"/>
      <c r="H1138" s="28"/>
      <c r="I1138" s="36"/>
      <c r="J1138" s="27"/>
      <c r="K1138" s="29"/>
      <c r="L1138" s="29"/>
      <c r="M1138" s="29"/>
      <c r="N1138" s="29"/>
    </row>
    <row r="1139" spans="2:14" x14ac:dyDescent="0.25">
      <c r="B1139" s="27"/>
      <c r="C1139" s="28"/>
      <c r="D1139" s="28"/>
      <c r="E1139" s="27"/>
      <c r="F1139" s="27"/>
      <c r="G1139" s="28"/>
      <c r="H1139" s="28"/>
      <c r="I1139" s="36"/>
      <c r="J1139" s="27"/>
      <c r="K1139" s="29"/>
      <c r="L1139" s="29"/>
      <c r="M1139" s="29"/>
      <c r="N1139" s="29"/>
    </row>
    <row r="1140" spans="2:14" x14ac:dyDescent="0.25">
      <c r="B1140" s="27"/>
      <c r="C1140" s="28"/>
      <c r="D1140" s="28"/>
      <c r="E1140" s="27"/>
      <c r="F1140" s="27"/>
      <c r="G1140" s="28"/>
      <c r="H1140" s="28"/>
      <c r="I1140" s="36"/>
      <c r="J1140" s="27"/>
      <c r="K1140" s="29"/>
      <c r="L1140" s="29"/>
      <c r="M1140" s="29"/>
      <c r="N1140" s="29"/>
    </row>
    <row r="1141" spans="2:14" x14ac:dyDescent="0.25">
      <c r="B1141" s="27"/>
      <c r="C1141" s="28"/>
      <c r="D1141" s="28"/>
      <c r="E1141" s="27"/>
      <c r="F1141" s="27"/>
      <c r="G1141" s="28"/>
      <c r="H1141" s="28"/>
      <c r="I1141" s="36"/>
      <c r="J1141" s="27"/>
      <c r="K1141" s="29"/>
      <c r="L1141" s="29"/>
      <c r="M1141" s="29"/>
      <c r="N1141" s="29"/>
    </row>
    <row r="1142" spans="2:14" x14ac:dyDescent="0.25">
      <c r="B1142" s="27"/>
      <c r="C1142" s="28"/>
      <c r="D1142" s="28"/>
      <c r="E1142" s="27"/>
      <c r="F1142" s="27"/>
      <c r="G1142" s="28"/>
      <c r="H1142" s="28"/>
      <c r="I1142" s="36"/>
      <c r="J1142" s="27"/>
      <c r="K1142" s="29"/>
      <c r="L1142" s="29"/>
      <c r="M1142" s="29"/>
      <c r="N1142" s="29"/>
    </row>
    <row r="1143" spans="2:14" x14ac:dyDescent="0.25">
      <c r="B1143" s="27"/>
      <c r="C1143" s="28"/>
      <c r="D1143" s="28"/>
      <c r="E1143" s="27"/>
      <c r="F1143" s="27"/>
      <c r="G1143" s="28"/>
      <c r="H1143" s="28"/>
      <c r="I1143" s="36"/>
      <c r="J1143" s="27"/>
      <c r="K1143" s="29"/>
      <c r="L1143" s="29"/>
      <c r="M1143" s="29"/>
      <c r="N1143" s="29"/>
    </row>
    <row r="1144" spans="2:14" x14ac:dyDescent="0.25">
      <c r="B1144" s="27"/>
      <c r="C1144" s="28"/>
      <c r="D1144" s="28"/>
      <c r="E1144" s="27"/>
      <c r="F1144" s="27"/>
      <c r="G1144" s="28"/>
      <c r="H1144" s="28"/>
      <c r="I1144" s="36"/>
      <c r="J1144" s="27"/>
      <c r="K1144" s="29"/>
      <c r="L1144" s="29"/>
      <c r="M1144" s="29"/>
      <c r="N1144" s="29"/>
    </row>
    <row r="1145" spans="2:14" x14ac:dyDescent="0.25">
      <c r="B1145" s="27"/>
      <c r="C1145" s="28"/>
      <c r="D1145" s="28"/>
      <c r="E1145" s="27"/>
      <c r="F1145" s="27"/>
      <c r="G1145" s="28"/>
      <c r="H1145" s="28"/>
      <c r="I1145" s="36"/>
      <c r="J1145" s="27"/>
      <c r="K1145" s="29"/>
      <c r="L1145" s="29"/>
      <c r="M1145" s="29"/>
      <c r="N1145" s="29"/>
    </row>
    <row r="1146" spans="2:14" x14ac:dyDescent="0.25">
      <c r="B1146" s="27"/>
      <c r="C1146" s="28"/>
      <c r="D1146" s="28"/>
      <c r="E1146" s="27"/>
      <c r="F1146" s="27"/>
      <c r="G1146" s="28"/>
      <c r="H1146" s="28"/>
      <c r="I1146" s="36"/>
      <c r="J1146" s="27"/>
      <c r="K1146" s="29"/>
      <c r="L1146" s="29"/>
      <c r="M1146" s="29"/>
      <c r="N1146" s="29"/>
    </row>
    <row r="1147" spans="2:14" x14ac:dyDescent="0.25">
      <c r="B1147" s="27"/>
      <c r="C1147" s="28"/>
      <c r="D1147" s="28"/>
      <c r="E1147" s="27"/>
      <c r="F1147" s="27"/>
      <c r="G1147" s="28"/>
      <c r="H1147" s="28"/>
      <c r="I1147" s="36"/>
      <c r="J1147" s="27"/>
      <c r="K1147" s="29"/>
      <c r="L1147" s="29"/>
      <c r="M1147" s="29"/>
      <c r="N1147" s="29"/>
    </row>
    <row r="1148" spans="2:14" x14ac:dyDescent="0.25">
      <c r="B1148" s="27"/>
      <c r="C1148" s="28"/>
      <c r="D1148" s="28"/>
      <c r="E1148" s="27"/>
      <c r="F1148" s="27"/>
      <c r="G1148" s="28"/>
      <c r="H1148" s="28"/>
      <c r="I1148" s="36"/>
      <c r="J1148" s="27"/>
      <c r="K1148" s="29"/>
      <c r="L1148" s="29"/>
      <c r="M1148" s="29"/>
      <c r="N1148" s="29"/>
    </row>
    <row r="1149" spans="2:14" x14ac:dyDescent="0.25">
      <c r="B1149" s="27"/>
      <c r="C1149" s="28"/>
      <c r="D1149" s="28"/>
      <c r="E1149" s="27"/>
      <c r="F1149" s="27"/>
      <c r="G1149" s="28"/>
      <c r="H1149" s="28"/>
      <c r="I1149" s="36"/>
      <c r="J1149" s="27"/>
      <c r="K1149" s="29"/>
      <c r="L1149" s="29"/>
      <c r="M1149" s="29"/>
      <c r="N1149" s="29"/>
    </row>
    <row r="1150" spans="2:14" x14ac:dyDescent="0.25">
      <c r="B1150" s="27"/>
      <c r="C1150" s="28"/>
      <c r="D1150" s="28"/>
      <c r="E1150" s="27"/>
      <c r="F1150" s="27"/>
      <c r="G1150" s="28"/>
      <c r="H1150" s="28"/>
      <c r="I1150" s="36"/>
      <c r="J1150" s="27"/>
      <c r="K1150" s="29"/>
      <c r="L1150" s="29"/>
      <c r="M1150" s="29"/>
      <c r="N1150" s="29"/>
    </row>
    <row r="1151" spans="2:14" x14ac:dyDescent="0.25">
      <c r="B1151" s="27"/>
      <c r="C1151" s="28"/>
      <c r="D1151" s="28"/>
      <c r="E1151" s="27"/>
      <c r="F1151" s="27"/>
      <c r="G1151" s="28"/>
      <c r="H1151" s="28"/>
      <c r="I1151" s="36"/>
      <c r="J1151" s="27"/>
      <c r="K1151" s="29"/>
      <c r="L1151" s="29"/>
      <c r="M1151" s="29"/>
      <c r="N1151" s="29"/>
    </row>
    <row r="1152" spans="2:14" x14ac:dyDescent="0.25">
      <c r="B1152" s="27"/>
      <c r="C1152" s="28"/>
      <c r="D1152" s="28"/>
      <c r="E1152" s="27"/>
      <c r="F1152" s="27"/>
      <c r="G1152" s="28"/>
      <c r="H1152" s="28"/>
      <c r="I1152" s="36"/>
      <c r="J1152" s="27"/>
      <c r="K1152" s="29"/>
      <c r="L1152" s="29"/>
      <c r="M1152" s="29"/>
      <c r="N1152" s="29"/>
    </row>
    <row r="1153" spans="2:14" x14ac:dyDescent="0.25">
      <c r="B1153" s="27"/>
      <c r="C1153" s="28"/>
      <c r="D1153" s="28"/>
      <c r="E1153" s="27"/>
      <c r="F1153" s="27"/>
      <c r="G1153" s="28"/>
      <c r="H1153" s="28"/>
      <c r="I1153" s="36"/>
      <c r="J1153" s="27"/>
      <c r="K1153" s="29"/>
      <c r="L1153" s="29"/>
      <c r="M1153" s="29"/>
      <c r="N1153" s="29"/>
    </row>
    <row r="1154" spans="2:14" x14ac:dyDescent="0.25">
      <c r="B1154" s="27"/>
      <c r="C1154" s="28"/>
      <c r="D1154" s="28"/>
      <c r="E1154" s="27"/>
      <c r="F1154" s="27"/>
      <c r="G1154" s="28"/>
      <c r="H1154" s="28"/>
      <c r="I1154" s="36"/>
      <c r="J1154" s="27"/>
      <c r="K1154" s="29"/>
      <c r="L1154" s="29"/>
      <c r="M1154" s="29"/>
      <c r="N1154" s="29"/>
    </row>
    <row r="1155" spans="2:14" x14ac:dyDescent="0.25">
      <c r="B1155" s="27"/>
      <c r="C1155" s="28"/>
      <c r="D1155" s="28"/>
      <c r="E1155" s="27"/>
      <c r="F1155" s="27"/>
      <c r="G1155" s="28"/>
      <c r="H1155" s="28"/>
      <c r="I1155" s="36"/>
      <c r="J1155" s="27"/>
      <c r="K1155" s="29"/>
      <c r="L1155" s="29"/>
      <c r="M1155" s="29"/>
      <c r="N1155" s="29"/>
    </row>
    <row r="1156" spans="2:14" x14ac:dyDescent="0.25">
      <c r="B1156" s="27"/>
      <c r="C1156" s="28"/>
      <c r="D1156" s="28"/>
      <c r="E1156" s="27"/>
      <c r="F1156" s="27"/>
      <c r="G1156" s="28"/>
      <c r="H1156" s="28"/>
      <c r="I1156" s="36"/>
      <c r="J1156" s="27"/>
      <c r="K1156" s="29"/>
      <c r="L1156" s="29"/>
      <c r="M1156" s="29"/>
      <c r="N1156" s="29"/>
    </row>
    <row r="1157" spans="2:14" x14ac:dyDescent="0.25">
      <c r="B1157" s="27"/>
      <c r="C1157" s="28"/>
      <c r="D1157" s="28"/>
      <c r="E1157" s="27"/>
      <c r="F1157" s="27"/>
      <c r="G1157" s="28"/>
      <c r="H1157" s="28"/>
      <c r="I1157" s="36"/>
      <c r="J1157" s="27"/>
      <c r="K1157" s="29"/>
      <c r="L1157" s="29"/>
      <c r="M1157" s="29"/>
      <c r="N1157" s="29"/>
    </row>
    <row r="1158" spans="2:14" x14ac:dyDescent="0.25">
      <c r="B1158" s="27"/>
      <c r="C1158" s="28"/>
      <c r="D1158" s="28"/>
      <c r="E1158" s="27"/>
      <c r="F1158" s="27"/>
      <c r="G1158" s="28"/>
      <c r="H1158" s="28"/>
      <c r="I1158" s="36"/>
      <c r="J1158" s="27"/>
      <c r="K1158" s="29"/>
      <c r="L1158" s="29"/>
      <c r="M1158" s="29"/>
      <c r="N1158" s="29"/>
    </row>
    <row r="1159" spans="2:14" x14ac:dyDescent="0.25">
      <c r="B1159" s="27"/>
      <c r="C1159" s="28"/>
      <c r="D1159" s="28"/>
      <c r="E1159" s="27"/>
      <c r="F1159" s="27"/>
      <c r="G1159" s="28"/>
      <c r="H1159" s="28"/>
      <c r="I1159" s="36"/>
      <c r="J1159" s="27"/>
      <c r="K1159" s="29"/>
      <c r="L1159" s="29"/>
      <c r="M1159" s="29"/>
      <c r="N1159" s="29"/>
    </row>
    <row r="1160" spans="2:14" x14ac:dyDescent="0.25">
      <c r="B1160" s="27"/>
      <c r="C1160" s="28"/>
      <c r="D1160" s="28"/>
      <c r="E1160" s="27"/>
      <c r="F1160" s="27"/>
      <c r="G1160" s="28"/>
      <c r="H1160" s="28"/>
      <c r="I1160" s="36"/>
      <c r="J1160" s="27"/>
      <c r="K1160" s="29"/>
      <c r="L1160" s="29"/>
      <c r="M1160" s="29"/>
      <c r="N1160" s="29"/>
    </row>
    <row r="1161" spans="2:14" x14ac:dyDescent="0.25">
      <c r="B1161" s="27"/>
      <c r="C1161" s="28"/>
      <c r="D1161" s="28"/>
      <c r="E1161" s="27"/>
      <c r="F1161" s="27"/>
      <c r="G1161" s="28"/>
      <c r="H1161" s="28"/>
      <c r="I1161" s="36"/>
      <c r="J1161" s="27"/>
      <c r="K1161" s="29"/>
      <c r="L1161" s="29"/>
      <c r="M1161" s="29"/>
      <c r="N1161" s="29"/>
    </row>
    <row r="1162" spans="2:14" x14ac:dyDescent="0.25">
      <c r="B1162" s="27"/>
      <c r="C1162" s="28"/>
      <c r="D1162" s="28"/>
      <c r="E1162" s="27"/>
      <c r="F1162" s="27"/>
      <c r="G1162" s="28"/>
      <c r="H1162" s="28"/>
      <c r="I1162" s="36"/>
      <c r="J1162" s="27"/>
      <c r="K1162" s="29"/>
      <c r="L1162" s="29"/>
      <c r="M1162" s="29"/>
      <c r="N1162" s="29"/>
    </row>
    <row r="1163" spans="2:14" x14ac:dyDescent="0.25">
      <c r="B1163" s="27"/>
      <c r="C1163" s="28"/>
      <c r="D1163" s="28"/>
      <c r="E1163" s="27"/>
      <c r="F1163" s="27"/>
      <c r="G1163" s="28"/>
      <c r="H1163" s="28"/>
      <c r="I1163" s="36"/>
      <c r="J1163" s="27"/>
      <c r="K1163" s="29"/>
      <c r="L1163" s="29"/>
      <c r="M1163" s="29"/>
      <c r="N1163" s="29"/>
    </row>
    <row r="1164" spans="2:14" x14ac:dyDescent="0.25">
      <c r="B1164" s="27"/>
      <c r="C1164" s="28"/>
      <c r="D1164" s="28"/>
      <c r="E1164" s="27"/>
      <c r="F1164" s="27"/>
      <c r="G1164" s="28"/>
      <c r="H1164" s="28"/>
      <c r="I1164" s="36"/>
      <c r="J1164" s="27"/>
      <c r="K1164" s="29"/>
      <c r="L1164" s="29"/>
      <c r="M1164" s="29"/>
      <c r="N1164" s="29"/>
    </row>
    <row r="1165" spans="2:14" x14ac:dyDescent="0.25">
      <c r="B1165" s="27"/>
      <c r="C1165" s="28"/>
      <c r="D1165" s="28"/>
      <c r="E1165" s="27"/>
      <c r="F1165" s="27"/>
      <c r="G1165" s="28"/>
      <c r="H1165" s="28"/>
      <c r="I1165" s="36"/>
      <c r="J1165" s="27"/>
      <c r="K1165" s="29"/>
      <c r="L1165" s="29"/>
      <c r="M1165" s="29"/>
      <c r="N1165" s="29"/>
    </row>
    <row r="1166" spans="2:14" x14ac:dyDescent="0.25">
      <c r="B1166" s="27"/>
      <c r="C1166" s="28"/>
      <c r="D1166" s="28"/>
      <c r="E1166" s="27"/>
      <c r="F1166" s="27"/>
      <c r="G1166" s="28"/>
      <c r="H1166" s="28"/>
      <c r="I1166" s="36"/>
      <c r="J1166" s="27"/>
      <c r="K1166" s="29"/>
      <c r="L1166" s="29"/>
      <c r="M1166" s="29"/>
      <c r="N1166" s="29"/>
    </row>
    <row r="1167" spans="2:14" x14ac:dyDescent="0.25">
      <c r="B1167" s="27"/>
      <c r="C1167" s="28"/>
      <c r="D1167" s="28"/>
      <c r="E1167" s="27"/>
      <c r="F1167" s="27"/>
      <c r="G1167" s="28"/>
      <c r="H1167" s="28"/>
      <c r="I1167" s="36"/>
      <c r="J1167" s="27"/>
      <c r="K1167" s="29"/>
      <c r="L1167" s="29"/>
      <c r="M1167" s="29"/>
      <c r="N1167" s="29"/>
    </row>
    <row r="1168" spans="2:14" x14ac:dyDescent="0.25">
      <c r="B1168" s="27"/>
      <c r="C1168" s="28"/>
      <c r="D1168" s="28"/>
      <c r="E1168" s="27"/>
      <c r="F1168" s="27"/>
      <c r="G1168" s="28"/>
      <c r="H1168" s="28"/>
      <c r="I1168" s="36"/>
      <c r="J1168" s="27"/>
      <c r="K1168" s="29"/>
      <c r="L1168" s="29"/>
      <c r="M1168" s="29"/>
      <c r="N1168" s="29"/>
    </row>
    <row r="1169" spans="2:14" x14ac:dyDescent="0.25">
      <c r="B1169" s="27"/>
      <c r="C1169" s="28"/>
      <c r="D1169" s="28"/>
      <c r="E1169" s="27"/>
      <c r="F1169" s="27"/>
      <c r="G1169" s="28"/>
      <c r="H1169" s="28"/>
      <c r="I1169" s="36"/>
      <c r="J1169" s="27"/>
      <c r="K1169" s="29"/>
      <c r="L1169" s="29"/>
      <c r="M1169" s="29"/>
      <c r="N1169" s="29"/>
    </row>
    <row r="1170" spans="2:14" x14ac:dyDescent="0.25">
      <c r="B1170" s="27"/>
      <c r="C1170" s="28"/>
      <c r="D1170" s="28"/>
      <c r="E1170" s="27"/>
      <c r="F1170" s="27"/>
      <c r="G1170" s="28"/>
      <c r="H1170" s="28"/>
      <c r="I1170" s="36"/>
      <c r="J1170" s="27"/>
      <c r="K1170" s="29"/>
      <c r="L1170" s="29"/>
      <c r="M1170" s="29"/>
      <c r="N1170" s="29"/>
    </row>
    <row r="1171" spans="2:14" x14ac:dyDescent="0.25">
      <c r="B1171" s="27"/>
      <c r="C1171" s="28"/>
      <c r="D1171" s="28"/>
      <c r="E1171" s="27"/>
      <c r="F1171" s="27"/>
      <c r="G1171" s="28"/>
      <c r="H1171" s="28"/>
      <c r="I1171" s="36"/>
      <c r="J1171" s="27"/>
      <c r="K1171" s="29"/>
      <c r="L1171" s="29"/>
      <c r="M1171" s="29"/>
      <c r="N1171" s="29"/>
    </row>
    <row r="1172" spans="2:14" x14ac:dyDescent="0.25">
      <c r="B1172" s="27"/>
      <c r="C1172" s="28"/>
      <c r="D1172" s="28"/>
      <c r="E1172" s="27"/>
      <c r="F1172" s="27"/>
      <c r="G1172" s="28"/>
      <c r="H1172" s="28"/>
      <c r="I1172" s="36"/>
      <c r="J1172" s="27"/>
      <c r="K1172" s="29"/>
      <c r="L1172" s="29"/>
      <c r="M1172" s="29"/>
      <c r="N1172" s="29"/>
    </row>
    <row r="1173" spans="2:14" x14ac:dyDescent="0.25">
      <c r="B1173" s="27"/>
      <c r="C1173" s="28"/>
      <c r="D1173" s="28"/>
      <c r="E1173" s="27"/>
      <c r="F1173" s="27"/>
      <c r="G1173" s="28"/>
      <c r="H1173" s="28"/>
      <c r="I1173" s="36"/>
      <c r="J1173" s="27"/>
      <c r="K1173" s="29"/>
      <c r="L1173" s="29"/>
      <c r="M1173" s="29"/>
      <c r="N1173" s="29"/>
    </row>
    <row r="1174" spans="2:14" x14ac:dyDescent="0.25">
      <c r="B1174" s="27"/>
      <c r="C1174" s="28"/>
      <c r="D1174" s="28"/>
      <c r="E1174" s="27"/>
      <c r="F1174" s="27"/>
      <c r="G1174" s="28"/>
      <c r="H1174" s="28"/>
      <c r="I1174" s="36"/>
      <c r="J1174" s="27"/>
      <c r="K1174" s="29"/>
      <c r="L1174" s="29"/>
      <c r="M1174" s="29"/>
      <c r="N1174" s="29"/>
    </row>
    <row r="1175" spans="2:14" x14ac:dyDescent="0.25">
      <c r="B1175" s="27"/>
      <c r="C1175" s="28"/>
      <c r="D1175" s="28"/>
      <c r="E1175" s="27"/>
      <c r="F1175" s="27"/>
      <c r="G1175" s="28"/>
      <c r="H1175" s="28"/>
      <c r="I1175" s="36"/>
      <c r="J1175" s="27"/>
      <c r="K1175" s="29"/>
      <c r="L1175" s="29"/>
      <c r="M1175" s="29"/>
      <c r="N1175" s="29"/>
    </row>
    <row r="1176" spans="2:14" x14ac:dyDescent="0.25">
      <c r="B1176" s="27"/>
      <c r="C1176" s="28"/>
      <c r="D1176" s="28"/>
      <c r="E1176" s="27"/>
      <c r="F1176" s="27"/>
      <c r="G1176" s="28"/>
      <c r="H1176" s="28"/>
      <c r="I1176" s="36"/>
      <c r="J1176" s="27"/>
      <c r="K1176" s="29"/>
      <c r="L1176" s="29"/>
      <c r="M1176" s="29"/>
      <c r="N1176" s="29"/>
    </row>
    <row r="1177" spans="2:14" x14ac:dyDescent="0.25">
      <c r="B1177" s="27"/>
      <c r="C1177" s="28"/>
      <c r="D1177" s="28"/>
      <c r="E1177" s="27"/>
      <c r="F1177" s="27"/>
      <c r="G1177" s="28"/>
      <c r="H1177" s="28"/>
      <c r="I1177" s="36"/>
      <c r="J1177" s="27"/>
      <c r="K1177" s="29"/>
      <c r="L1177" s="29"/>
      <c r="M1177" s="29"/>
      <c r="N1177" s="29"/>
    </row>
    <row r="1178" spans="2:14" x14ac:dyDescent="0.25">
      <c r="B1178" s="27"/>
      <c r="C1178" s="28"/>
      <c r="D1178" s="28"/>
      <c r="E1178" s="27"/>
      <c r="F1178" s="27"/>
      <c r="G1178" s="28"/>
      <c r="H1178" s="28"/>
      <c r="I1178" s="36"/>
      <c r="J1178" s="27"/>
      <c r="K1178" s="29"/>
      <c r="L1178" s="29"/>
      <c r="M1178" s="29"/>
      <c r="N1178" s="29"/>
    </row>
    <row r="1179" spans="2:14" x14ac:dyDescent="0.25">
      <c r="B1179" s="27"/>
      <c r="C1179" s="28"/>
      <c r="D1179" s="28"/>
      <c r="E1179" s="27"/>
      <c r="F1179" s="27"/>
      <c r="G1179" s="28"/>
      <c r="H1179" s="28"/>
      <c r="I1179" s="36"/>
      <c r="J1179" s="27"/>
      <c r="K1179" s="29"/>
      <c r="L1179" s="29"/>
      <c r="M1179" s="29"/>
      <c r="N1179" s="29"/>
    </row>
    <row r="1180" spans="2:14" x14ac:dyDescent="0.25">
      <c r="B1180" s="27"/>
      <c r="C1180" s="28"/>
      <c r="D1180" s="28"/>
      <c r="E1180" s="27"/>
      <c r="F1180" s="27"/>
      <c r="G1180" s="28"/>
      <c r="H1180" s="28"/>
      <c r="I1180" s="36"/>
      <c r="J1180" s="27"/>
      <c r="K1180" s="29"/>
      <c r="L1180" s="29"/>
      <c r="M1180" s="29"/>
      <c r="N1180" s="29"/>
    </row>
    <row r="1181" spans="2:14" x14ac:dyDescent="0.25">
      <c r="B1181" s="27"/>
      <c r="C1181" s="28"/>
      <c r="D1181" s="28"/>
      <c r="E1181" s="27"/>
      <c r="F1181" s="27"/>
      <c r="G1181" s="28"/>
      <c r="H1181" s="28"/>
      <c r="I1181" s="36"/>
      <c r="J1181" s="27"/>
      <c r="K1181" s="29"/>
      <c r="L1181" s="29"/>
      <c r="M1181" s="29"/>
      <c r="N1181" s="29"/>
    </row>
    <row r="1182" spans="2:14" x14ac:dyDescent="0.25">
      <c r="B1182" s="27"/>
      <c r="C1182" s="28"/>
      <c r="D1182" s="28"/>
      <c r="E1182" s="27"/>
      <c r="F1182" s="27"/>
      <c r="G1182" s="28"/>
      <c r="H1182" s="28"/>
      <c r="I1182" s="36"/>
      <c r="J1182" s="27"/>
      <c r="K1182" s="29"/>
      <c r="L1182" s="29"/>
      <c r="M1182" s="29"/>
      <c r="N1182" s="29"/>
    </row>
    <row r="1183" spans="2:14" x14ac:dyDescent="0.25">
      <c r="B1183" s="27"/>
      <c r="C1183" s="28"/>
      <c r="D1183" s="28"/>
      <c r="E1183" s="27"/>
      <c r="F1183" s="27"/>
      <c r="G1183" s="28"/>
      <c r="H1183" s="28"/>
      <c r="I1183" s="36"/>
      <c r="J1183" s="27"/>
      <c r="K1183" s="29"/>
      <c r="L1183" s="29"/>
      <c r="M1183" s="29"/>
      <c r="N1183" s="29"/>
    </row>
    <row r="1184" spans="2:14" x14ac:dyDescent="0.25">
      <c r="B1184" s="27"/>
      <c r="C1184" s="28"/>
      <c r="D1184" s="28"/>
      <c r="E1184" s="27"/>
      <c r="F1184" s="27"/>
      <c r="G1184" s="28"/>
      <c r="H1184" s="28"/>
      <c r="I1184" s="36"/>
      <c r="J1184" s="27"/>
      <c r="K1184" s="29"/>
      <c r="L1184" s="29"/>
      <c r="M1184" s="29"/>
      <c r="N1184" s="29"/>
    </row>
    <row r="1185" spans="2:14" x14ac:dyDescent="0.25">
      <c r="B1185" s="27"/>
      <c r="C1185" s="28"/>
      <c r="D1185" s="28"/>
      <c r="E1185" s="27"/>
      <c r="F1185" s="27"/>
      <c r="G1185" s="28"/>
      <c r="H1185" s="28"/>
      <c r="I1185" s="36"/>
      <c r="J1185" s="27"/>
      <c r="K1185" s="29"/>
      <c r="L1185" s="29"/>
      <c r="M1185" s="29"/>
      <c r="N1185" s="29"/>
    </row>
    <row r="1186" spans="2:14" x14ac:dyDescent="0.25">
      <c r="B1186" s="27"/>
      <c r="C1186" s="28"/>
      <c r="D1186" s="28"/>
      <c r="E1186" s="27"/>
      <c r="F1186" s="27"/>
      <c r="G1186" s="28"/>
      <c r="H1186" s="28"/>
      <c r="I1186" s="36"/>
      <c r="J1186" s="27"/>
      <c r="K1186" s="29"/>
      <c r="L1186" s="29"/>
      <c r="M1186" s="29"/>
      <c r="N1186" s="29"/>
    </row>
    <row r="1187" spans="2:14" x14ac:dyDescent="0.25">
      <c r="B1187" s="27"/>
      <c r="C1187" s="28"/>
      <c r="D1187" s="28"/>
      <c r="E1187" s="27"/>
      <c r="F1187" s="27"/>
      <c r="G1187" s="28"/>
      <c r="H1187" s="28"/>
      <c r="I1187" s="36"/>
      <c r="J1187" s="27"/>
      <c r="K1187" s="29"/>
      <c r="L1187" s="29"/>
      <c r="M1187" s="29"/>
      <c r="N1187" s="29"/>
    </row>
    <row r="1188" spans="2:14" x14ac:dyDescent="0.25">
      <c r="B1188" s="27"/>
      <c r="C1188" s="28"/>
      <c r="D1188" s="28"/>
      <c r="E1188" s="27"/>
      <c r="F1188" s="27"/>
      <c r="G1188" s="28"/>
      <c r="H1188" s="28"/>
      <c r="I1188" s="36"/>
      <c r="J1188" s="27"/>
      <c r="K1188" s="29"/>
      <c r="L1188" s="29"/>
      <c r="M1188" s="29"/>
      <c r="N1188" s="29"/>
    </row>
    <row r="1189" spans="2:14" x14ac:dyDescent="0.25">
      <c r="B1189" s="27"/>
      <c r="C1189" s="28"/>
      <c r="D1189" s="28"/>
      <c r="E1189" s="27"/>
      <c r="F1189" s="27"/>
      <c r="G1189" s="28"/>
      <c r="H1189" s="28"/>
      <c r="I1189" s="36"/>
      <c r="J1189" s="27"/>
      <c r="K1189" s="29"/>
      <c r="L1189" s="29"/>
      <c r="M1189" s="29"/>
      <c r="N1189" s="29"/>
    </row>
    <row r="1190" spans="2:14" x14ac:dyDescent="0.25">
      <c r="B1190" s="27"/>
      <c r="C1190" s="28"/>
      <c r="D1190" s="28"/>
      <c r="E1190" s="27"/>
      <c r="F1190" s="27"/>
      <c r="G1190" s="28"/>
      <c r="H1190" s="28"/>
      <c r="I1190" s="36"/>
      <c r="J1190" s="27"/>
      <c r="K1190" s="29"/>
      <c r="L1190" s="29"/>
      <c r="M1190" s="29"/>
      <c r="N1190" s="29"/>
    </row>
    <row r="1191" spans="2:14" x14ac:dyDescent="0.25">
      <c r="B1191" s="27"/>
      <c r="C1191" s="28"/>
      <c r="D1191" s="28"/>
      <c r="E1191" s="27"/>
      <c r="F1191" s="27"/>
      <c r="G1191" s="28"/>
      <c r="H1191" s="28"/>
      <c r="I1191" s="36"/>
      <c r="J1191" s="27"/>
      <c r="K1191" s="29"/>
      <c r="L1191" s="29"/>
      <c r="M1191" s="29"/>
      <c r="N1191" s="29"/>
    </row>
    <row r="1192" spans="2:14" x14ac:dyDescent="0.25">
      <c r="B1192" s="27"/>
      <c r="C1192" s="28"/>
      <c r="D1192" s="28"/>
      <c r="E1192" s="27"/>
      <c r="F1192" s="27"/>
      <c r="G1192" s="28"/>
      <c r="H1192" s="28"/>
      <c r="I1192" s="36"/>
      <c r="J1192" s="27"/>
      <c r="K1192" s="29"/>
      <c r="L1192" s="29"/>
      <c r="M1192" s="29"/>
      <c r="N1192" s="29"/>
    </row>
    <row r="1193" spans="2:14" x14ac:dyDescent="0.25">
      <c r="B1193" s="27"/>
      <c r="C1193" s="28"/>
      <c r="D1193" s="28"/>
      <c r="E1193" s="27"/>
      <c r="F1193" s="27"/>
      <c r="G1193" s="28"/>
      <c r="H1193" s="28"/>
      <c r="I1193" s="36"/>
      <c r="J1193" s="27"/>
      <c r="K1193" s="29"/>
      <c r="L1193" s="29"/>
      <c r="M1193" s="29"/>
      <c r="N1193" s="29"/>
    </row>
    <row r="1194" spans="2:14" x14ac:dyDescent="0.25">
      <c r="B1194" s="27"/>
      <c r="C1194" s="28"/>
      <c r="D1194" s="28"/>
      <c r="E1194" s="27"/>
      <c r="F1194" s="27"/>
      <c r="G1194" s="28"/>
      <c r="H1194" s="28"/>
      <c r="I1194" s="36"/>
      <c r="J1194" s="27"/>
      <c r="K1194" s="29"/>
      <c r="L1194" s="29"/>
      <c r="M1194" s="29"/>
      <c r="N1194" s="29"/>
    </row>
    <row r="1195" spans="2:14" x14ac:dyDescent="0.25">
      <c r="B1195" s="27"/>
      <c r="C1195" s="28"/>
      <c r="D1195" s="28"/>
      <c r="E1195" s="27"/>
      <c r="F1195" s="27"/>
      <c r="G1195" s="28"/>
      <c r="H1195" s="28"/>
      <c r="I1195" s="36"/>
      <c r="J1195" s="27"/>
      <c r="K1195" s="29"/>
      <c r="L1195" s="29"/>
      <c r="M1195" s="29"/>
      <c r="N1195" s="29"/>
    </row>
    <row r="1196" spans="2:14" x14ac:dyDescent="0.25">
      <c r="B1196" s="27"/>
      <c r="C1196" s="28"/>
      <c r="D1196" s="28"/>
      <c r="E1196" s="27"/>
      <c r="F1196" s="27"/>
      <c r="G1196" s="28"/>
      <c r="H1196" s="28"/>
      <c r="I1196" s="36"/>
      <c r="J1196" s="27"/>
      <c r="K1196" s="29"/>
      <c r="L1196" s="29"/>
      <c r="M1196" s="29"/>
      <c r="N1196" s="29"/>
    </row>
    <row r="1197" spans="2:14" x14ac:dyDescent="0.25">
      <c r="B1197" s="27"/>
      <c r="C1197" s="28"/>
      <c r="D1197" s="28"/>
      <c r="E1197" s="27"/>
      <c r="F1197" s="27"/>
      <c r="G1197" s="28"/>
      <c r="H1197" s="28"/>
      <c r="I1197" s="36"/>
      <c r="J1197" s="27"/>
      <c r="K1197" s="29"/>
      <c r="L1197" s="29"/>
      <c r="M1197" s="29"/>
      <c r="N1197" s="29"/>
    </row>
    <row r="1198" spans="2:14" x14ac:dyDescent="0.25">
      <c r="B1198" s="27"/>
      <c r="C1198" s="28"/>
      <c r="D1198" s="28"/>
      <c r="E1198" s="27"/>
      <c r="F1198" s="27"/>
      <c r="G1198" s="28"/>
      <c r="H1198" s="28"/>
      <c r="I1198" s="36"/>
      <c r="J1198" s="27"/>
      <c r="K1198" s="29"/>
      <c r="L1198" s="29"/>
      <c r="M1198" s="29"/>
      <c r="N1198" s="29"/>
    </row>
    <row r="1199" spans="2:14" x14ac:dyDescent="0.25">
      <c r="B1199" s="27"/>
      <c r="C1199" s="28"/>
      <c r="D1199" s="28"/>
      <c r="E1199" s="27"/>
      <c r="F1199" s="27"/>
      <c r="G1199" s="28"/>
      <c r="H1199" s="28"/>
      <c r="I1199" s="36"/>
      <c r="J1199" s="27"/>
      <c r="K1199" s="29"/>
      <c r="L1199" s="29"/>
      <c r="M1199" s="29"/>
      <c r="N1199" s="29"/>
    </row>
    <row r="1200" spans="2:14" x14ac:dyDescent="0.25">
      <c r="B1200" s="27"/>
      <c r="C1200" s="28"/>
      <c r="D1200" s="28"/>
      <c r="E1200" s="27"/>
      <c r="F1200" s="27"/>
      <c r="G1200" s="28"/>
      <c r="H1200" s="28"/>
      <c r="I1200" s="36"/>
      <c r="J1200" s="27"/>
      <c r="K1200" s="29"/>
      <c r="L1200" s="29"/>
      <c r="M1200" s="29"/>
      <c r="N1200" s="29"/>
    </row>
    <row r="1201" spans="2:14" x14ac:dyDescent="0.25">
      <c r="B1201" s="27"/>
      <c r="C1201" s="28"/>
      <c r="D1201" s="28"/>
      <c r="E1201" s="27"/>
      <c r="F1201" s="27"/>
      <c r="G1201" s="28"/>
      <c r="H1201" s="28"/>
      <c r="I1201" s="36"/>
      <c r="J1201" s="27"/>
      <c r="K1201" s="29"/>
      <c r="L1201" s="29"/>
      <c r="M1201" s="29"/>
      <c r="N1201" s="29"/>
    </row>
    <row r="1202" spans="2:14" x14ac:dyDescent="0.25">
      <c r="B1202" s="27"/>
      <c r="C1202" s="28"/>
      <c r="D1202" s="28"/>
      <c r="E1202" s="27"/>
      <c r="F1202" s="27"/>
      <c r="G1202" s="28"/>
      <c r="H1202" s="28"/>
      <c r="I1202" s="36"/>
      <c r="J1202" s="27"/>
      <c r="K1202" s="29"/>
      <c r="L1202" s="29"/>
      <c r="M1202" s="29"/>
      <c r="N1202" s="29"/>
    </row>
    <row r="1203" spans="2:14" x14ac:dyDescent="0.25">
      <c r="B1203" s="27"/>
      <c r="C1203" s="28"/>
      <c r="D1203" s="28"/>
      <c r="E1203" s="27"/>
      <c r="F1203" s="27"/>
      <c r="G1203" s="28"/>
      <c r="H1203" s="28"/>
      <c r="I1203" s="36"/>
      <c r="J1203" s="27"/>
      <c r="K1203" s="29"/>
      <c r="L1203" s="29"/>
      <c r="M1203" s="29"/>
      <c r="N1203" s="29"/>
    </row>
    <row r="1204" spans="2:14" x14ac:dyDescent="0.25">
      <c r="B1204" s="27"/>
      <c r="C1204" s="28"/>
      <c r="D1204" s="28"/>
      <c r="E1204" s="27"/>
      <c r="F1204" s="27"/>
      <c r="G1204" s="28"/>
      <c r="H1204" s="28"/>
      <c r="I1204" s="36"/>
      <c r="J1204" s="27"/>
      <c r="K1204" s="29"/>
      <c r="L1204" s="29"/>
      <c r="M1204" s="29"/>
      <c r="N1204" s="29"/>
    </row>
    <row r="1205" spans="2:14" x14ac:dyDescent="0.25">
      <c r="B1205" s="27"/>
      <c r="C1205" s="28"/>
      <c r="D1205" s="28"/>
      <c r="E1205" s="27"/>
      <c r="F1205" s="27"/>
      <c r="G1205" s="28"/>
      <c r="H1205" s="28"/>
      <c r="I1205" s="36"/>
      <c r="J1205" s="27"/>
      <c r="K1205" s="29"/>
      <c r="L1205" s="29"/>
      <c r="M1205" s="29"/>
      <c r="N1205" s="29"/>
    </row>
    <row r="1206" spans="2:14" x14ac:dyDescent="0.25">
      <c r="B1206" s="27"/>
      <c r="C1206" s="28"/>
      <c r="D1206" s="28"/>
      <c r="E1206" s="27"/>
      <c r="F1206" s="27"/>
      <c r="G1206" s="28"/>
      <c r="H1206" s="28"/>
      <c r="I1206" s="36"/>
      <c r="J1206" s="27"/>
      <c r="K1206" s="29"/>
      <c r="L1206" s="29"/>
      <c r="M1206" s="29"/>
      <c r="N1206" s="29"/>
    </row>
    <row r="1207" spans="2:14" x14ac:dyDescent="0.25">
      <c r="B1207" s="27"/>
      <c r="C1207" s="28"/>
      <c r="D1207" s="28"/>
      <c r="E1207" s="27"/>
      <c r="F1207" s="27"/>
      <c r="G1207" s="28"/>
      <c r="H1207" s="28"/>
      <c r="I1207" s="36"/>
      <c r="J1207" s="27"/>
      <c r="K1207" s="29"/>
      <c r="L1207" s="29"/>
      <c r="M1207" s="29"/>
      <c r="N1207" s="29"/>
    </row>
    <row r="1208" spans="2:14" x14ac:dyDescent="0.25">
      <c r="B1208" s="27"/>
      <c r="C1208" s="28"/>
      <c r="D1208" s="28"/>
      <c r="E1208" s="27"/>
      <c r="F1208" s="27"/>
      <c r="G1208" s="28"/>
      <c r="H1208" s="28"/>
      <c r="I1208" s="36"/>
      <c r="J1208" s="27"/>
      <c r="K1208" s="29"/>
      <c r="L1208" s="29"/>
      <c r="M1208" s="29"/>
      <c r="N1208" s="29"/>
    </row>
    <row r="1209" spans="2:14" x14ac:dyDescent="0.25">
      <c r="B1209" s="27"/>
      <c r="C1209" s="28"/>
      <c r="D1209" s="28"/>
      <c r="E1209" s="27"/>
      <c r="F1209" s="27"/>
      <c r="G1209" s="28"/>
      <c r="H1209" s="28"/>
      <c r="I1209" s="36"/>
      <c r="J1209" s="27"/>
      <c r="K1209" s="29"/>
      <c r="L1209" s="29"/>
      <c r="M1209" s="29"/>
      <c r="N1209" s="29"/>
    </row>
    <row r="1210" spans="2:14" x14ac:dyDescent="0.25">
      <c r="B1210" s="27"/>
      <c r="C1210" s="28"/>
      <c r="D1210" s="28"/>
      <c r="E1210" s="27"/>
      <c r="F1210" s="27"/>
      <c r="G1210" s="28"/>
      <c r="H1210" s="28"/>
      <c r="I1210" s="36"/>
      <c r="J1210" s="27"/>
      <c r="K1210" s="29"/>
      <c r="L1210" s="29"/>
      <c r="M1210" s="29"/>
      <c r="N1210" s="29"/>
    </row>
    <row r="1211" spans="2:14" x14ac:dyDescent="0.25">
      <c r="B1211" s="27"/>
      <c r="C1211" s="28"/>
      <c r="D1211" s="28"/>
      <c r="E1211" s="27"/>
      <c r="F1211" s="27"/>
      <c r="G1211" s="28"/>
      <c r="H1211" s="28"/>
      <c r="I1211" s="36"/>
      <c r="J1211" s="27"/>
      <c r="K1211" s="29"/>
      <c r="L1211" s="29"/>
      <c r="M1211" s="29"/>
      <c r="N1211" s="29"/>
    </row>
    <row r="1212" spans="2:14" x14ac:dyDescent="0.25">
      <c r="B1212" s="27"/>
      <c r="C1212" s="28"/>
      <c r="D1212" s="28"/>
      <c r="E1212" s="27"/>
      <c r="F1212" s="27"/>
      <c r="G1212" s="28"/>
      <c r="H1212" s="28"/>
      <c r="I1212" s="36"/>
      <c r="J1212" s="27"/>
      <c r="K1212" s="29"/>
      <c r="L1212" s="29"/>
      <c r="M1212" s="29"/>
      <c r="N1212" s="29"/>
    </row>
    <row r="1213" spans="2:14" x14ac:dyDescent="0.25">
      <c r="B1213" s="27"/>
      <c r="C1213" s="28"/>
      <c r="D1213" s="28"/>
      <c r="E1213" s="27"/>
      <c r="F1213" s="27"/>
      <c r="G1213" s="28"/>
      <c r="H1213" s="28"/>
      <c r="I1213" s="36"/>
      <c r="J1213" s="27"/>
      <c r="K1213" s="29"/>
      <c r="L1213" s="29"/>
      <c r="M1213" s="29"/>
      <c r="N1213" s="29"/>
    </row>
    <row r="1214" spans="2:14" x14ac:dyDescent="0.25">
      <c r="B1214" s="27"/>
      <c r="C1214" s="28"/>
      <c r="D1214" s="28"/>
      <c r="E1214" s="27"/>
      <c r="F1214" s="27"/>
      <c r="G1214" s="28"/>
      <c r="H1214" s="28"/>
      <c r="I1214" s="36"/>
      <c r="J1214" s="27"/>
      <c r="K1214" s="29"/>
      <c r="L1214" s="29"/>
      <c r="M1214" s="29"/>
      <c r="N1214" s="29"/>
    </row>
    <row r="1215" spans="2:14" x14ac:dyDescent="0.25">
      <c r="B1215" s="27"/>
      <c r="C1215" s="28"/>
      <c r="D1215" s="28"/>
      <c r="E1215" s="27"/>
      <c r="F1215" s="27"/>
      <c r="G1215" s="28"/>
      <c r="H1215" s="28"/>
      <c r="I1215" s="36"/>
      <c r="J1215" s="27"/>
      <c r="K1215" s="29"/>
      <c r="L1215" s="29"/>
      <c r="M1215" s="29"/>
      <c r="N1215" s="29"/>
    </row>
    <row r="1216" spans="2:14" x14ac:dyDescent="0.25">
      <c r="B1216" s="27"/>
      <c r="C1216" s="28"/>
      <c r="D1216" s="28"/>
      <c r="E1216" s="27"/>
      <c r="F1216" s="27"/>
      <c r="G1216" s="28"/>
      <c r="H1216" s="28"/>
      <c r="I1216" s="36"/>
      <c r="J1216" s="27"/>
      <c r="K1216" s="29"/>
      <c r="L1216" s="29"/>
      <c r="M1216" s="29"/>
      <c r="N1216" s="29"/>
    </row>
    <row r="1217" spans="2:14" x14ac:dyDescent="0.25">
      <c r="B1217" s="27"/>
      <c r="C1217" s="28"/>
      <c r="D1217" s="28"/>
      <c r="E1217" s="27"/>
      <c r="F1217" s="27"/>
      <c r="G1217" s="28"/>
      <c r="H1217" s="28"/>
      <c r="I1217" s="36"/>
      <c r="J1217" s="27"/>
      <c r="K1217" s="29"/>
      <c r="L1217" s="29"/>
      <c r="M1217" s="29"/>
      <c r="N1217" s="29"/>
    </row>
    <row r="1218" spans="2:14" x14ac:dyDescent="0.25">
      <c r="B1218" s="27"/>
      <c r="C1218" s="28"/>
      <c r="D1218" s="28"/>
      <c r="E1218" s="27"/>
      <c r="F1218" s="27"/>
      <c r="G1218" s="28"/>
      <c r="H1218" s="28"/>
      <c r="I1218" s="36"/>
      <c r="J1218" s="27"/>
      <c r="K1218" s="29"/>
      <c r="L1218" s="29"/>
      <c r="M1218" s="29"/>
      <c r="N1218" s="29"/>
    </row>
    <row r="1219" spans="2:14" x14ac:dyDescent="0.25">
      <c r="B1219" s="27"/>
      <c r="C1219" s="28"/>
      <c r="D1219" s="28"/>
      <c r="E1219" s="27"/>
      <c r="F1219" s="27"/>
      <c r="G1219" s="28"/>
      <c r="H1219" s="28"/>
      <c r="I1219" s="36"/>
      <c r="J1219" s="27"/>
      <c r="K1219" s="29"/>
      <c r="L1219" s="29"/>
      <c r="M1219" s="29"/>
      <c r="N1219" s="29"/>
    </row>
    <row r="1220" spans="2:14" x14ac:dyDescent="0.25">
      <c r="B1220" s="27"/>
      <c r="C1220" s="28"/>
      <c r="D1220" s="28"/>
      <c r="E1220" s="27"/>
      <c r="F1220" s="27"/>
      <c r="G1220" s="28"/>
      <c r="H1220" s="28"/>
      <c r="I1220" s="36"/>
      <c r="J1220" s="27"/>
      <c r="K1220" s="29"/>
      <c r="L1220" s="29"/>
      <c r="M1220" s="29"/>
      <c r="N1220" s="29"/>
    </row>
    <row r="1221" spans="2:14" x14ac:dyDescent="0.25">
      <c r="B1221" s="27"/>
      <c r="C1221" s="28"/>
      <c r="D1221" s="28"/>
      <c r="E1221" s="27"/>
      <c r="F1221" s="27"/>
      <c r="G1221" s="28"/>
      <c r="H1221" s="28"/>
      <c r="I1221" s="36"/>
      <c r="J1221" s="27"/>
      <c r="K1221" s="29"/>
      <c r="L1221" s="29"/>
      <c r="M1221" s="29"/>
      <c r="N1221" s="29"/>
    </row>
    <row r="1222" spans="2:14" x14ac:dyDescent="0.25">
      <c r="B1222" s="27"/>
      <c r="C1222" s="28"/>
      <c r="D1222" s="28"/>
      <c r="E1222" s="27"/>
      <c r="F1222" s="27"/>
      <c r="G1222" s="28"/>
      <c r="H1222" s="28"/>
      <c r="I1222" s="36"/>
      <c r="J1222" s="27"/>
      <c r="K1222" s="29"/>
      <c r="L1222" s="29"/>
      <c r="M1222" s="29"/>
      <c r="N1222" s="29"/>
    </row>
    <row r="1223" spans="2:14" x14ac:dyDescent="0.25">
      <c r="B1223" s="27"/>
      <c r="C1223" s="28"/>
      <c r="D1223" s="28"/>
      <c r="E1223" s="27"/>
      <c r="F1223" s="27"/>
      <c r="G1223" s="28"/>
      <c r="H1223" s="28"/>
      <c r="I1223" s="36"/>
      <c r="J1223" s="27"/>
      <c r="K1223" s="29"/>
      <c r="L1223" s="29"/>
      <c r="M1223" s="29"/>
      <c r="N1223" s="29"/>
    </row>
    <row r="1224" spans="2:14" x14ac:dyDescent="0.25">
      <c r="B1224" s="27"/>
      <c r="C1224" s="28"/>
      <c r="D1224" s="28"/>
      <c r="E1224" s="27"/>
      <c r="F1224" s="27"/>
      <c r="G1224" s="28"/>
      <c r="H1224" s="28"/>
      <c r="I1224" s="36"/>
      <c r="J1224" s="27"/>
      <c r="K1224" s="29"/>
      <c r="L1224" s="29"/>
      <c r="M1224" s="29"/>
      <c r="N1224" s="29"/>
    </row>
    <row r="1225" spans="2:14" x14ac:dyDescent="0.25">
      <c r="B1225" s="27"/>
      <c r="C1225" s="28"/>
      <c r="D1225" s="28"/>
      <c r="E1225" s="27"/>
      <c r="F1225" s="27"/>
      <c r="G1225" s="28"/>
      <c r="H1225" s="28"/>
      <c r="I1225" s="36"/>
      <c r="J1225" s="27"/>
      <c r="K1225" s="29"/>
      <c r="L1225" s="29"/>
      <c r="M1225" s="29"/>
      <c r="N1225" s="29"/>
    </row>
    <row r="1226" spans="2:14" x14ac:dyDescent="0.25">
      <c r="B1226" s="27"/>
      <c r="C1226" s="28"/>
      <c r="D1226" s="28"/>
      <c r="E1226" s="27"/>
      <c r="F1226" s="27"/>
      <c r="G1226" s="28"/>
      <c r="H1226" s="28"/>
      <c r="I1226" s="36"/>
      <c r="J1226" s="27"/>
      <c r="K1226" s="29"/>
      <c r="L1226" s="29"/>
      <c r="M1226" s="29"/>
      <c r="N1226" s="29"/>
    </row>
    <row r="1227" spans="2:14" x14ac:dyDescent="0.25">
      <c r="B1227" s="27"/>
      <c r="C1227" s="28"/>
      <c r="D1227" s="28"/>
      <c r="E1227" s="27"/>
      <c r="F1227" s="27"/>
      <c r="G1227" s="28"/>
      <c r="H1227" s="28"/>
      <c r="I1227" s="36"/>
      <c r="J1227" s="27"/>
      <c r="K1227" s="29"/>
      <c r="L1227" s="29"/>
      <c r="M1227" s="29"/>
      <c r="N1227" s="29"/>
    </row>
    <row r="1228" spans="2:14" x14ac:dyDescent="0.25">
      <c r="B1228" s="27"/>
      <c r="C1228" s="28"/>
      <c r="D1228" s="28"/>
      <c r="E1228" s="27"/>
      <c r="F1228" s="27"/>
      <c r="G1228" s="28"/>
      <c r="H1228" s="28"/>
      <c r="I1228" s="36"/>
      <c r="J1228" s="27"/>
      <c r="K1228" s="29"/>
      <c r="L1228" s="29"/>
      <c r="M1228" s="29"/>
      <c r="N1228" s="29"/>
    </row>
    <row r="1229" spans="2:14" x14ac:dyDescent="0.25">
      <c r="B1229" s="27"/>
      <c r="C1229" s="28"/>
      <c r="D1229" s="28"/>
      <c r="E1229" s="27"/>
      <c r="F1229" s="27"/>
      <c r="G1229" s="28"/>
      <c r="H1229" s="28"/>
      <c r="I1229" s="36"/>
      <c r="J1229" s="27"/>
      <c r="K1229" s="29"/>
      <c r="L1229" s="29"/>
      <c r="M1229" s="29"/>
      <c r="N1229" s="29"/>
    </row>
    <row r="1230" spans="2:14" x14ac:dyDescent="0.25">
      <c r="B1230" s="27"/>
      <c r="C1230" s="28"/>
      <c r="D1230" s="28"/>
      <c r="E1230" s="27"/>
      <c r="F1230" s="27"/>
      <c r="G1230" s="28"/>
      <c r="H1230" s="28"/>
      <c r="I1230" s="36"/>
      <c r="J1230" s="27"/>
      <c r="K1230" s="29"/>
      <c r="L1230" s="29"/>
      <c r="M1230" s="29"/>
      <c r="N1230" s="29"/>
    </row>
    <row r="1231" spans="2:14" x14ac:dyDescent="0.25">
      <c r="B1231" s="27"/>
      <c r="C1231" s="28"/>
      <c r="D1231" s="28"/>
      <c r="E1231" s="27"/>
      <c r="F1231" s="27"/>
      <c r="G1231" s="28"/>
      <c r="H1231" s="28"/>
      <c r="I1231" s="36"/>
      <c r="J1231" s="27"/>
      <c r="K1231" s="29"/>
      <c r="L1231" s="29"/>
      <c r="M1231" s="29"/>
      <c r="N1231" s="29"/>
    </row>
    <row r="1232" spans="2:14" x14ac:dyDescent="0.25">
      <c r="B1232" s="27"/>
      <c r="C1232" s="28"/>
      <c r="D1232" s="28"/>
      <c r="E1232" s="27"/>
      <c r="F1232" s="27"/>
      <c r="G1232" s="28"/>
      <c r="H1232" s="28"/>
      <c r="I1232" s="36"/>
      <c r="J1232" s="27"/>
      <c r="K1232" s="29"/>
      <c r="L1232" s="29"/>
      <c r="M1232" s="29"/>
      <c r="N1232" s="29"/>
    </row>
    <row r="1233" spans="2:14" x14ac:dyDescent="0.25">
      <c r="B1233" s="27"/>
      <c r="C1233" s="28"/>
      <c r="D1233" s="28"/>
      <c r="E1233" s="27"/>
      <c r="F1233" s="27"/>
      <c r="G1233" s="28"/>
      <c r="H1233" s="28"/>
      <c r="I1233" s="36"/>
      <c r="J1233" s="27"/>
      <c r="K1233" s="29"/>
      <c r="L1233" s="29"/>
      <c r="M1233" s="29"/>
      <c r="N1233" s="29"/>
    </row>
    <row r="1234" spans="2:14" x14ac:dyDescent="0.25">
      <c r="B1234" s="27"/>
      <c r="C1234" s="28"/>
      <c r="D1234" s="28"/>
      <c r="E1234" s="27"/>
      <c r="F1234" s="27"/>
      <c r="G1234" s="28"/>
      <c r="H1234" s="28"/>
      <c r="I1234" s="36"/>
      <c r="J1234" s="27"/>
      <c r="K1234" s="29"/>
      <c r="L1234" s="29"/>
      <c r="M1234" s="29"/>
      <c r="N1234" s="29"/>
    </row>
    <row r="1235" spans="2:14" x14ac:dyDescent="0.25">
      <c r="B1235" s="27"/>
      <c r="C1235" s="28"/>
      <c r="D1235" s="28"/>
      <c r="E1235" s="27"/>
      <c r="F1235" s="27"/>
      <c r="G1235" s="28"/>
      <c r="H1235" s="28"/>
      <c r="I1235" s="36"/>
      <c r="J1235" s="27"/>
      <c r="K1235" s="29"/>
      <c r="L1235" s="29"/>
      <c r="M1235" s="29"/>
      <c r="N1235" s="29"/>
    </row>
    <row r="1236" spans="2:14" x14ac:dyDescent="0.25">
      <c r="B1236" s="27"/>
      <c r="C1236" s="28"/>
      <c r="D1236" s="28"/>
      <c r="E1236" s="27"/>
      <c r="F1236" s="27"/>
      <c r="G1236" s="28"/>
      <c r="H1236" s="28"/>
      <c r="I1236" s="36"/>
      <c r="J1236" s="27"/>
      <c r="K1236" s="29"/>
      <c r="L1236" s="29"/>
      <c r="M1236" s="29"/>
      <c r="N1236" s="29"/>
    </row>
    <row r="1237" spans="2:14" x14ac:dyDescent="0.25">
      <c r="B1237" s="27"/>
      <c r="C1237" s="28"/>
      <c r="D1237" s="28"/>
      <c r="E1237" s="27"/>
      <c r="F1237" s="27"/>
      <c r="G1237" s="28"/>
      <c r="H1237" s="28"/>
      <c r="I1237" s="36"/>
      <c r="J1237" s="27"/>
      <c r="K1237" s="29"/>
      <c r="L1237" s="29"/>
      <c r="M1237" s="29"/>
      <c r="N1237" s="29"/>
    </row>
    <row r="1238" spans="2:14" x14ac:dyDescent="0.25">
      <c r="B1238" s="27"/>
      <c r="C1238" s="28"/>
      <c r="D1238" s="28"/>
      <c r="E1238" s="27"/>
      <c r="F1238" s="27"/>
      <c r="G1238" s="28"/>
      <c r="H1238" s="28"/>
      <c r="I1238" s="36"/>
      <c r="J1238" s="27"/>
      <c r="K1238" s="29"/>
      <c r="L1238" s="29"/>
      <c r="M1238" s="29"/>
      <c r="N1238" s="29"/>
    </row>
    <row r="1239" spans="2:14" x14ac:dyDescent="0.25">
      <c r="B1239" s="27"/>
      <c r="C1239" s="28"/>
      <c r="D1239" s="28"/>
      <c r="E1239" s="27"/>
      <c r="F1239" s="27"/>
      <c r="G1239" s="28"/>
      <c r="H1239" s="28"/>
      <c r="I1239" s="36"/>
      <c r="J1239" s="27"/>
      <c r="K1239" s="29"/>
      <c r="L1239" s="29"/>
      <c r="M1239" s="29"/>
      <c r="N1239" s="29"/>
    </row>
    <row r="1240" spans="2:14" x14ac:dyDescent="0.25">
      <c r="B1240" s="27"/>
      <c r="C1240" s="28"/>
      <c r="D1240" s="28"/>
      <c r="E1240" s="27"/>
      <c r="F1240" s="27"/>
      <c r="G1240" s="28"/>
      <c r="H1240" s="28"/>
      <c r="I1240" s="36"/>
      <c r="J1240" s="27"/>
      <c r="K1240" s="29"/>
      <c r="L1240" s="29"/>
      <c r="M1240" s="29"/>
      <c r="N1240" s="29"/>
    </row>
    <row r="1241" spans="2:14" x14ac:dyDescent="0.25">
      <c r="B1241" s="27"/>
      <c r="C1241" s="28"/>
      <c r="D1241" s="28"/>
      <c r="E1241" s="27"/>
      <c r="F1241" s="27"/>
      <c r="G1241" s="28"/>
      <c r="H1241" s="28"/>
      <c r="I1241" s="36"/>
      <c r="J1241" s="27"/>
      <c r="K1241" s="29"/>
      <c r="L1241" s="29"/>
      <c r="M1241" s="29"/>
      <c r="N1241" s="29"/>
    </row>
    <row r="1242" spans="2:14" x14ac:dyDescent="0.25">
      <c r="B1242" s="27"/>
      <c r="C1242" s="28"/>
      <c r="D1242" s="28"/>
      <c r="E1242" s="27"/>
      <c r="F1242" s="27"/>
      <c r="G1242" s="28"/>
      <c r="H1242" s="28"/>
      <c r="I1242" s="36"/>
      <c r="J1242" s="27"/>
      <c r="K1242" s="29"/>
      <c r="L1242" s="29"/>
      <c r="M1242" s="29"/>
      <c r="N1242" s="29"/>
    </row>
    <row r="1243" spans="2:14" x14ac:dyDescent="0.25">
      <c r="B1243" s="27"/>
      <c r="C1243" s="28"/>
      <c r="D1243" s="28"/>
      <c r="E1243" s="27"/>
      <c r="F1243" s="27"/>
      <c r="G1243" s="28"/>
      <c r="H1243" s="28"/>
      <c r="I1243" s="36"/>
      <c r="J1243" s="27"/>
      <c r="K1243" s="29"/>
      <c r="L1243" s="29"/>
      <c r="M1243" s="29"/>
      <c r="N1243" s="29"/>
    </row>
    <row r="1244" spans="2:14" x14ac:dyDescent="0.25">
      <c r="B1244" s="27"/>
      <c r="C1244" s="28"/>
      <c r="D1244" s="28"/>
      <c r="E1244" s="27"/>
      <c r="F1244" s="27"/>
      <c r="G1244" s="28"/>
      <c r="H1244" s="28"/>
      <c r="I1244" s="36"/>
      <c r="J1244" s="27"/>
      <c r="K1244" s="29"/>
      <c r="L1244" s="29"/>
      <c r="M1244" s="29"/>
      <c r="N1244" s="29"/>
    </row>
    <row r="1245" spans="2:14" x14ac:dyDescent="0.25">
      <c r="B1245" s="27"/>
      <c r="C1245" s="28"/>
      <c r="D1245" s="28"/>
      <c r="E1245" s="27"/>
      <c r="F1245" s="27"/>
      <c r="G1245" s="28"/>
      <c r="H1245" s="28"/>
      <c r="I1245" s="36"/>
      <c r="J1245" s="27"/>
      <c r="K1245" s="29"/>
      <c r="L1245" s="29"/>
      <c r="M1245" s="29"/>
      <c r="N1245" s="29"/>
    </row>
    <row r="1246" spans="2:14" x14ac:dyDescent="0.25">
      <c r="B1246" s="27"/>
      <c r="C1246" s="28"/>
      <c r="D1246" s="28"/>
      <c r="E1246" s="27"/>
      <c r="F1246" s="27"/>
      <c r="G1246" s="28"/>
      <c r="H1246" s="28"/>
      <c r="I1246" s="36"/>
      <c r="J1246" s="27"/>
      <c r="K1246" s="29"/>
      <c r="L1246" s="29"/>
      <c r="M1246" s="29"/>
      <c r="N1246" s="29"/>
    </row>
    <row r="1247" spans="2:14" x14ac:dyDescent="0.25">
      <c r="B1247" s="27"/>
      <c r="C1247" s="28"/>
      <c r="D1247" s="28"/>
      <c r="E1247" s="27"/>
      <c r="F1247" s="27"/>
      <c r="G1247" s="28"/>
      <c r="H1247" s="28"/>
      <c r="I1247" s="36"/>
      <c r="J1247" s="27"/>
      <c r="K1247" s="29"/>
      <c r="L1247" s="29"/>
      <c r="M1247" s="29"/>
      <c r="N1247" s="29"/>
    </row>
    <row r="1248" spans="2:14" x14ac:dyDescent="0.25">
      <c r="B1248" s="27"/>
      <c r="C1248" s="28"/>
      <c r="D1248" s="28"/>
      <c r="E1248" s="27"/>
      <c r="F1248" s="27"/>
      <c r="G1248" s="28"/>
      <c r="H1248" s="28"/>
      <c r="I1248" s="36"/>
      <c r="J1248" s="27"/>
      <c r="K1248" s="29"/>
      <c r="L1248" s="29"/>
      <c r="M1248" s="29"/>
      <c r="N1248" s="29"/>
    </row>
    <row r="1249" spans="2:14" x14ac:dyDescent="0.25">
      <c r="B1249" s="27"/>
      <c r="C1249" s="28"/>
      <c r="D1249" s="28"/>
      <c r="E1249" s="27"/>
      <c r="F1249" s="27"/>
      <c r="G1249" s="28"/>
      <c r="H1249" s="28"/>
      <c r="I1249" s="36"/>
      <c r="J1249" s="27"/>
      <c r="K1249" s="29"/>
      <c r="L1249" s="29"/>
      <c r="M1249" s="29"/>
      <c r="N1249" s="29"/>
    </row>
    <row r="1250" spans="2:14" x14ac:dyDescent="0.25">
      <c r="B1250" s="27"/>
      <c r="C1250" s="28"/>
      <c r="D1250" s="28"/>
      <c r="E1250" s="27"/>
      <c r="F1250" s="27"/>
      <c r="G1250" s="28"/>
      <c r="H1250" s="28"/>
      <c r="I1250" s="36"/>
      <c r="J1250" s="27"/>
      <c r="K1250" s="29"/>
      <c r="L1250" s="29"/>
      <c r="M1250" s="29"/>
      <c r="N1250" s="29"/>
    </row>
    <row r="1251" spans="2:14" x14ac:dyDescent="0.25">
      <c r="B1251" s="27"/>
      <c r="C1251" s="28"/>
      <c r="D1251" s="28"/>
      <c r="E1251" s="27"/>
      <c r="F1251" s="27"/>
      <c r="G1251" s="28"/>
      <c r="H1251" s="28"/>
      <c r="I1251" s="36"/>
      <c r="J1251" s="27"/>
      <c r="K1251" s="29"/>
      <c r="L1251" s="29"/>
      <c r="M1251" s="29"/>
      <c r="N1251" s="29"/>
    </row>
    <row r="1252" spans="2:14" x14ac:dyDescent="0.25">
      <c r="B1252" s="27"/>
      <c r="C1252" s="28"/>
      <c r="D1252" s="28"/>
      <c r="E1252" s="27"/>
      <c r="F1252" s="27"/>
      <c r="G1252" s="28"/>
      <c r="H1252" s="28"/>
      <c r="I1252" s="36"/>
      <c r="J1252" s="27"/>
      <c r="K1252" s="29"/>
      <c r="L1252" s="29"/>
      <c r="M1252" s="29"/>
      <c r="N1252" s="29"/>
    </row>
    <row r="1253" spans="2:14" x14ac:dyDescent="0.25">
      <c r="B1253" s="27"/>
      <c r="C1253" s="28"/>
      <c r="D1253" s="28"/>
      <c r="E1253" s="27"/>
      <c r="F1253" s="27"/>
      <c r="G1253" s="28"/>
      <c r="H1253" s="28"/>
      <c r="I1253" s="36"/>
      <c r="J1253" s="27"/>
      <c r="K1253" s="29"/>
      <c r="L1253" s="29"/>
      <c r="M1253" s="29"/>
      <c r="N1253" s="29"/>
    </row>
    <row r="1254" spans="2:14" x14ac:dyDescent="0.25">
      <c r="B1254" s="27"/>
      <c r="C1254" s="28"/>
      <c r="D1254" s="28"/>
      <c r="E1254" s="27"/>
      <c r="F1254" s="27"/>
      <c r="G1254" s="28"/>
      <c r="H1254" s="28"/>
      <c r="I1254" s="36"/>
      <c r="J1254" s="27"/>
      <c r="K1254" s="29"/>
      <c r="L1254" s="29"/>
      <c r="M1254" s="29"/>
      <c r="N1254" s="29"/>
    </row>
    <row r="1255" spans="2:14" x14ac:dyDescent="0.25">
      <c r="B1255" s="27"/>
      <c r="C1255" s="28"/>
      <c r="D1255" s="28"/>
      <c r="E1255" s="27"/>
      <c r="F1255" s="27"/>
      <c r="G1255" s="28"/>
      <c r="H1255" s="28"/>
      <c r="I1255" s="36"/>
      <c r="J1255" s="27"/>
      <c r="K1255" s="29"/>
      <c r="L1255" s="29"/>
      <c r="M1255" s="29"/>
      <c r="N1255" s="29"/>
    </row>
    <row r="1256" spans="2:14" x14ac:dyDescent="0.25">
      <c r="B1256" s="27"/>
      <c r="C1256" s="28"/>
      <c r="D1256" s="28"/>
      <c r="E1256" s="27"/>
      <c r="F1256" s="27"/>
      <c r="G1256" s="28"/>
      <c r="H1256" s="28"/>
      <c r="I1256" s="36"/>
      <c r="J1256" s="27"/>
      <c r="K1256" s="29"/>
      <c r="L1256" s="29"/>
      <c r="M1256" s="29"/>
      <c r="N1256" s="29"/>
    </row>
    <row r="1257" spans="2:14" x14ac:dyDescent="0.25">
      <c r="B1257" s="27"/>
      <c r="C1257" s="28"/>
      <c r="D1257" s="28"/>
      <c r="E1257" s="27"/>
      <c r="F1257" s="27"/>
      <c r="G1257" s="28"/>
      <c r="H1257" s="28"/>
      <c r="I1257" s="36"/>
      <c r="J1257" s="27"/>
      <c r="K1257" s="29"/>
      <c r="L1257" s="29"/>
      <c r="M1257" s="29"/>
      <c r="N1257" s="29"/>
    </row>
    <row r="1258" spans="2:14" x14ac:dyDescent="0.25">
      <c r="B1258" s="27"/>
      <c r="C1258" s="28"/>
      <c r="D1258" s="28"/>
      <c r="E1258" s="27"/>
      <c r="F1258" s="27"/>
      <c r="G1258" s="28"/>
      <c r="H1258" s="28"/>
      <c r="I1258" s="36"/>
      <c r="J1258" s="27"/>
      <c r="K1258" s="29"/>
      <c r="L1258" s="29"/>
      <c r="M1258" s="29"/>
      <c r="N1258" s="29"/>
    </row>
    <row r="1259" spans="2:14" x14ac:dyDescent="0.25">
      <c r="B1259" s="27"/>
      <c r="C1259" s="28"/>
      <c r="D1259" s="28"/>
      <c r="E1259" s="27"/>
      <c r="F1259" s="27"/>
      <c r="G1259" s="28"/>
      <c r="H1259" s="28"/>
      <c r="I1259" s="36"/>
      <c r="J1259" s="27"/>
      <c r="K1259" s="29"/>
      <c r="L1259" s="29"/>
      <c r="M1259" s="29"/>
      <c r="N1259" s="29"/>
    </row>
    <row r="1260" spans="2:14" x14ac:dyDescent="0.25">
      <c r="B1260" s="27"/>
      <c r="C1260" s="28"/>
      <c r="D1260" s="28"/>
      <c r="E1260" s="27"/>
      <c r="F1260" s="27"/>
      <c r="G1260" s="28"/>
      <c r="H1260" s="28"/>
      <c r="I1260" s="36"/>
      <c r="J1260" s="27"/>
      <c r="K1260" s="29"/>
      <c r="L1260" s="29"/>
      <c r="M1260" s="29"/>
      <c r="N1260" s="29"/>
    </row>
    <row r="1261" spans="2:14" x14ac:dyDescent="0.25">
      <c r="B1261" s="27"/>
      <c r="C1261" s="28"/>
      <c r="D1261" s="28"/>
      <c r="E1261" s="27"/>
      <c r="F1261" s="27"/>
      <c r="G1261" s="28"/>
      <c r="H1261" s="28"/>
      <c r="I1261" s="36"/>
      <c r="J1261" s="27"/>
      <c r="K1261" s="29"/>
      <c r="L1261" s="29"/>
      <c r="M1261" s="29"/>
      <c r="N1261" s="29"/>
    </row>
    <row r="1262" spans="2:14" x14ac:dyDescent="0.25">
      <c r="B1262" s="27"/>
      <c r="C1262" s="28"/>
      <c r="D1262" s="28"/>
      <c r="E1262" s="27"/>
      <c r="F1262" s="27"/>
      <c r="G1262" s="28"/>
      <c r="H1262" s="28"/>
      <c r="I1262" s="36"/>
      <c r="J1262" s="27"/>
      <c r="K1262" s="29"/>
      <c r="L1262" s="29"/>
      <c r="M1262" s="29"/>
      <c r="N1262" s="29"/>
    </row>
    <row r="1263" spans="2:14" x14ac:dyDescent="0.25">
      <c r="B1263" s="27"/>
      <c r="C1263" s="28"/>
      <c r="D1263" s="28"/>
      <c r="E1263" s="27"/>
      <c r="F1263" s="27"/>
      <c r="G1263" s="28"/>
      <c r="H1263" s="28"/>
      <c r="I1263" s="36"/>
      <c r="J1263" s="27"/>
      <c r="K1263" s="29"/>
      <c r="L1263" s="29"/>
      <c r="M1263" s="29"/>
      <c r="N1263" s="29"/>
    </row>
    <row r="1264" spans="2:14" x14ac:dyDescent="0.25">
      <c r="B1264" s="27"/>
      <c r="C1264" s="28"/>
      <c r="D1264" s="28"/>
      <c r="E1264" s="27"/>
      <c r="F1264" s="27"/>
      <c r="G1264" s="28"/>
      <c r="H1264" s="28"/>
      <c r="I1264" s="36"/>
      <c r="J1264" s="27"/>
      <c r="K1264" s="29"/>
      <c r="L1264" s="29"/>
      <c r="M1264" s="29"/>
      <c r="N1264" s="29"/>
    </row>
    <row r="1265" spans="2:14" x14ac:dyDescent="0.25">
      <c r="B1265" s="27"/>
      <c r="C1265" s="28"/>
      <c r="D1265" s="28"/>
      <c r="E1265" s="27"/>
      <c r="F1265" s="27"/>
      <c r="G1265" s="28"/>
      <c r="H1265" s="28"/>
      <c r="I1265" s="36"/>
      <c r="J1265" s="27"/>
      <c r="K1265" s="29"/>
      <c r="L1265" s="29"/>
      <c r="M1265" s="29"/>
      <c r="N1265" s="29"/>
    </row>
    <row r="1266" spans="2:14" x14ac:dyDescent="0.25">
      <c r="B1266" s="27"/>
      <c r="C1266" s="28"/>
      <c r="D1266" s="28"/>
      <c r="E1266" s="27"/>
      <c r="F1266" s="27"/>
      <c r="G1266" s="28"/>
      <c r="H1266" s="28"/>
      <c r="I1266" s="36"/>
      <c r="J1266" s="27"/>
      <c r="K1266" s="29"/>
      <c r="L1266" s="29"/>
      <c r="M1266" s="29"/>
      <c r="N1266" s="29"/>
    </row>
    <row r="1267" spans="2:14" x14ac:dyDescent="0.25">
      <c r="B1267" s="27"/>
      <c r="C1267" s="28"/>
      <c r="D1267" s="28"/>
      <c r="E1267" s="27"/>
      <c r="F1267" s="27"/>
      <c r="G1267" s="28"/>
      <c r="H1267" s="28"/>
      <c r="I1267" s="36"/>
      <c r="J1267" s="27"/>
      <c r="K1267" s="29"/>
      <c r="L1267" s="29"/>
      <c r="M1267" s="29"/>
      <c r="N1267" s="29"/>
    </row>
    <row r="1268" spans="2:14" x14ac:dyDescent="0.25">
      <c r="B1268" s="27"/>
      <c r="C1268" s="28"/>
      <c r="D1268" s="28"/>
      <c r="E1268" s="27"/>
      <c r="F1268" s="27"/>
      <c r="G1268" s="28"/>
      <c r="H1268" s="28"/>
      <c r="I1268" s="36"/>
      <c r="J1268" s="27"/>
      <c r="K1268" s="29"/>
      <c r="L1268" s="29"/>
      <c r="M1268" s="29"/>
      <c r="N1268" s="29"/>
    </row>
    <row r="1269" spans="2:14" x14ac:dyDescent="0.25">
      <c r="B1269" s="27"/>
      <c r="C1269" s="28"/>
      <c r="D1269" s="28"/>
      <c r="E1269" s="27"/>
      <c r="F1269" s="27"/>
      <c r="G1269" s="28"/>
      <c r="H1269" s="28"/>
      <c r="I1269" s="36"/>
      <c r="J1269" s="27"/>
      <c r="K1269" s="29"/>
      <c r="L1269" s="29"/>
      <c r="M1269" s="29"/>
      <c r="N1269" s="29"/>
    </row>
    <row r="1270" spans="2:14" x14ac:dyDescent="0.25">
      <c r="B1270" s="27"/>
      <c r="C1270" s="28"/>
      <c r="D1270" s="28"/>
      <c r="E1270" s="27"/>
      <c r="F1270" s="27"/>
      <c r="G1270" s="28"/>
      <c r="H1270" s="28"/>
      <c r="I1270" s="36"/>
      <c r="J1270" s="27"/>
      <c r="K1270" s="29"/>
      <c r="L1270" s="29"/>
      <c r="M1270" s="29"/>
      <c r="N1270" s="29"/>
    </row>
    <row r="1271" spans="2:14" x14ac:dyDescent="0.25">
      <c r="B1271" s="27"/>
      <c r="C1271" s="28"/>
      <c r="D1271" s="28"/>
      <c r="E1271" s="27"/>
      <c r="F1271" s="27"/>
      <c r="G1271" s="28"/>
      <c r="H1271" s="28"/>
      <c r="I1271" s="36"/>
      <c r="J1271" s="27"/>
      <c r="K1271" s="29"/>
      <c r="L1271" s="29"/>
      <c r="M1271" s="29"/>
      <c r="N1271" s="29"/>
    </row>
    <row r="1272" spans="2:14" x14ac:dyDescent="0.25">
      <c r="B1272" s="27"/>
      <c r="C1272" s="28"/>
      <c r="D1272" s="28"/>
      <c r="E1272" s="27"/>
      <c r="F1272" s="27"/>
      <c r="G1272" s="28"/>
      <c r="H1272" s="28"/>
      <c r="I1272" s="36"/>
      <c r="J1272" s="27"/>
      <c r="K1272" s="29"/>
      <c r="L1272" s="29"/>
      <c r="M1272" s="29"/>
      <c r="N1272" s="29"/>
    </row>
    <row r="1273" spans="2:14" x14ac:dyDescent="0.25">
      <c r="B1273" s="27"/>
      <c r="C1273" s="28"/>
      <c r="D1273" s="28"/>
      <c r="E1273" s="27"/>
      <c r="F1273" s="27"/>
      <c r="G1273" s="28"/>
      <c r="H1273" s="28"/>
      <c r="I1273" s="36"/>
      <c r="J1273" s="27"/>
      <c r="K1273" s="29"/>
      <c r="L1273" s="29"/>
      <c r="M1273" s="29"/>
      <c r="N1273" s="29"/>
    </row>
    <row r="1274" spans="2:14" x14ac:dyDescent="0.25">
      <c r="B1274" s="27"/>
      <c r="C1274" s="28"/>
      <c r="D1274" s="28"/>
      <c r="E1274" s="27"/>
      <c r="F1274" s="27"/>
      <c r="G1274" s="28"/>
      <c r="H1274" s="28"/>
      <c r="I1274" s="36"/>
      <c r="J1274" s="27"/>
      <c r="K1274" s="29"/>
      <c r="L1274" s="29"/>
      <c r="M1274" s="29"/>
      <c r="N1274" s="29"/>
    </row>
    <row r="1275" spans="2:14" x14ac:dyDescent="0.25">
      <c r="B1275" s="27"/>
      <c r="C1275" s="28"/>
      <c r="D1275" s="28"/>
      <c r="E1275" s="27"/>
      <c r="F1275" s="27"/>
      <c r="G1275" s="28"/>
      <c r="H1275" s="28"/>
      <c r="I1275" s="36"/>
      <c r="J1275" s="27"/>
      <c r="K1275" s="29"/>
      <c r="L1275" s="29"/>
      <c r="M1275" s="29"/>
      <c r="N1275" s="29"/>
    </row>
    <row r="1276" spans="2:14" x14ac:dyDescent="0.25">
      <c r="B1276" s="27"/>
      <c r="C1276" s="28"/>
      <c r="D1276" s="28"/>
      <c r="E1276" s="27"/>
      <c r="F1276" s="27"/>
      <c r="G1276" s="28"/>
      <c r="H1276" s="28"/>
      <c r="I1276" s="36"/>
      <c r="J1276" s="27"/>
      <c r="K1276" s="29"/>
      <c r="L1276" s="29"/>
      <c r="M1276" s="29"/>
      <c r="N1276" s="29"/>
    </row>
    <row r="1277" spans="2:14" x14ac:dyDescent="0.25">
      <c r="B1277" s="27"/>
      <c r="C1277" s="28"/>
      <c r="D1277" s="28"/>
      <c r="E1277" s="27"/>
      <c r="F1277" s="27"/>
      <c r="G1277" s="28"/>
      <c r="H1277" s="28"/>
      <c r="I1277" s="36"/>
      <c r="J1277" s="27"/>
      <c r="K1277" s="29"/>
      <c r="L1277" s="29"/>
      <c r="M1277" s="29"/>
      <c r="N1277" s="29"/>
    </row>
    <row r="1278" spans="2:14" x14ac:dyDescent="0.25">
      <c r="B1278" s="27"/>
      <c r="C1278" s="28"/>
      <c r="D1278" s="28"/>
      <c r="E1278" s="27"/>
      <c r="F1278" s="27"/>
      <c r="G1278" s="28"/>
      <c r="H1278" s="28"/>
      <c r="I1278" s="36"/>
      <c r="J1278" s="27"/>
      <c r="K1278" s="29"/>
      <c r="L1278" s="29"/>
      <c r="M1278" s="29"/>
      <c r="N1278" s="29"/>
    </row>
    <row r="1279" spans="2:14" x14ac:dyDescent="0.25">
      <c r="B1279" s="27"/>
      <c r="C1279" s="28"/>
      <c r="D1279" s="28"/>
      <c r="E1279" s="27"/>
      <c r="F1279" s="27"/>
      <c r="G1279" s="28"/>
      <c r="H1279" s="28"/>
      <c r="I1279" s="36"/>
      <c r="J1279" s="27"/>
      <c r="K1279" s="29"/>
      <c r="L1279" s="29"/>
      <c r="M1279" s="29"/>
      <c r="N1279" s="29"/>
    </row>
    <row r="1280" spans="2:14" x14ac:dyDescent="0.25">
      <c r="B1280" s="27"/>
      <c r="C1280" s="28"/>
      <c r="D1280" s="28"/>
      <c r="E1280" s="27"/>
      <c r="F1280" s="27"/>
      <c r="G1280" s="28"/>
      <c r="H1280" s="28"/>
      <c r="I1280" s="36"/>
      <c r="J1280" s="27"/>
      <c r="K1280" s="29"/>
      <c r="L1280" s="29"/>
      <c r="M1280" s="29"/>
      <c r="N1280" s="29"/>
    </row>
    <row r="1281" spans="2:14" x14ac:dyDescent="0.25">
      <c r="B1281" s="27"/>
      <c r="C1281" s="28"/>
      <c r="D1281" s="28"/>
      <c r="E1281" s="27"/>
      <c r="F1281" s="27"/>
      <c r="G1281" s="28"/>
      <c r="H1281" s="28"/>
      <c r="I1281" s="36"/>
      <c r="J1281" s="27"/>
      <c r="K1281" s="29"/>
      <c r="L1281" s="29"/>
      <c r="M1281" s="29"/>
      <c r="N1281" s="29"/>
    </row>
    <row r="1282" spans="2:14" x14ac:dyDescent="0.25">
      <c r="B1282" s="27"/>
      <c r="C1282" s="28"/>
      <c r="D1282" s="28"/>
      <c r="E1282" s="27"/>
      <c r="F1282" s="27"/>
      <c r="G1282" s="28"/>
      <c r="H1282" s="28"/>
      <c r="I1282" s="36"/>
      <c r="J1282" s="27"/>
      <c r="K1282" s="29"/>
      <c r="L1282" s="29"/>
      <c r="M1282" s="29"/>
      <c r="N1282" s="29"/>
    </row>
    <row r="1283" spans="2:14" x14ac:dyDescent="0.25">
      <c r="B1283" s="27"/>
      <c r="C1283" s="28"/>
      <c r="D1283" s="28"/>
      <c r="E1283" s="27"/>
      <c r="F1283" s="27"/>
      <c r="G1283" s="28"/>
      <c r="H1283" s="28"/>
      <c r="I1283" s="36"/>
      <c r="J1283" s="27"/>
      <c r="K1283" s="29"/>
      <c r="L1283" s="29"/>
      <c r="M1283" s="29"/>
      <c r="N1283" s="29"/>
    </row>
    <row r="1284" spans="2:14" x14ac:dyDescent="0.25">
      <c r="B1284" s="27"/>
      <c r="C1284" s="28"/>
      <c r="D1284" s="28"/>
      <c r="E1284" s="27"/>
      <c r="F1284" s="27"/>
      <c r="G1284" s="28"/>
      <c r="H1284" s="28"/>
      <c r="I1284" s="36"/>
      <c r="J1284" s="27"/>
      <c r="K1284" s="29"/>
      <c r="L1284" s="29"/>
      <c r="M1284" s="29"/>
      <c r="N1284" s="29"/>
    </row>
    <row r="1285" spans="2:14" x14ac:dyDescent="0.25">
      <c r="B1285" s="27"/>
      <c r="C1285" s="28"/>
      <c r="D1285" s="28"/>
      <c r="E1285" s="27"/>
      <c r="F1285" s="27"/>
      <c r="G1285" s="28"/>
      <c r="H1285" s="28"/>
      <c r="I1285" s="36"/>
      <c r="J1285" s="27"/>
      <c r="K1285" s="29"/>
      <c r="L1285" s="29"/>
      <c r="M1285" s="29"/>
      <c r="N1285" s="29"/>
    </row>
    <row r="1286" spans="2:14" x14ac:dyDescent="0.25">
      <c r="B1286" s="27"/>
      <c r="C1286" s="28"/>
      <c r="D1286" s="28"/>
      <c r="E1286" s="27"/>
      <c r="F1286" s="27"/>
      <c r="G1286" s="28"/>
      <c r="H1286" s="28"/>
      <c r="I1286" s="36"/>
      <c r="J1286" s="27"/>
      <c r="K1286" s="29"/>
      <c r="L1286" s="29"/>
      <c r="M1286" s="29"/>
      <c r="N1286" s="29"/>
    </row>
    <row r="1287" spans="2:14" x14ac:dyDescent="0.25">
      <c r="B1287" s="27"/>
      <c r="C1287" s="28"/>
      <c r="D1287" s="28"/>
      <c r="E1287" s="27"/>
      <c r="F1287" s="27"/>
      <c r="G1287" s="28"/>
      <c r="H1287" s="28"/>
      <c r="I1287" s="36"/>
      <c r="J1287" s="27"/>
      <c r="K1287" s="29"/>
      <c r="L1287" s="29"/>
      <c r="M1287" s="29"/>
      <c r="N1287" s="29"/>
    </row>
    <row r="1288" spans="2:14" x14ac:dyDescent="0.25">
      <c r="B1288" s="27"/>
      <c r="C1288" s="28"/>
      <c r="D1288" s="28"/>
      <c r="E1288" s="27"/>
      <c r="F1288" s="27"/>
      <c r="G1288" s="28"/>
      <c r="H1288" s="28"/>
      <c r="I1288" s="36"/>
      <c r="J1288" s="27"/>
      <c r="K1288" s="29"/>
      <c r="L1288" s="29"/>
      <c r="M1288" s="29"/>
      <c r="N1288" s="29"/>
    </row>
    <row r="1289" spans="2:14" x14ac:dyDescent="0.25">
      <c r="B1289" s="27"/>
      <c r="C1289" s="28"/>
      <c r="D1289" s="28"/>
      <c r="E1289" s="27"/>
      <c r="F1289" s="27"/>
      <c r="G1289" s="28"/>
      <c r="H1289" s="28"/>
      <c r="I1289" s="36"/>
      <c r="J1289" s="27"/>
      <c r="K1289" s="29"/>
      <c r="L1289" s="29"/>
      <c r="M1289" s="29"/>
      <c r="N1289" s="29"/>
    </row>
    <row r="1290" spans="2:14" x14ac:dyDescent="0.25">
      <c r="B1290" s="27"/>
      <c r="C1290" s="28"/>
      <c r="D1290" s="28"/>
      <c r="E1290" s="27"/>
      <c r="F1290" s="27"/>
      <c r="G1290" s="28"/>
      <c r="H1290" s="28"/>
      <c r="I1290" s="36"/>
      <c r="J1290" s="27"/>
      <c r="K1290" s="29"/>
      <c r="L1290" s="29"/>
      <c r="M1290" s="29"/>
      <c r="N1290" s="29"/>
    </row>
    <row r="1291" spans="2:14" x14ac:dyDescent="0.25">
      <c r="B1291" s="27"/>
      <c r="C1291" s="28"/>
      <c r="D1291" s="28"/>
      <c r="E1291" s="27"/>
      <c r="F1291" s="27"/>
      <c r="G1291" s="28"/>
      <c r="H1291" s="28"/>
      <c r="I1291" s="36"/>
      <c r="J1291" s="27"/>
      <c r="K1291" s="29"/>
      <c r="L1291" s="29"/>
      <c r="M1291" s="29"/>
      <c r="N1291" s="29"/>
    </row>
    <row r="1292" spans="2:14" x14ac:dyDescent="0.25">
      <c r="B1292" s="27"/>
      <c r="C1292" s="28"/>
      <c r="D1292" s="28"/>
      <c r="E1292" s="27"/>
      <c r="F1292" s="27"/>
      <c r="G1292" s="28"/>
      <c r="H1292" s="28"/>
      <c r="I1292" s="36"/>
      <c r="J1292" s="27"/>
      <c r="K1292" s="29"/>
      <c r="L1292" s="29"/>
      <c r="M1292" s="29"/>
      <c r="N1292" s="29"/>
    </row>
    <row r="1293" spans="2:14" x14ac:dyDescent="0.25">
      <c r="B1293" s="27"/>
      <c r="C1293" s="28"/>
      <c r="D1293" s="28"/>
      <c r="E1293" s="27"/>
      <c r="F1293" s="27"/>
      <c r="G1293" s="28"/>
      <c r="H1293" s="28"/>
      <c r="I1293" s="36"/>
      <c r="J1293" s="27"/>
      <c r="K1293" s="29"/>
      <c r="L1293" s="29"/>
      <c r="M1293" s="29"/>
      <c r="N1293" s="29"/>
    </row>
    <row r="1294" spans="2:14" x14ac:dyDescent="0.25">
      <c r="B1294" s="27"/>
      <c r="C1294" s="28"/>
      <c r="D1294" s="28"/>
      <c r="E1294" s="27"/>
      <c r="F1294" s="27"/>
      <c r="G1294" s="28"/>
      <c r="H1294" s="28"/>
      <c r="I1294" s="36"/>
      <c r="J1294" s="27"/>
      <c r="K1294" s="29"/>
      <c r="L1294" s="29"/>
      <c r="M1294" s="29"/>
      <c r="N1294" s="29"/>
    </row>
    <row r="1295" spans="2:14" x14ac:dyDescent="0.25">
      <c r="B1295" s="27"/>
      <c r="C1295" s="28"/>
      <c r="D1295" s="28"/>
      <c r="E1295" s="27"/>
      <c r="F1295" s="27"/>
      <c r="G1295" s="28"/>
      <c r="H1295" s="28"/>
      <c r="I1295" s="36"/>
      <c r="J1295" s="27"/>
      <c r="K1295" s="29"/>
      <c r="L1295" s="29"/>
      <c r="M1295" s="29"/>
      <c r="N1295" s="29"/>
    </row>
    <row r="1296" spans="2:14" x14ac:dyDescent="0.25">
      <c r="B1296" s="27"/>
      <c r="C1296" s="28"/>
      <c r="D1296" s="28"/>
      <c r="E1296" s="27"/>
      <c r="F1296" s="27"/>
      <c r="G1296" s="28"/>
      <c r="H1296" s="28"/>
      <c r="I1296" s="36"/>
      <c r="J1296" s="27"/>
      <c r="K1296" s="29"/>
      <c r="L1296" s="29"/>
      <c r="M1296" s="29"/>
      <c r="N1296" s="29"/>
    </row>
    <row r="1297" spans="2:14" x14ac:dyDescent="0.25">
      <c r="B1297" s="27"/>
      <c r="C1297" s="28"/>
      <c r="D1297" s="28"/>
      <c r="E1297" s="27"/>
      <c r="F1297" s="27"/>
      <c r="G1297" s="28"/>
      <c r="H1297" s="28"/>
      <c r="I1297" s="36"/>
      <c r="J1297" s="27"/>
      <c r="K1297" s="29"/>
      <c r="L1297" s="29"/>
      <c r="M1297" s="29"/>
      <c r="N1297" s="29"/>
    </row>
    <row r="1298" spans="2:14" x14ac:dyDescent="0.25">
      <c r="B1298" s="27"/>
      <c r="C1298" s="28"/>
      <c r="D1298" s="28"/>
      <c r="E1298" s="27"/>
      <c r="F1298" s="27"/>
      <c r="G1298" s="28"/>
      <c r="H1298" s="28"/>
      <c r="I1298" s="36"/>
      <c r="J1298" s="27"/>
      <c r="K1298" s="29"/>
      <c r="L1298" s="29"/>
      <c r="M1298" s="29"/>
      <c r="N1298" s="29"/>
    </row>
    <row r="1299" spans="2:14" x14ac:dyDescent="0.25">
      <c r="B1299" s="27"/>
      <c r="C1299" s="28"/>
      <c r="D1299" s="28"/>
      <c r="E1299" s="27"/>
      <c r="F1299" s="27"/>
      <c r="G1299" s="28"/>
      <c r="H1299" s="28"/>
      <c r="I1299" s="36"/>
      <c r="J1299" s="27"/>
      <c r="K1299" s="29"/>
      <c r="L1299" s="29"/>
      <c r="M1299" s="29"/>
      <c r="N1299" s="29"/>
    </row>
    <row r="1300" spans="2:14" x14ac:dyDescent="0.25">
      <c r="B1300" s="27"/>
      <c r="C1300" s="28"/>
      <c r="D1300" s="28"/>
      <c r="E1300" s="27"/>
      <c r="F1300" s="27"/>
      <c r="G1300" s="28"/>
      <c r="H1300" s="28"/>
      <c r="I1300" s="36"/>
      <c r="J1300" s="27"/>
      <c r="K1300" s="29"/>
      <c r="L1300" s="29"/>
      <c r="M1300" s="29"/>
      <c r="N1300" s="29"/>
    </row>
    <row r="1301" spans="2:14" x14ac:dyDescent="0.25">
      <c r="B1301" s="27"/>
      <c r="C1301" s="28"/>
      <c r="D1301" s="28"/>
      <c r="E1301" s="27"/>
      <c r="F1301" s="27"/>
      <c r="G1301" s="28"/>
      <c r="H1301" s="28"/>
      <c r="I1301" s="36"/>
      <c r="J1301" s="27"/>
      <c r="K1301" s="29"/>
      <c r="L1301" s="29"/>
      <c r="M1301" s="29"/>
      <c r="N1301" s="29"/>
    </row>
    <row r="1302" spans="2:14" x14ac:dyDescent="0.25">
      <c r="B1302" s="27"/>
      <c r="C1302" s="28"/>
      <c r="D1302" s="28"/>
      <c r="E1302" s="27"/>
      <c r="F1302" s="27"/>
      <c r="G1302" s="28"/>
      <c r="H1302" s="28"/>
      <c r="I1302" s="36"/>
      <c r="J1302" s="27"/>
      <c r="K1302" s="29"/>
      <c r="L1302" s="29"/>
      <c r="M1302" s="29"/>
      <c r="N1302" s="29"/>
    </row>
    <row r="1303" spans="2:14" x14ac:dyDescent="0.25">
      <c r="B1303" s="27"/>
      <c r="C1303" s="28"/>
      <c r="D1303" s="28"/>
      <c r="E1303" s="27"/>
      <c r="F1303" s="27"/>
      <c r="G1303" s="28"/>
      <c r="H1303" s="28"/>
      <c r="I1303" s="36"/>
      <c r="J1303" s="27"/>
      <c r="K1303" s="29"/>
      <c r="L1303" s="29"/>
      <c r="M1303" s="29"/>
      <c r="N1303" s="29"/>
    </row>
    <row r="1304" spans="2:14" x14ac:dyDescent="0.25">
      <c r="B1304" s="27"/>
      <c r="C1304" s="28"/>
      <c r="D1304" s="28"/>
      <c r="E1304" s="27"/>
      <c r="F1304" s="27"/>
      <c r="G1304" s="28"/>
      <c r="H1304" s="28"/>
      <c r="I1304" s="36"/>
      <c r="J1304" s="27"/>
      <c r="K1304" s="29"/>
      <c r="L1304" s="29"/>
      <c r="M1304" s="29"/>
      <c r="N1304" s="29"/>
    </row>
    <row r="1305" spans="2:14" x14ac:dyDescent="0.25">
      <c r="B1305" s="27"/>
      <c r="C1305" s="28"/>
      <c r="D1305" s="28"/>
      <c r="E1305" s="27"/>
      <c r="F1305" s="27"/>
      <c r="G1305" s="28"/>
      <c r="H1305" s="28"/>
      <c r="I1305" s="36"/>
      <c r="J1305" s="27"/>
      <c r="K1305" s="29"/>
      <c r="L1305" s="29"/>
      <c r="M1305" s="29"/>
      <c r="N1305" s="29"/>
    </row>
    <row r="1306" spans="2:14" x14ac:dyDescent="0.25">
      <c r="B1306" s="27"/>
      <c r="C1306" s="28"/>
      <c r="D1306" s="28"/>
      <c r="E1306" s="27"/>
      <c r="F1306" s="27"/>
      <c r="G1306" s="28"/>
      <c r="H1306" s="28"/>
      <c r="I1306" s="36"/>
      <c r="J1306" s="27"/>
      <c r="K1306" s="29"/>
      <c r="L1306" s="29"/>
      <c r="M1306" s="29"/>
      <c r="N1306" s="29"/>
    </row>
    <row r="1307" spans="2:14" x14ac:dyDescent="0.25">
      <c r="B1307" s="27"/>
      <c r="C1307" s="28"/>
      <c r="D1307" s="28"/>
      <c r="E1307" s="27"/>
      <c r="F1307" s="27"/>
      <c r="G1307" s="28"/>
      <c r="H1307" s="28"/>
      <c r="I1307" s="36"/>
      <c r="J1307" s="27"/>
      <c r="K1307" s="29"/>
      <c r="L1307" s="29"/>
      <c r="M1307" s="29"/>
      <c r="N1307" s="29"/>
    </row>
    <row r="1308" spans="2:14" x14ac:dyDescent="0.25">
      <c r="B1308" s="27"/>
      <c r="C1308" s="28"/>
      <c r="D1308" s="28"/>
      <c r="E1308" s="27"/>
      <c r="F1308" s="27"/>
      <c r="G1308" s="28"/>
      <c r="H1308" s="28"/>
      <c r="I1308" s="36"/>
      <c r="J1308" s="27"/>
      <c r="K1308" s="29"/>
      <c r="L1308" s="29"/>
      <c r="M1308" s="29"/>
      <c r="N1308" s="29"/>
    </row>
    <row r="1309" spans="2:14" x14ac:dyDescent="0.25">
      <c r="B1309" s="27"/>
      <c r="C1309" s="28"/>
      <c r="D1309" s="28"/>
      <c r="E1309" s="27"/>
      <c r="F1309" s="27"/>
      <c r="G1309" s="28"/>
      <c r="H1309" s="28"/>
      <c r="I1309" s="36"/>
      <c r="J1309" s="27"/>
      <c r="K1309" s="29"/>
      <c r="L1309" s="29"/>
      <c r="M1309" s="29"/>
      <c r="N1309" s="29"/>
    </row>
    <row r="1310" spans="2:14" x14ac:dyDescent="0.25">
      <c r="B1310" s="27"/>
      <c r="C1310" s="28"/>
      <c r="D1310" s="28"/>
      <c r="E1310" s="27"/>
      <c r="F1310" s="27"/>
      <c r="G1310" s="28"/>
      <c r="H1310" s="28"/>
      <c r="I1310" s="36"/>
      <c r="J1310" s="27"/>
      <c r="K1310" s="29"/>
      <c r="L1310" s="29"/>
      <c r="M1310" s="29"/>
      <c r="N1310" s="29"/>
    </row>
    <row r="1311" spans="2:14" x14ac:dyDescent="0.25">
      <c r="B1311" s="27"/>
      <c r="C1311" s="28"/>
      <c r="D1311" s="28"/>
      <c r="E1311" s="27"/>
      <c r="F1311" s="27"/>
      <c r="G1311" s="28"/>
      <c r="H1311" s="28"/>
      <c r="I1311" s="36"/>
      <c r="J1311" s="27"/>
      <c r="K1311" s="29"/>
      <c r="L1311" s="29"/>
      <c r="M1311" s="29"/>
      <c r="N1311" s="29"/>
    </row>
    <row r="1312" spans="2:14" x14ac:dyDescent="0.25">
      <c r="B1312" s="27"/>
      <c r="C1312" s="28"/>
      <c r="D1312" s="28"/>
      <c r="E1312" s="27"/>
      <c r="F1312" s="27"/>
      <c r="G1312" s="28"/>
      <c r="H1312" s="28"/>
      <c r="I1312" s="36"/>
      <c r="J1312" s="27"/>
      <c r="K1312" s="29"/>
      <c r="L1312" s="29"/>
      <c r="M1312" s="29"/>
      <c r="N1312" s="29"/>
    </row>
    <row r="1313" spans="2:14" x14ac:dyDescent="0.25">
      <c r="B1313" s="27"/>
      <c r="C1313" s="28"/>
      <c r="D1313" s="28"/>
      <c r="E1313" s="27"/>
      <c r="F1313" s="27"/>
      <c r="G1313" s="28"/>
      <c r="H1313" s="28"/>
      <c r="I1313" s="36"/>
      <c r="J1313" s="27"/>
      <c r="K1313" s="29"/>
      <c r="L1313" s="29"/>
      <c r="M1313" s="29"/>
      <c r="N1313" s="29"/>
    </row>
    <row r="1314" spans="2:14" x14ac:dyDescent="0.25">
      <c r="B1314" s="27"/>
      <c r="C1314" s="28"/>
      <c r="D1314" s="28"/>
      <c r="E1314" s="27"/>
      <c r="F1314" s="27"/>
      <c r="G1314" s="28"/>
      <c r="H1314" s="28"/>
      <c r="I1314" s="36"/>
      <c r="J1314" s="27"/>
      <c r="K1314" s="29"/>
      <c r="L1314" s="29"/>
      <c r="M1314" s="29"/>
      <c r="N1314" s="29"/>
    </row>
    <row r="1315" spans="2:14" x14ac:dyDescent="0.25">
      <c r="B1315" s="27"/>
      <c r="C1315" s="28"/>
      <c r="D1315" s="28"/>
      <c r="E1315" s="27"/>
      <c r="F1315" s="27"/>
      <c r="G1315" s="28"/>
      <c r="H1315" s="28"/>
      <c r="I1315" s="36"/>
      <c r="J1315" s="27"/>
      <c r="K1315" s="29"/>
      <c r="L1315" s="29"/>
      <c r="M1315" s="29"/>
      <c r="N1315" s="29"/>
    </row>
    <row r="1316" spans="2:14" x14ac:dyDescent="0.25">
      <c r="B1316" s="27"/>
      <c r="C1316" s="28"/>
      <c r="D1316" s="28"/>
      <c r="E1316" s="27"/>
      <c r="F1316" s="27"/>
      <c r="G1316" s="28"/>
      <c r="H1316" s="28"/>
      <c r="I1316" s="36"/>
      <c r="J1316" s="27"/>
      <c r="K1316" s="29"/>
      <c r="L1316" s="29"/>
      <c r="M1316" s="29"/>
      <c r="N1316" s="29"/>
    </row>
    <row r="1317" spans="2:14" x14ac:dyDescent="0.25">
      <c r="B1317" s="27"/>
      <c r="C1317" s="28"/>
      <c r="D1317" s="28"/>
      <c r="E1317" s="27"/>
      <c r="F1317" s="27"/>
      <c r="G1317" s="28"/>
      <c r="H1317" s="28"/>
      <c r="I1317" s="36"/>
      <c r="J1317" s="27"/>
      <c r="K1317" s="29"/>
      <c r="L1317" s="29"/>
      <c r="M1317" s="29"/>
      <c r="N1317" s="29"/>
    </row>
    <row r="1318" spans="2:14" x14ac:dyDescent="0.25">
      <c r="B1318" s="27"/>
      <c r="C1318" s="28"/>
      <c r="D1318" s="28"/>
      <c r="E1318" s="27"/>
      <c r="F1318" s="27"/>
      <c r="G1318" s="28"/>
      <c r="H1318" s="28"/>
      <c r="I1318" s="36"/>
      <c r="J1318" s="27"/>
      <c r="K1318" s="29"/>
      <c r="L1318" s="29"/>
      <c r="M1318" s="29"/>
      <c r="N1318" s="29"/>
    </row>
    <row r="1319" spans="2:14" x14ac:dyDescent="0.25">
      <c r="B1319" s="27"/>
      <c r="C1319" s="28"/>
      <c r="D1319" s="28"/>
      <c r="E1319" s="27"/>
      <c r="F1319" s="27"/>
      <c r="G1319" s="28"/>
      <c r="H1319" s="28"/>
      <c r="I1319" s="36"/>
      <c r="J1319" s="27"/>
      <c r="K1319" s="29"/>
      <c r="L1319" s="29"/>
      <c r="M1319" s="29"/>
      <c r="N1319" s="29"/>
    </row>
    <row r="1320" spans="2:14" x14ac:dyDescent="0.25">
      <c r="B1320" s="27"/>
      <c r="C1320" s="28"/>
      <c r="D1320" s="28"/>
      <c r="E1320" s="27"/>
      <c r="F1320" s="27"/>
      <c r="G1320" s="28"/>
      <c r="H1320" s="28"/>
      <c r="I1320" s="36"/>
      <c r="J1320" s="27"/>
      <c r="K1320" s="29"/>
      <c r="L1320" s="29"/>
      <c r="M1320" s="29"/>
      <c r="N1320" s="29"/>
    </row>
    <row r="1321" spans="2:14" x14ac:dyDescent="0.25">
      <c r="B1321" s="27"/>
      <c r="C1321" s="28"/>
      <c r="D1321" s="28"/>
      <c r="E1321" s="27"/>
      <c r="F1321" s="27"/>
      <c r="G1321" s="28"/>
      <c r="H1321" s="28"/>
      <c r="I1321" s="36"/>
      <c r="J1321" s="27"/>
      <c r="K1321" s="29"/>
      <c r="L1321" s="29"/>
      <c r="M1321" s="29"/>
      <c r="N1321" s="29"/>
    </row>
    <row r="1322" spans="2:14" x14ac:dyDescent="0.25">
      <c r="B1322" s="27"/>
      <c r="C1322" s="28"/>
      <c r="D1322" s="28"/>
      <c r="E1322" s="27"/>
      <c r="F1322" s="27"/>
      <c r="G1322" s="28"/>
      <c r="H1322" s="28"/>
      <c r="I1322" s="36"/>
      <c r="J1322" s="27"/>
      <c r="K1322" s="29"/>
      <c r="L1322" s="29"/>
      <c r="M1322" s="29"/>
      <c r="N1322" s="29"/>
    </row>
    <row r="1323" spans="2:14" x14ac:dyDescent="0.25">
      <c r="B1323" s="27"/>
      <c r="C1323" s="28"/>
      <c r="D1323" s="28"/>
      <c r="E1323" s="27"/>
      <c r="F1323" s="27"/>
      <c r="G1323" s="28"/>
      <c r="H1323" s="28"/>
      <c r="I1323" s="36"/>
      <c r="J1323" s="27"/>
      <c r="K1323" s="29"/>
      <c r="L1323" s="29"/>
      <c r="M1323" s="29"/>
      <c r="N1323" s="29"/>
    </row>
    <row r="1324" spans="2:14" x14ac:dyDescent="0.25">
      <c r="B1324" s="27"/>
      <c r="C1324" s="28"/>
      <c r="D1324" s="28"/>
      <c r="E1324" s="27"/>
      <c r="F1324" s="27"/>
      <c r="G1324" s="28"/>
      <c r="H1324" s="28"/>
      <c r="I1324" s="36"/>
      <c r="J1324" s="27"/>
      <c r="K1324" s="29"/>
      <c r="L1324" s="29"/>
      <c r="M1324" s="29"/>
      <c r="N1324" s="29"/>
    </row>
    <row r="1325" spans="2:14" x14ac:dyDescent="0.25">
      <c r="B1325" s="27"/>
      <c r="C1325" s="28"/>
      <c r="D1325" s="28"/>
      <c r="E1325" s="27"/>
      <c r="F1325" s="27"/>
      <c r="G1325" s="28"/>
      <c r="H1325" s="28"/>
      <c r="I1325" s="36"/>
      <c r="J1325" s="27"/>
      <c r="K1325" s="29"/>
      <c r="L1325" s="29"/>
      <c r="M1325" s="29"/>
      <c r="N1325" s="29"/>
    </row>
    <row r="1326" spans="2:14" x14ac:dyDescent="0.25">
      <c r="B1326" s="27"/>
      <c r="C1326" s="28"/>
      <c r="D1326" s="28"/>
      <c r="E1326" s="27"/>
      <c r="F1326" s="27"/>
      <c r="G1326" s="28"/>
      <c r="H1326" s="28"/>
      <c r="I1326" s="36"/>
      <c r="J1326" s="27"/>
      <c r="K1326" s="29"/>
      <c r="L1326" s="29"/>
      <c r="M1326" s="29"/>
      <c r="N1326" s="29"/>
    </row>
    <row r="1327" spans="2:14" x14ac:dyDescent="0.25">
      <c r="B1327" s="27"/>
      <c r="C1327" s="28"/>
      <c r="D1327" s="28"/>
      <c r="E1327" s="27"/>
      <c r="F1327" s="27"/>
      <c r="G1327" s="28"/>
      <c r="H1327" s="28"/>
      <c r="I1327" s="36"/>
      <c r="J1327" s="27"/>
      <c r="K1327" s="29"/>
      <c r="L1327" s="29"/>
      <c r="M1327" s="29"/>
      <c r="N1327" s="29"/>
    </row>
    <row r="1328" spans="2:14" x14ac:dyDescent="0.25">
      <c r="B1328" s="27"/>
      <c r="C1328" s="28"/>
      <c r="D1328" s="28"/>
      <c r="E1328" s="27"/>
      <c r="F1328" s="27"/>
      <c r="G1328" s="28"/>
      <c r="H1328" s="28"/>
      <c r="I1328" s="36"/>
      <c r="J1328" s="27"/>
      <c r="K1328" s="29"/>
      <c r="L1328" s="29"/>
      <c r="M1328" s="29"/>
      <c r="N1328" s="29"/>
    </row>
    <row r="1329" spans="2:14" x14ac:dyDescent="0.25">
      <c r="B1329" s="27"/>
      <c r="C1329" s="28"/>
      <c r="D1329" s="28"/>
      <c r="E1329" s="27"/>
      <c r="F1329" s="27"/>
      <c r="G1329" s="28"/>
      <c r="H1329" s="28"/>
      <c r="I1329" s="36"/>
      <c r="J1329" s="27"/>
      <c r="K1329" s="29"/>
      <c r="L1329" s="29"/>
      <c r="M1329" s="29"/>
      <c r="N1329" s="29"/>
    </row>
    <row r="1330" spans="2:14" x14ac:dyDescent="0.25">
      <c r="B1330" s="27"/>
      <c r="C1330" s="28"/>
      <c r="D1330" s="28"/>
      <c r="E1330" s="27"/>
      <c r="F1330" s="27"/>
      <c r="G1330" s="28"/>
      <c r="H1330" s="28"/>
      <c r="I1330" s="36"/>
      <c r="J1330" s="27"/>
      <c r="K1330" s="29"/>
      <c r="L1330" s="29"/>
      <c r="M1330" s="29"/>
      <c r="N1330" s="29"/>
    </row>
    <row r="1331" spans="2:14" x14ac:dyDescent="0.25">
      <c r="B1331" s="27"/>
      <c r="C1331" s="28"/>
      <c r="D1331" s="28"/>
      <c r="E1331" s="27"/>
      <c r="F1331" s="27"/>
      <c r="G1331" s="28"/>
      <c r="H1331" s="28"/>
      <c r="I1331" s="36"/>
      <c r="J1331" s="27"/>
      <c r="K1331" s="29"/>
      <c r="L1331" s="29"/>
      <c r="M1331" s="29"/>
      <c r="N1331" s="29"/>
    </row>
    <row r="1332" spans="2:14" x14ac:dyDescent="0.25">
      <c r="B1332" s="27"/>
      <c r="C1332" s="28"/>
      <c r="D1332" s="28"/>
      <c r="E1332" s="27"/>
      <c r="F1332" s="27"/>
      <c r="G1332" s="28"/>
      <c r="H1332" s="28"/>
      <c r="I1332" s="36"/>
      <c r="J1332" s="27"/>
      <c r="K1332" s="29"/>
      <c r="L1332" s="29"/>
      <c r="M1332" s="29"/>
      <c r="N1332" s="29"/>
    </row>
    <row r="1333" spans="2:14" x14ac:dyDescent="0.25">
      <c r="B1333" s="27"/>
      <c r="C1333" s="28"/>
      <c r="D1333" s="28"/>
      <c r="E1333" s="27"/>
      <c r="F1333" s="27"/>
      <c r="G1333" s="28"/>
      <c r="H1333" s="28"/>
      <c r="I1333" s="36"/>
      <c r="J1333" s="27"/>
      <c r="K1333" s="29"/>
      <c r="L1333" s="29"/>
      <c r="M1333" s="29"/>
      <c r="N1333" s="29"/>
    </row>
    <row r="1334" spans="2:14" x14ac:dyDescent="0.25">
      <c r="B1334" s="27"/>
      <c r="C1334" s="28"/>
      <c r="D1334" s="28"/>
      <c r="E1334" s="27"/>
      <c r="F1334" s="27"/>
      <c r="G1334" s="28"/>
      <c r="H1334" s="28"/>
      <c r="I1334" s="36"/>
      <c r="J1334" s="27"/>
      <c r="K1334" s="29"/>
      <c r="L1334" s="29"/>
      <c r="M1334" s="29"/>
      <c r="N1334" s="29"/>
    </row>
    <row r="1335" spans="2:14" x14ac:dyDescent="0.25">
      <c r="B1335" s="27"/>
      <c r="C1335" s="28"/>
      <c r="D1335" s="28"/>
      <c r="E1335" s="27"/>
      <c r="F1335" s="27"/>
      <c r="G1335" s="28"/>
      <c r="H1335" s="28"/>
      <c r="I1335" s="36"/>
      <c r="J1335" s="27"/>
      <c r="K1335" s="29"/>
      <c r="L1335" s="29"/>
      <c r="M1335" s="29"/>
      <c r="N1335" s="29"/>
    </row>
    <row r="1336" spans="2:14" x14ac:dyDescent="0.25">
      <c r="B1336" s="27"/>
      <c r="C1336" s="28"/>
      <c r="D1336" s="28"/>
      <c r="E1336" s="27"/>
      <c r="F1336" s="27"/>
      <c r="G1336" s="28"/>
      <c r="H1336" s="28"/>
      <c r="I1336" s="36"/>
      <c r="J1336" s="27"/>
      <c r="K1336" s="29"/>
      <c r="L1336" s="29"/>
      <c r="M1336" s="29"/>
      <c r="N1336" s="29"/>
    </row>
    <row r="1337" spans="2:14" x14ac:dyDescent="0.25">
      <c r="B1337" s="27"/>
      <c r="C1337" s="28"/>
      <c r="D1337" s="28"/>
      <c r="E1337" s="27"/>
      <c r="F1337" s="27"/>
      <c r="G1337" s="28"/>
      <c r="H1337" s="28"/>
      <c r="I1337" s="36"/>
      <c r="J1337" s="27"/>
      <c r="K1337" s="29"/>
      <c r="L1337" s="29"/>
      <c r="M1337" s="29"/>
      <c r="N1337" s="29"/>
    </row>
    <row r="1338" spans="2:14" x14ac:dyDescent="0.25">
      <c r="B1338" s="27"/>
      <c r="C1338" s="28"/>
      <c r="D1338" s="28"/>
      <c r="E1338" s="27"/>
      <c r="F1338" s="27"/>
      <c r="G1338" s="28"/>
      <c r="H1338" s="28"/>
      <c r="I1338" s="36"/>
      <c r="J1338" s="27"/>
      <c r="K1338" s="29"/>
      <c r="L1338" s="29"/>
      <c r="M1338" s="29"/>
      <c r="N1338" s="29"/>
    </row>
    <row r="1339" spans="2:14" x14ac:dyDescent="0.25">
      <c r="B1339" s="27"/>
      <c r="C1339" s="28"/>
      <c r="D1339" s="28"/>
      <c r="E1339" s="27"/>
      <c r="F1339" s="27"/>
      <c r="G1339" s="28"/>
      <c r="H1339" s="28"/>
      <c r="I1339" s="36"/>
      <c r="J1339" s="27"/>
      <c r="K1339" s="29"/>
      <c r="L1339" s="29"/>
      <c r="M1339" s="29"/>
      <c r="N1339" s="29"/>
    </row>
    <row r="1340" spans="2:14" x14ac:dyDescent="0.25">
      <c r="B1340" s="27"/>
      <c r="C1340" s="28"/>
      <c r="D1340" s="28"/>
      <c r="E1340" s="27"/>
      <c r="F1340" s="27"/>
      <c r="G1340" s="28"/>
      <c r="H1340" s="28"/>
      <c r="I1340" s="36"/>
      <c r="J1340" s="27"/>
      <c r="K1340" s="29"/>
      <c r="L1340" s="29"/>
      <c r="M1340" s="29"/>
      <c r="N1340" s="29"/>
    </row>
    <row r="1341" spans="2:14" x14ac:dyDescent="0.25">
      <c r="B1341" s="27"/>
      <c r="C1341" s="28"/>
      <c r="D1341" s="28"/>
      <c r="E1341" s="27"/>
      <c r="F1341" s="27"/>
      <c r="G1341" s="28"/>
      <c r="H1341" s="28"/>
      <c r="I1341" s="36"/>
      <c r="J1341" s="27"/>
      <c r="K1341" s="29"/>
      <c r="L1341" s="29"/>
      <c r="M1341" s="29"/>
      <c r="N1341" s="29"/>
    </row>
    <row r="1342" spans="2:14" x14ac:dyDescent="0.25">
      <c r="B1342" s="27"/>
      <c r="C1342" s="28"/>
      <c r="D1342" s="28"/>
      <c r="E1342" s="27"/>
      <c r="F1342" s="27"/>
      <c r="G1342" s="28"/>
      <c r="H1342" s="28"/>
      <c r="I1342" s="36"/>
      <c r="J1342" s="27"/>
      <c r="K1342" s="29"/>
      <c r="L1342" s="29"/>
      <c r="M1342" s="29"/>
      <c r="N1342" s="29"/>
    </row>
    <row r="1343" spans="2:14" x14ac:dyDescent="0.25">
      <c r="B1343" s="27"/>
      <c r="C1343" s="28"/>
      <c r="D1343" s="28"/>
      <c r="E1343" s="27"/>
      <c r="F1343" s="27"/>
      <c r="G1343" s="28"/>
      <c r="H1343" s="28"/>
      <c r="I1343" s="36"/>
      <c r="J1343" s="27"/>
      <c r="K1343" s="29"/>
      <c r="L1343" s="29"/>
      <c r="M1343" s="29"/>
      <c r="N1343" s="29"/>
    </row>
    <row r="1344" spans="2:14" x14ac:dyDescent="0.25">
      <c r="B1344" s="27"/>
      <c r="C1344" s="28"/>
      <c r="D1344" s="28"/>
      <c r="E1344" s="27"/>
      <c r="F1344" s="27"/>
      <c r="G1344" s="28"/>
      <c r="H1344" s="28"/>
      <c r="I1344" s="36"/>
      <c r="J1344" s="27"/>
      <c r="K1344" s="29"/>
      <c r="L1344" s="29"/>
      <c r="M1344" s="29"/>
      <c r="N1344" s="29"/>
    </row>
    <row r="1345" spans="2:14" x14ac:dyDescent="0.25">
      <c r="B1345" s="27"/>
      <c r="C1345" s="28"/>
      <c r="D1345" s="28"/>
      <c r="E1345" s="27"/>
      <c r="F1345" s="27"/>
      <c r="G1345" s="28"/>
      <c r="H1345" s="28"/>
      <c r="I1345" s="36"/>
      <c r="J1345" s="27"/>
      <c r="K1345" s="29"/>
      <c r="L1345" s="29"/>
      <c r="M1345" s="29"/>
      <c r="N1345" s="29"/>
    </row>
    <row r="1346" spans="2:14" x14ac:dyDescent="0.25">
      <c r="B1346" s="27"/>
      <c r="C1346" s="28"/>
      <c r="D1346" s="28"/>
      <c r="E1346" s="27"/>
      <c r="F1346" s="27"/>
      <c r="G1346" s="28"/>
      <c r="H1346" s="28"/>
      <c r="I1346" s="36"/>
      <c r="J1346" s="27"/>
      <c r="K1346" s="29"/>
      <c r="L1346" s="29"/>
      <c r="M1346" s="29"/>
      <c r="N1346" s="29"/>
    </row>
    <row r="1347" spans="2:14" x14ac:dyDescent="0.25">
      <c r="B1347" s="27"/>
      <c r="C1347" s="28"/>
      <c r="D1347" s="28"/>
      <c r="E1347" s="27"/>
      <c r="F1347" s="27"/>
      <c r="G1347" s="28"/>
      <c r="H1347" s="28"/>
      <c r="I1347" s="36"/>
      <c r="J1347" s="27"/>
      <c r="K1347" s="29"/>
      <c r="L1347" s="29"/>
      <c r="M1347" s="29"/>
      <c r="N1347" s="29"/>
    </row>
    <row r="1348" spans="2:14" x14ac:dyDescent="0.25">
      <c r="B1348" s="27"/>
      <c r="C1348" s="28"/>
      <c r="D1348" s="28"/>
      <c r="E1348" s="27"/>
      <c r="F1348" s="27"/>
      <c r="G1348" s="28"/>
      <c r="H1348" s="28"/>
      <c r="I1348" s="36"/>
      <c r="J1348" s="27"/>
      <c r="K1348" s="29"/>
      <c r="L1348" s="29"/>
      <c r="M1348" s="29"/>
      <c r="N1348" s="29"/>
    </row>
    <row r="1349" spans="2:14" x14ac:dyDescent="0.25">
      <c r="B1349" s="27"/>
      <c r="C1349" s="28"/>
      <c r="D1349" s="28"/>
      <c r="E1349" s="27"/>
      <c r="F1349" s="27"/>
      <c r="G1349" s="28"/>
      <c r="H1349" s="28"/>
      <c r="I1349" s="36"/>
      <c r="J1349" s="27"/>
      <c r="K1349" s="29"/>
      <c r="L1349" s="29"/>
      <c r="M1349" s="29"/>
      <c r="N1349" s="29"/>
    </row>
    <row r="1350" spans="2:14" x14ac:dyDescent="0.25">
      <c r="B1350" s="27"/>
      <c r="C1350" s="28"/>
      <c r="D1350" s="28"/>
      <c r="E1350" s="27"/>
      <c r="F1350" s="27"/>
      <c r="G1350" s="28"/>
      <c r="H1350" s="28"/>
      <c r="I1350" s="36"/>
      <c r="J1350" s="27"/>
      <c r="K1350" s="29"/>
      <c r="L1350" s="29"/>
      <c r="M1350" s="29"/>
      <c r="N1350" s="29"/>
    </row>
    <row r="1351" spans="2:14" x14ac:dyDescent="0.25">
      <c r="B1351" s="27"/>
      <c r="C1351" s="28"/>
      <c r="D1351" s="28"/>
      <c r="E1351" s="27"/>
      <c r="F1351" s="27"/>
      <c r="G1351" s="28"/>
      <c r="H1351" s="28"/>
      <c r="I1351" s="36"/>
      <c r="J1351" s="27"/>
      <c r="K1351" s="29"/>
      <c r="L1351" s="29"/>
      <c r="M1351" s="29"/>
      <c r="N1351" s="29"/>
    </row>
    <row r="1352" spans="2:14" x14ac:dyDescent="0.25">
      <c r="B1352" s="27"/>
      <c r="C1352" s="28"/>
      <c r="D1352" s="28"/>
      <c r="E1352" s="27"/>
      <c r="F1352" s="27"/>
      <c r="G1352" s="28"/>
      <c r="H1352" s="28"/>
      <c r="I1352" s="36"/>
      <c r="J1352" s="27"/>
      <c r="K1352" s="29"/>
      <c r="L1352" s="29"/>
      <c r="M1352" s="29"/>
      <c r="N1352" s="29"/>
    </row>
    <row r="1353" spans="2:14" x14ac:dyDescent="0.25">
      <c r="B1353" s="27"/>
      <c r="C1353" s="28"/>
      <c r="D1353" s="28"/>
      <c r="E1353" s="27"/>
      <c r="F1353" s="27"/>
      <c r="G1353" s="28"/>
      <c r="H1353" s="28"/>
      <c r="I1353" s="36"/>
      <c r="J1353" s="27"/>
      <c r="K1353" s="29"/>
      <c r="L1353" s="29"/>
      <c r="M1353" s="29"/>
      <c r="N1353" s="29"/>
    </row>
    <row r="1354" spans="2:14" x14ac:dyDescent="0.25">
      <c r="B1354" s="27"/>
      <c r="C1354" s="28"/>
      <c r="D1354" s="28"/>
      <c r="E1354" s="27"/>
      <c r="F1354" s="27"/>
      <c r="G1354" s="28"/>
      <c r="H1354" s="28"/>
      <c r="I1354" s="36"/>
      <c r="J1354" s="27"/>
      <c r="K1354" s="29"/>
      <c r="L1354" s="29"/>
      <c r="M1354" s="29"/>
      <c r="N1354" s="29"/>
    </row>
    <row r="1355" spans="2:14" x14ac:dyDescent="0.25">
      <c r="B1355" s="27"/>
      <c r="C1355" s="28"/>
      <c r="D1355" s="28"/>
      <c r="E1355" s="27"/>
      <c r="F1355" s="27"/>
      <c r="G1355" s="28"/>
      <c r="H1355" s="28"/>
      <c r="I1355" s="36"/>
      <c r="J1355" s="27"/>
      <c r="K1355" s="29"/>
      <c r="L1355" s="29"/>
      <c r="M1355" s="29"/>
      <c r="N1355" s="29"/>
    </row>
    <row r="1356" spans="2:14" x14ac:dyDescent="0.25">
      <c r="B1356" s="27"/>
      <c r="C1356" s="28"/>
      <c r="D1356" s="28"/>
      <c r="E1356" s="27"/>
      <c r="F1356" s="27"/>
      <c r="G1356" s="28"/>
      <c r="H1356" s="28"/>
      <c r="I1356" s="36"/>
      <c r="J1356" s="27"/>
      <c r="K1356" s="29"/>
      <c r="L1356" s="29"/>
      <c r="M1356" s="29"/>
      <c r="N1356" s="29"/>
    </row>
    <row r="1357" spans="2:14" x14ac:dyDescent="0.25">
      <c r="B1357" s="27"/>
      <c r="C1357" s="28"/>
      <c r="D1357" s="28"/>
      <c r="E1357" s="27"/>
      <c r="F1357" s="27"/>
      <c r="G1357" s="28"/>
      <c r="H1357" s="28"/>
      <c r="I1357" s="36"/>
      <c r="J1357" s="27"/>
      <c r="K1357" s="29"/>
      <c r="L1357" s="29"/>
      <c r="M1357" s="29"/>
      <c r="N1357" s="29"/>
    </row>
    <row r="1358" spans="2:14" x14ac:dyDescent="0.25">
      <c r="B1358" s="27"/>
      <c r="C1358" s="28"/>
      <c r="D1358" s="28"/>
      <c r="E1358" s="27"/>
      <c r="F1358" s="27"/>
      <c r="G1358" s="28"/>
      <c r="H1358" s="28"/>
      <c r="I1358" s="36"/>
      <c r="J1358" s="27"/>
      <c r="K1358" s="29"/>
      <c r="L1358" s="29"/>
      <c r="M1358" s="29"/>
      <c r="N1358" s="29"/>
    </row>
    <row r="1359" spans="2:14" x14ac:dyDescent="0.25">
      <c r="B1359" s="27"/>
      <c r="C1359" s="28"/>
      <c r="D1359" s="28"/>
      <c r="E1359" s="27"/>
      <c r="F1359" s="27"/>
      <c r="G1359" s="28"/>
      <c r="H1359" s="28"/>
      <c r="I1359" s="36"/>
      <c r="J1359" s="27"/>
      <c r="K1359" s="29"/>
      <c r="L1359" s="29"/>
      <c r="M1359" s="29"/>
      <c r="N1359" s="29"/>
    </row>
    <row r="1360" spans="2:14" x14ac:dyDescent="0.25">
      <c r="B1360" s="27"/>
      <c r="C1360" s="28"/>
      <c r="D1360" s="28"/>
      <c r="E1360" s="27"/>
      <c r="F1360" s="27"/>
      <c r="G1360" s="28"/>
      <c r="H1360" s="28"/>
      <c r="I1360" s="36"/>
      <c r="J1360" s="27"/>
      <c r="K1360" s="29"/>
      <c r="L1360" s="29"/>
      <c r="M1360" s="29"/>
      <c r="N1360" s="29"/>
    </row>
    <row r="1361" spans="2:14" x14ac:dyDescent="0.25">
      <c r="B1361" s="27"/>
      <c r="C1361" s="28"/>
      <c r="D1361" s="28"/>
      <c r="E1361" s="27"/>
      <c r="F1361" s="27"/>
      <c r="G1361" s="28"/>
      <c r="H1361" s="28"/>
      <c r="I1361" s="36"/>
      <c r="J1361" s="27"/>
      <c r="K1361" s="29"/>
      <c r="L1361" s="29"/>
      <c r="M1361" s="29"/>
      <c r="N1361" s="29"/>
    </row>
    <row r="1362" spans="2:14" x14ac:dyDescent="0.25">
      <c r="B1362" s="27"/>
      <c r="C1362" s="28"/>
      <c r="D1362" s="28"/>
      <c r="E1362" s="27"/>
      <c r="F1362" s="27"/>
      <c r="G1362" s="28"/>
      <c r="H1362" s="28"/>
      <c r="I1362" s="36"/>
      <c r="J1362" s="27"/>
      <c r="K1362" s="29"/>
      <c r="L1362" s="29"/>
      <c r="M1362" s="29"/>
      <c r="N1362" s="29"/>
    </row>
    <row r="1363" spans="2:14" x14ac:dyDescent="0.25">
      <c r="B1363" s="27"/>
      <c r="C1363" s="28"/>
      <c r="D1363" s="28"/>
      <c r="E1363" s="27"/>
      <c r="F1363" s="27"/>
      <c r="G1363" s="28"/>
      <c r="H1363" s="28"/>
      <c r="I1363" s="36"/>
      <c r="J1363" s="27"/>
      <c r="K1363" s="29"/>
      <c r="L1363" s="29"/>
      <c r="M1363" s="29"/>
      <c r="N1363" s="29"/>
    </row>
    <row r="1364" spans="2:14" x14ac:dyDescent="0.25">
      <c r="B1364" s="27"/>
      <c r="C1364" s="28"/>
      <c r="D1364" s="28"/>
      <c r="E1364" s="27"/>
      <c r="F1364" s="27"/>
      <c r="G1364" s="28"/>
      <c r="H1364" s="28"/>
      <c r="I1364" s="36"/>
      <c r="J1364" s="27"/>
      <c r="K1364" s="29"/>
      <c r="L1364" s="29"/>
      <c r="M1364" s="29"/>
      <c r="N1364" s="29"/>
    </row>
    <row r="1365" spans="2:14" x14ac:dyDescent="0.25">
      <c r="B1365" s="27"/>
      <c r="C1365" s="28"/>
      <c r="D1365" s="28"/>
      <c r="E1365" s="27"/>
      <c r="F1365" s="27"/>
      <c r="G1365" s="28"/>
      <c r="H1365" s="28"/>
      <c r="I1365" s="36"/>
      <c r="J1365" s="27"/>
      <c r="K1365" s="29"/>
      <c r="L1365" s="29"/>
      <c r="M1365" s="29"/>
      <c r="N1365" s="29"/>
    </row>
    <row r="1366" spans="2:14" x14ac:dyDescent="0.25">
      <c r="B1366" s="27"/>
      <c r="C1366" s="28"/>
      <c r="D1366" s="28"/>
      <c r="E1366" s="27"/>
      <c r="F1366" s="27"/>
      <c r="G1366" s="28"/>
      <c r="H1366" s="28"/>
      <c r="I1366" s="36"/>
      <c r="J1366" s="27"/>
      <c r="K1366" s="29"/>
      <c r="L1366" s="29"/>
      <c r="M1366" s="29"/>
      <c r="N1366" s="29"/>
    </row>
    <row r="1367" spans="2:14" x14ac:dyDescent="0.25">
      <c r="B1367" s="27"/>
      <c r="C1367" s="28"/>
      <c r="D1367" s="28"/>
      <c r="E1367" s="27"/>
      <c r="F1367" s="27"/>
      <c r="G1367" s="28"/>
      <c r="H1367" s="28"/>
      <c r="I1367" s="36"/>
      <c r="J1367" s="27"/>
      <c r="K1367" s="29"/>
      <c r="L1367" s="29"/>
      <c r="M1367" s="29"/>
      <c r="N1367" s="29"/>
    </row>
    <row r="1368" spans="2:14" x14ac:dyDescent="0.25">
      <c r="B1368" s="27"/>
      <c r="C1368" s="28"/>
      <c r="D1368" s="28"/>
      <c r="E1368" s="27"/>
      <c r="F1368" s="27"/>
      <c r="G1368" s="28"/>
      <c r="H1368" s="28"/>
      <c r="I1368" s="36"/>
      <c r="J1368" s="27"/>
      <c r="K1368" s="29"/>
      <c r="L1368" s="29"/>
      <c r="M1368" s="29"/>
      <c r="N1368" s="29"/>
    </row>
    <row r="1369" spans="2:14" x14ac:dyDescent="0.25">
      <c r="B1369" s="27"/>
      <c r="C1369" s="28"/>
      <c r="D1369" s="28"/>
      <c r="E1369" s="27"/>
      <c r="F1369" s="27"/>
      <c r="G1369" s="28"/>
      <c r="H1369" s="28"/>
      <c r="I1369" s="36"/>
      <c r="J1369" s="27"/>
      <c r="K1369" s="29"/>
      <c r="L1369" s="29"/>
      <c r="M1369" s="29"/>
      <c r="N1369" s="29"/>
    </row>
    <row r="1370" spans="2:14" x14ac:dyDescent="0.25">
      <c r="B1370" s="27"/>
      <c r="C1370" s="28"/>
      <c r="D1370" s="28"/>
      <c r="E1370" s="27"/>
      <c r="F1370" s="27"/>
      <c r="G1370" s="28"/>
      <c r="H1370" s="28"/>
      <c r="I1370" s="36"/>
      <c r="J1370" s="27"/>
      <c r="K1370" s="29"/>
      <c r="L1370" s="29"/>
      <c r="M1370" s="29"/>
      <c r="N1370" s="29"/>
    </row>
    <row r="1371" spans="2:14" x14ac:dyDescent="0.25">
      <c r="B1371" s="27"/>
      <c r="C1371" s="28"/>
      <c r="D1371" s="28"/>
      <c r="E1371" s="27"/>
      <c r="F1371" s="27"/>
      <c r="G1371" s="28"/>
      <c r="H1371" s="28"/>
      <c r="I1371" s="36"/>
      <c r="J1371" s="27"/>
      <c r="K1371" s="29"/>
      <c r="L1371" s="29"/>
      <c r="M1371" s="29"/>
      <c r="N1371" s="29"/>
    </row>
    <row r="1372" spans="2:14" x14ac:dyDescent="0.25">
      <c r="B1372" s="27"/>
      <c r="C1372" s="28"/>
      <c r="D1372" s="28"/>
      <c r="E1372" s="27"/>
      <c r="F1372" s="27"/>
      <c r="G1372" s="28"/>
      <c r="H1372" s="28"/>
      <c r="I1372" s="36"/>
      <c r="J1372" s="27"/>
      <c r="K1372" s="29"/>
      <c r="L1372" s="29"/>
      <c r="M1372" s="29"/>
      <c r="N1372" s="29"/>
    </row>
    <row r="1373" spans="2:14" x14ac:dyDescent="0.25">
      <c r="B1373" s="27"/>
      <c r="C1373" s="28"/>
      <c r="D1373" s="28"/>
      <c r="E1373" s="27"/>
      <c r="F1373" s="27"/>
      <c r="G1373" s="28"/>
      <c r="H1373" s="28"/>
      <c r="I1373" s="36"/>
      <c r="J1373" s="27"/>
      <c r="K1373" s="29"/>
      <c r="L1373" s="29"/>
      <c r="M1373" s="29"/>
      <c r="N1373" s="29"/>
    </row>
    <row r="1374" spans="2:14" x14ac:dyDescent="0.25">
      <c r="B1374" s="27"/>
      <c r="C1374" s="28"/>
      <c r="D1374" s="28"/>
      <c r="E1374" s="27"/>
      <c r="F1374" s="27"/>
      <c r="G1374" s="28"/>
      <c r="H1374" s="28"/>
      <c r="I1374" s="36"/>
      <c r="J1374" s="27"/>
      <c r="K1374" s="29"/>
      <c r="L1374" s="29"/>
      <c r="M1374" s="29"/>
      <c r="N1374" s="29"/>
    </row>
    <row r="1375" spans="2:14" x14ac:dyDescent="0.25">
      <c r="B1375" s="27"/>
      <c r="C1375" s="28"/>
      <c r="D1375" s="28"/>
      <c r="E1375" s="27"/>
      <c r="F1375" s="27"/>
      <c r="G1375" s="28"/>
      <c r="H1375" s="28"/>
      <c r="I1375" s="36"/>
      <c r="J1375" s="27"/>
      <c r="K1375" s="29"/>
      <c r="L1375" s="29"/>
      <c r="M1375" s="29"/>
      <c r="N1375" s="29"/>
    </row>
    <row r="1376" spans="2:14" x14ac:dyDescent="0.25">
      <c r="B1376" s="27"/>
      <c r="C1376" s="28"/>
      <c r="D1376" s="28"/>
      <c r="E1376" s="27"/>
      <c r="F1376" s="27"/>
      <c r="G1376" s="28"/>
      <c r="H1376" s="28"/>
      <c r="I1376" s="36"/>
      <c r="J1376" s="27"/>
      <c r="K1376" s="29"/>
      <c r="L1376" s="29"/>
      <c r="M1376" s="29"/>
      <c r="N1376" s="29"/>
    </row>
    <row r="1377" spans="2:14" x14ac:dyDescent="0.25">
      <c r="B1377" s="27"/>
      <c r="C1377" s="28"/>
      <c r="D1377" s="28"/>
      <c r="E1377" s="27"/>
      <c r="F1377" s="27"/>
      <c r="G1377" s="28"/>
      <c r="H1377" s="28"/>
      <c r="I1377" s="36"/>
      <c r="J1377" s="27"/>
      <c r="K1377" s="29"/>
      <c r="L1377" s="29"/>
      <c r="M1377" s="29"/>
      <c r="N1377" s="29"/>
    </row>
    <row r="1378" spans="2:14" x14ac:dyDescent="0.25">
      <c r="B1378" s="27"/>
      <c r="C1378" s="28"/>
      <c r="D1378" s="28"/>
      <c r="E1378" s="27"/>
      <c r="F1378" s="27"/>
      <c r="G1378" s="28"/>
      <c r="H1378" s="28"/>
      <c r="I1378" s="36"/>
      <c r="J1378" s="27"/>
      <c r="K1378" s="29"/>
      <c r="L1378" s="29"/>
      <c r="M1378" s="29"/>
      <c r="N1378" s="29"/>
    </row>
    <row r="1379" spans="2:14" x14ac:dyDescent="0.25">
      <c r="B1379" s="27"/>
      <c r="C1379" s="28"/>
      <c r="D1379" s="28"/>
      <c r="E1379" s="27"/>
      <c r="F1379" s="27"/>
      <c r="G1379" s="28"/>
      <c r="H1379" s="28"/>
      <c r="I1379" s="36"/>
      <c r="J1379" s="27"/>
      <c r="K1379" s="29"/>
      <c r="L1379" s="29"/>
      <c r="M1379" s="29"/>
      <c r="N1379" s="29"/>
    </row>
    <row r="1380" spans="2:14" x14ac:dyDescent="0.25">
      <c r="B1380" s="27"/>
      <c r="C1380" s="28"/>
      <c r="D1380" s="28"/>
      <c r="E1380" s="27"/>
      <c r="F1380" s="27"/>
      <c r="G1380" s="28"/>
      <c r="H1380" s="28"/>
      <c r="I1380" s="36"/>
      <c r="J1380" s="27"/>
      <c r="K1380" s="29"/>
      <c r="L1380" s="29"/>
      <c r="M1380" s="29"/>
      <c r="N1380" s="29"/>
    </row>
    <row r="1381" spans="2:14" x14ac:dyDescent="0.25">
      <c r="B1381" s="27"/>
      <c r="C1381" s="28"/>
      <c r="D1381" s="28"/>
      <c r="E1381" s="27"/>
      <c r="F1381" s="27"/>
      <c r="G1381" s="28"/>
      <c r="H1381" s="28"/>
      <c r="I1381" s="36"/>
      <c r="J1381" s="27"/>
      <c r="K1381" s="29"/>
      <c r="L1381" s="29"/>
      <c r="M1381" s="29"/>
      <c r="N1381" s="29"/>
    </row>
    <row r="1382" spans="2:14" x14ac:dyDescent="0.25">
      <c r="B1382" s="27"/>
      <c r="C1382" s="28"/>
      <c r="D1382" s="28"/>
      <c r="E1382" s="27"/>
      <c r="F1382" s="27"/>
      <c r="G1382" s="28"/>
      <c r="H1382" s="28"/>
      <c r="I1382" s="36"/>
      <c r="J1382" s="27"/>
      <c r="K1382" s="29"/>
      <c r="L1382" s="29"/>
      <c r="M1382" s="29"/>
      <c r="N1382" s="29"/>
    </row>
    <row r="1383" spans="2:14" x14ac:dyDescent="0.25">
      <c r="B1383" s="27"/>
      <c r="C1383" s="28"/>
      <c r="D1383" s="28"/>
      <c r="E1383" s="27"/>
      <c r="F1383" s="27"/>
      <c r="G1383" s="28"/>
      <c r="H1383" s="28"/>
      <c r="I1383" s="36"/>
      <c r="J1383" s="27"/>
      <c r="K1383" s="29"/>
      <c r="L1383" s="29"/>
      <c r="M1383" s="29"/>
      <c r="N1383" s="29"/>
    </row>
    <row r="1384" spans="2:14" x14ac:dyDescent="0.25">
      <c r="B1384" s="27"/>
      <c r="C1384" s="28"/>
      <c r="D1384" s="28"/>
      <c r="E1384" s="27"/>
      <c r="F1384" s="27"/>
      <c r="G1384" s="28"/>
      <c r="H1384" s="28"/>
      <c r="I1384" s="36"/>
      <c r="J1384" s="27"/>
      <c r="K1384" s="29"/>
      <c r="L1384" s="29"/>
      <c r="M1384" s="29"/>
      <c r="N1384" s="29"/>
    </row>
    <row r="1385" spans="2:14" x14ac:dyDescent="0.25">
      <c r="B1385" s="27"/>
      <c r="C1385" s="28"/>
      <c r="D1385" s="28"/>
      <c r="E1385" s="27"/>
      <c r="F1385" s="27"/>
      <c r="G1385" s="28"/>
      <c r="H1385" s="28"/>
      <c r="I1385" s="36"/>
      <c r="J1385" s="27"/>
      <c r="K1385" s="29"/>
      <c r="L1385" s="29"/>
      <c r="M1385" s="29"/>
      <c r="N1385" s="29"/>
    </row>
    <row r="1386" spans="2:14" x14ac:dyDescent="0.25">
      <c r="B1386" s="27"/>
      <c r="C1386" s="28"/>
      <c r="D1386" s="28"/>
      <c r="E1386" s="27"/>
      <c r="F1386" s="27"/>
      <c r="G1386" s="28"/>
      <c r="H1386" s="28"/>
      <c r="I1386" s="36"/>
      <c r="J1386" s="27"/>
      <c r="K1386" s="29"/>
      <c r="L1386" s="29"/>
      <c r="M1386" s="29"/>
      <c r="N1386" s="29"/>
    </row>
    <row r="1387" spans="2:14" x14ac:dyDescent="0.25">
      <c r="B1387" s="27"/>
      <c r="C1387" s="28"/>
      <c r="D1387" s="28"/>
      <c r="E1387" s="27"/>
      <c r="F1387" s="27"/>
      <c r="G1387" s="28"/>
      <c r="H1387" s="28"/>
      <c r="I1387" s="36"/>
      <c r="J1387" s="27"/>
      <c r="K1387" s="29"/>
      <c r="L1387" s="29"/>
      <c r="M1387" s="29"/>
      <c r="N1387" s="29"/>
    </row>
    <row r="1388" spans="2:14" x14ac:dyDescent="0.25">
      <c r="B1388" s="27"/>
      <c r="C1388" s="28"/>
      <c r="D1388" s="28"/>
      <c r="E1388" s="27"/>
      <c r="F1388" s="27"/>
      <c r="G1388" s="28"/>
      <c r="H1388" s="28"/>
      <c r="I1388" s="36"/>
      <c r="J1388" s="27"/>
      <c r="K1388" s="29"/>
      <c r="L1388" s="29"/>
      <c r="M1388" s="29"/>
      <c r="N1388" s="29"/>
    </row>
    <row r="1389" spans="2:14" x14ac:dyDescent="0.25">
      <c r="B1389" s="27"/>
      <c r="C1389" s="28"/>
      <c r="D1389" s="28"/>
      <c r="E1389" s="27"/>
      <c r="F1389" s="27"/>
      <c r="G1389" s="28"/>
      <c r="H1389" s="28"/>
      <c r="I1389" s="36"/>
      <c r="J1389" s="27"/>
      <c r="K1389" s="29"/>
      <c r="L1389" s="29"/>
      <c r="M1389" s="29"/>
      <c r="N1389" s="29"/>
    </row>
    <row r="1390" spans="2:14" x14ac:dyDescent="0.25">
      <c r="B1390" s="27"/>
      <c r="C1390" s="28"/>
      <c r="D1390" s="28"/>
      <c r="E1390" s="27"/>
      <c r="F1390" s="27"/>
      <c r="G1390" s="28"/>
      <c r="H1390" s="28"/>
      <c r="I1390" s="36"/>
      <c r="J1390" s="27"/>
      <c r="K1390" s="29"/>
      <c r="L1390" s="29"/>
      <c r="M1390" s="29"/>
      <c r="N1390" s="29"/>
    </row>
    <row r="1391" spans="2:14" x14ac:dyDescent="0.25">
      <c r="B1391" s="27"/>
      <c r="C1391" s="28"/>
      <c r="D1391" s="28"/>
      <c r="E1391" s="27"/>
      <c r="F1391" s="27"/>
      <c r="G1391" s="28"/>
      <c r="H1391" s="28"/>
      <c r="I1391" s="36"/>
      <c r="J1391" s="27"/>
      <c r="K1391" s="29"/>
      <c r="L1391" s="29"/>
      <c r="M1391" s="29"/>
      <c r="N1391" s="29"/>
    </row>
    <row r="1392" spans="2:14" x14ac:dyDescent="0.25">
      <c r="B1392" s="27"/>
      <c r="C1392" s="28"/>
      <c r="D1392" s="28"/>
      <c r="E1392" s="27"/>
      <c r="F1392" s="27"/>
      <c r="G1392" s="28"/>
      <c r="H1392" s="28"/>
      <c r="I1392" s="36"/>
      <c r="J1392" s="27"/>
      <c r="K1392" s="29"/>
      <c r="L1392" s="29"/>
      <c r="M1392" s="29"/>
      <c r="N1392" s="29"/>
    </row>
    <row r="1393" spans="2:14" x14ac:dyDescent="0.25">
      <c r="B1393" s="27"/>
      <c r="C1393" s="28"/>
      <c r="D1393" s="28"/>
      <c r="E1393" s="27"/>
      <c r="F1393" s="27"/>
      <c r="G1393" s="28"/>
      <c r="H1393" s="28"/>
      <c r="I1393" s="36"/>
      <c r="J1393" s="27"/>
      <c r="K1393" s="29"/>
      <c r="L1393" s="29"/>
      <c r="M1393" s="29"/>
      <c r="N1393" s="29"/>
    </row>
    <row r="1394" spans="2:14" x14ac:dyDescent="0.25">
      <c r="B1394" s="27"/>
      <c r="C1394" s="28"/>
      <c r="D1394" s="28"/>
      <c r="E1394" s="27"/>
      <c r="F1394" s="27"/>
      <c r="G1394" s="28"/>
      <c r="H1394" s="28"/>
      <c r="I1394" s="36"/>
      <c r="J1394" s="27"/>
      <c r="K1394" s="29"/>
      <c r="L1394" s="29"/>
      <c r="M1394" s="29"/>
      <c r="N1394" s="29"/>
    </row>
    <row r="1395" spans="2:14" x14ac:dyDescent="0.25">
      <c r="B1395" s="27"/>
      <c r="C1395" s="28"/>
      <c r="D1395" s="28"/>
      <c r="E1395" s="27"/>
      <c r="F1395" s="27"/>
      <c r="G1395" s="28"/>
      <c r="H1395" s="28"/>
      <c r="I1395" s="36"/>
      <c r="J1395" s="27"/>
      <c r="K1395" s="29"/>
      <c r="L1395" s="29"/>
      <c r="M1395" s="29"/>
      <c r="N1395" s="29"/>
    </row>
    <row r="1396" spans="2:14" x14ac:dyDescent="0.25">
      <c r="B1396" s="27"/>
      <c r="C1396" s="28"/>
      <c r="D1396" s="28"/>
      <c r="E1396" s="27"/>
      <c r="F1396" s="27"/>
      <c r="G1396" s="28"/>
      <c r="H1396" s="28"/>
      <c r="I1396" s="36"/>
      <c r="J1396" s="27"/>
      <c r="K1396" s="29"/>
      <c r="L1396" s="29"/>
      <c r="M1396" s="29"/>
      <c r="N1396" s="29"/>
    </row>
    <row r="1397" spans="2:14" x14ac:dyDescent="0.25">
      <c r="B1397" s="27"/>
      <c r="C1397" s="28"/>
      <c r="D1397" s="28"/>
      <c r="E1397" s="27"/>
      <c r="F1397" s="27"/>
      <c r="G1397" s="28"/>
      <c r="H1397" s="28"/>
      <c r="I1397" s="36"/>
      <c r="J1397" s="27"/>
      <c r="K1397" s="29"/>
      <c r="L1397" s="29"/>
      <c r="M1397" s="29"/>
      <c r="N1397" s="29"/>
    </row>
    <row r="1398" spans="2:14" x14ac:dyDescent="0.25">
      <c r="B1398" s="27"/>
      <c r="C1398" s="28"/>
      <c r="D1398" s="28"/>
      <c r="E1398" s="27"/>
      <c r="F1398" s="27"/>
      <c r="G1398" s="28"/>
      <c r="H1398" s="28"/>
      <c r="I1398" s="36"/>
      <c r="J1398" s="27"/>
      <c r="K1398" s="29"/>
      <c r="L1398" s="29"/>
      <c r="M1398" s="29"/>
      <c r="N1398" s="29"/>
    </row>
    <row r="1399" spans="2:14" x14ac:dyDescent="0.25">
      <c r="B1399" s="27"/>
      <c r="C1399" s="28"/>
      <c r="D1399" s="28"/>
      <c r="E1399" s="27"/>
      <c r="F1399" s="27"/>
      <c r="G1399" s="28"/>
      <c r="H1399" s="28"/>
      <c r="I1399" s="36"/>
      <c r="J1399" s="27"/>
      <c r="K1399" s="29"/>
      <c r="L1399" s="29"/>
      <c r="M1399" s="29"/>
      <c r="N1399" s="29"/>
    </row>
    <row r="1400" spans="2:14" x14ac:dyDescent="0.25">
      <c r="B1400" s="27"/>
      <c r="C1400" s="28"/>
      <c r="D1400" s="28"/>
      <c r="E1400" s="27"/>
      <c r="F1400" s="27"/>
      <c r="G1400" s="28"/>
      <c r="H1400" s="28"/>
      <c r="I1400" s="36"/>
      <c r="J1400" s="27"/>
      <c r="K1400" s="29"/>
      <c r="L1400" s="29"/>
      <c r="M1400" s="29"/>
      <c r="N1400" s="29"/>
    </row>
    <row r="1401" spans="2:14" x14ac:dyDescent="0.25">
      <c r="B1401" s="27"/>
      <c r="C1401" s="28"/>
      <c r="D1401" s="28"/>
      <c r="E1401" s="27"/>
      <c r="F1401" s="27"/>
      <c r="G1401" s="28"/>
      <c r="H1401" s="28"/>
      <c r="I1401" s="36"/>
      <c r="J1401" s="27"/>
      <c r="K1401" s="29"/>
      <c r="L1401" s="29"/>
      <c r="M1401" s="29"/>
      <c r="N1401" s="29"/>
    </row>
    <row r="1402" spans="2:14" x14ac:dyDescent="0.25">
      <c r="B1402" s="27"/>
      <c r="C1402" s="28"/>
      <c r="D1402" s="28"/>
      <c r="E1402" s="27"/>
      <c r="F1402" s="27"/>
      <c r="G1402" s="28"/>
      <c r="H1402" s="28"/>
      <c r="I1402" s="36"/>
      <c r="J1402" s="27"/>
      <c r="K1402" s="29"/>
      <c r="L1402" s="29"/>
      <c r="M1402" s="29"/>
      <c r="N1402" s="29"/>
    </row>
    <row r="1403" spans="2:14" x14ac:dyDescent="0.25">
      <c r="B1403" s="27"/>
      <c r="C1403" s="28"/>
      <c r="D1403" s="28"/>
      <c r="E1403" s="27"/>
      <c r="F1403" s="27"/>
      <c r="G1403" s="28"/>
      <c r="H1403" s="28"/>
      <c r="I1403" s="36"/>
      <c r="J1403" s="27"/>
      <c r="K1403" s="29"/>
      <c r="L1403" s="29"/>
      <c r="M1403" s="29"/>
      <c r="N1403" s="29"/>
    </row>
    <row r="1404" spans="2:14" x14ac:dyDescent="0.25">
      <c r="B1404" s="27"/>
      <c r="C1404" s="28"/>
      <c r="D1404" s="28"/>
      <c r="E1404" s="27"/>
      <c r="F1404" s="27"/>
      <c r="G1404" s="28"/>
      <c r="H1404" s="28"/>
      <c r="I1404" s="36"/>
      <c r="J1404" s="27"/>
      <c r="K1404" s="29"/>
      <c r="L1404" s="29"/>
      <c r="M1404" s="29"/>
      <c r="N1404" s="29"/>
    </row>
    <row r="1405" spans="2:14" x14ac:dyDescent="0.25">
      <c r="B1405" s="27"/>
      <c r="C1405" s="28"/>
      <c r="D1405" s="28"/>
      <c r="E1405" s="27"/>
      <c r="F1405" s="27"/>
      <c r="G1405" s="28"/>
      <c r="H1405" s="28"/>
      <c r="I1405" s="36"/>
      <c r="J1405" s="27"/>
      <c r="K1405" s="29"/>
      <c r="L1405" s="29"/>
      <c r="M1405" s="29"/>
      <c r="N1405" s="29"/>
    </row>
    <row r="1406" spans="2:14" x14ac:dyDescent="0.25">
      <c r="B1406" s="27"/>
      <c r="C1406" s="28"/>
      <c r="D1406" s="28"/>
      <c r="E1406" s="27"/>
      <c r="F1406" s="27"/>
      <c r="G1406" s="28"/>
      <c r="H1406" s="28"/>
      <c r="I1406" s="36"/>
      <c r="J1406" s="27"/>
      <c r="K1406" s="29"/>
      <c r="L1406" s="29"/>
      <c r="M1406" s="29"/>
      <c r="N1406" s="29"/>
    </row>
    <row r="1407" spans="2:14" x14ac:dyDescent="0.25">
      <c r="B1407" s="27"/>
      <c r="C1407" s="28"/>
      <c r="D1407" s="28"/>
      <c r="E1407" s="27"/>
      <c r="F1407" s="27"/>
      <c r="G1407" s="28"/>
      <c r="H1407" s="28"/>
      <c r="I1407" s="36"/>
      <c r="J1407" s="27"/>
      <c r="K1407" s="29"/>
      <c r="L1407" s="29"/>
      <c r="M1407" s="29"/>
      <c r="N1407" s="29"/>
    </row>
    <row r="1408" spans="2:14" x14ac:dyDescent="0.25">
      <c r="B1408" s="27"/>
      <c r="C1408" s="28"/>
      <c r="D1408" s="28"/>
      <c r="E1408" s="27"/>
      <c r="F1408" s="27"/>
      <c r="G1408" s="28"/>
      <c r="H1408" s="28"/>
      <c r="I1408" s="36"/>
      <c r="J1408" s="27"/>
      <c r="K1408" s="29"/>
      <c r="L1408" s="29"/>
      <c r="M1408" s="29"/>
      <c r="N1408" s="29"/>
    </row>
    <row r="1409" spans="2:14" x14ac:dyDescent="0.25">
      <c r="B1409" s="27"/>
      <c r="C1409" s="28"/>
      <c r="D1409" s="28"/>
      <c r="E1409" s="27"/>
      <c r="F1409" s="27"/>
      <c r="G1409" s="28"/>
      <c r="H1409" s="28"/>
      <c r="I1409" s="36"/>
      <c r="J1409" s="27"/>
      <c r="K1409" s="29"/>
      <c r="L1409" s="29"/>
      <c r="M1409" s="29"/>
      <c r="N1409" s="29"/>
    </row>
    <row r="1410" spans="2:14" x14ac:dyDescent="0.25">
      <c r="B1410" s="27"/>
      <c r="C1410" s="28"/>
      <c r="D1410" s="28"/>
      <c r="E1410" s="27"/>
      <c r="F1410" s="27"/>
      <c r="G1410" s="28"/>
      <c r="H1410" s="28"/>
      <c r="I1410" s="36"/>
      <c r="J1410" s="27"/>
      <c r="K1410" s="29"/>
      <c r="L1410" s="29"/>
      <c r="M1410" s="29"/>
      <c r="N1410" s="29"/>
    </row>
    <row r="1411" spans="2:14" x14ac:dyDescent="0.25">
      <c r="B1411" s="27"/>
      <c r="C1411" s="28"/>
      <c r="D1411" s="28"/>
      <c r="E1411" s="27"/>
      <c r="F1411" s="27"/>
      <c r="G1411" s="28"/>
      <c r="H1411" s="28"/>
      <c r="I1411" s="36"/>
      <c r="J1411" s="27"/>
      <c r="K1411" s="29"/>
      <c r="L1411" s="29"/>
      <c r="M1411" s="29"/>
      <c r="N1411" s="29"/>
    </row>
    <row r="1412" spans="2:14" x14ac:dyDescent="0.25">
      <c r="B1412" s="27"/>
      <c r="C1412" s="28"/>
      <c r="D1412" s="28"/>
      <c r="E1412" s="27"/>
      <c r="F1412" s="27"/>
      <c r="G1412" s="28"/>
      <c r="H1412" s="28"/>
      <c r="I1412" s="36"/>
      <c r="J1412" s="27"/>
      <c r="K1412" s="29"/>
      <c r="L1412" s="29"/>
      <c r="M1412" s="29"/>
      <c r="N1412" s="29"/>
    </row>
    <row r="1413" spans="2:14" x14ac:dyDescent="0.25">
      <c r="B1413" s="27"/>
      <c r="C1413" s="28"/>
      <c r="D1413" s="28"/>
      <c r="E1413" s="27"/>
      <c r="F1413" s="27"/>
      <c r="G1413" s="28"/>
      <c r="H1413" s="28"/>
      <c r="I1413" s="36"/>
      <c r="J1413" s="27"/>
      <c r="K1413" s="29"/>
      <c r="L1413" s="29"/>
      <c r="M1413" s="29"/>
      <c r="N1413" s="29"/>
    </row>
    <row r="1414" spans="2:14" x14ac:dyDescent="0.25">
      <c r="B1414" s="27"/>
      <c r="C1414" s="28"/>
      <c r="D1414" s="28"/>
      <c r="E1414" s="27"/>
      <c r="F1414" s="27"/>
      <c r="G1414" s="28"/>
      <c r="H1414" s="28"/>
      <c r="I1414" s="36"/>
      <c r="J1414" s="27"/>
      <c r="K1414" s="29"/>
      <c r="L1414" s="29"/>
      <c r="M1414" s="29"/>
      <c r="N1414" s="29"/>
    </row>
    <row r="1415" spans="2:14" x14ac:dyDescent="0.25">
      <c r="B1415" s="27"/>
      <c r="C1415" s="28"/>
      <c r="D1415" s="28"/>
      <c r="E1415" s="27"/>
      <c r="F1415" s="27"/>
      <c r="G1415" s="28"/>
      <c r="H1415" s="28"/>
      <c r="I1415" s="36"/>
      <c r="J1415" s="27"/>
      <c r="K1415" s="29"/>
      <c r="L1415" s="29"/>
      <c r="M1415" s="29"/>
      <c r="N1415" s="29"/>
    </row>
    <row r="1416" spans="2:14" x14ac:dyDescent="0.25">
      <c r="B1416" s="27"/>
      <c r="C1416" s="28"/>
      <c r="D1416" s="28"/>
      <c r="E1416" s="27"/>
      <c r="F1416" s="27"/>
      <c r="G1416" s="28"/>
      <c r="H1416" s="28"/>
      <c r="I1416" s="36"/>
      <c r="J1416" s="27"/>
      <c r="K1416" s="29"/>
      <c r="L1416" s="29"/>
      <c r="M1416" s="29"/>
      <c r="N1416" s="29"/>
    </row>
    <row r="1417" spans="2:14" x14ac:dyDescent="0.25">
      <c r="B1417" s="27"/>
      <c r="C1417" s="28"/>
      <c r="D1417" s="28"/>
      <c r="E1417" s="27"/>
      <c r="F1417" s="27"/>
      <c r="G1417" s="28"/>
      <c r="H1417" s="28"/>
      <c r="I1417" s="36"/>
      <c r="J1417" s="27"/>
      <c r="K1417" s="29"/>
      <c r="L1417" s="29"/>
      <c r="M1417" s="29"/>
      <c r="N1417" s="29"/>
    </row>
    <row r="1418" spans="2:14" x14ac:dyDescent="0.25">
      <c r="B1418" s="27"/>
      <c r="C1418" s="28"/>
      <c r="D1418" s="28"/>
      <c r="E1418" s="27"/>
      <c r="F1418" s="27"/>
      <c r="G1418" s="28"/>
      <c r="H1418" s="28"/>
      <c r="I1418" s="36"/>
      <c r="J1418" s="27"/>
      <c r="K1418" s="29"/>
      <c r="L1418" s="29"/>
      <c r="M1418" s="29"/>
      <c r="N1418" s="29"/>
    </row>
    <row r="1419" spans="2:14" x14ac:dyDescent="0.25">
      <c r="B1419" s="27"/>
      <c r="C1419" s="28"/>
      <c r="D1419" s="28"/>
      <c r="E1419" s="27"/>
      <c r="F1419" s="27"/>
      <c r="G1419" s="28"/>
      <c r="H1419" s="28"/>
      <c r="I1419" s="36"/>
      <c r="J1419" s="27"/>
      <c r="K1419" s="29"/>
      <c r="L1419" s="29"/>
      <c r="M1419" s="29"/>
      <c r="N1419" s="29"/>
    </row>
    <row r="1420" spans="2:14" x14ac:dyDescent="0.25">
      <c r="B1420" s="27"/>
      <c r="C1420" s="28"/>
      <c r="D1420" s="28"/>
      <c r="E1420" s="27"/>
      <c r="F1420" s="27"/>
      <c r="G1420" s="28"/>
      <c r="H1420" s="28"/>
      <c r="I1420" s="36"/>
      <c r="J1420" s="27"/>
      <c r="K1420" s="29"/>
      <c r="L1420" s="29"/>
      <c r="M1420" s="29"/>
      <c r="N1420" s="29"/>
    </row>
    <row r="1421" spans="2:14" x14ac:dyDescent="0.25">
      <c r="B1421" s="27"/>
      <c r="C1421" s="28"/>
      <c r="D1421" s="28"/>
      <c r="E1421" s="27"/>
      <c r="F1421" s="27"/>
      <c r="G1421" s="28"/>
      <c r="H1421" s="28"/>
      <c r="I1421" s="36"/>
      <c r="J1421" s="27"/>
      <c r="K1421" s="29"/>
      <c r="L1421" s="29"/>
      <c r="M1421" s="29"/>
      <c r="N1421" s="29"/>
    </row>
    <row r="1422" spans="2:14" x14ac:dyDescent="0.25">
      <c r="B1422" s="27"/>
      <c r="C1422" s="28"/>
      <c r="D1422" s="28"/>
      <c r="E1422" s="27"/>
      <c r="F1422" s="27"/>
      <c r="G1422" s="28"/>
      <c r="H1422" s="28"/>
      <c r="I1422" s="36"/>
      <c r="J1422" s="27"/>
      <c r="K1422" s="29"/>
      <c r="L1422" s="29"/>
      <c r="M1422" s="29"/>
      <c r="N1422" s="29"/>
    </row>
    <row r="1423" spans="2:14" x14ac:dyDescent="0.25">
      <c r="B1423" s="27"/>
      <c r="C1423" s="28"/>
      <c r="D1423" s="28"/>
      <c r="E1423" s="27"/>
      <c r="F1423" s="27"/>
      <c r="G1423" s="28"/>
      <c r="H1423" s="28"/>
      <c r="I1423" s="36"/>
      <c r="J1423" s="27"/>
      <c r="K1423" s="29"/>
      <c r="L1423" s="29"/>
      <c r="M1423" s="29"/>
      <c r="N1423" s="29"/>
    </row>
    <row r="1424" spans="2:14" x14ac:dyDescent="0.25">
      <c r="B1424" s="27"/>
      <c r="C1424" s="28"/>
      <c r="D1424" s="28"/>
      <c r="E1424" s="27"/>
      <c r="F1424" s="27"/>
      <c r="G1424" s="28"/>
      <c r="H1424" s="28"/>
      <c r="I1424" s="36"/>
      <c r="J1424" s="27"/>
      <c r="K1424" s="29"/>
      <c r="L1424" s="29"/>
      <c r="M1424" s="29"/>
      <c r="N1424" s="29"/>
    </row>
    <row r="1425" spans="2:14" x14ac:dyDescent="0.25">
      <c r="B1425" s="27"/>
      <c r="C1425" s="28"/>
      <c r="D1425" s="28"/>
      <c r="E1425" s="27"/>
      <c r="F1425" s="27"/>
      <c r="G1425" s="28"/>
      <c r="H1425" s="28"/>
      <c r="I1425" s="36"/>
      <c r="J1425" s="27"/>
      <c r="K1425" s="29"/>
      <c r="L1425" s="29"/>
      <c r="M1425" s="29"/>
      <c r="N1425" s="29"/>
    </row>
    <row r="1426" spans="2:14" x14ac:dyDescent="0.25">
      <c r="B1426" s="27"/>
      <c r="C1426" s="28"/>
      <c r="D1426" s="28"/>
      <c r="E1426" s="27"/>
      <c r="F1426" s="27"/>
      <c r="G1426" s="28"/>
      <c r="H1426" s="28"/>
      <c r="I1426" s="36"/>
      <c r="J1426" s="27"/>
      <c r="K1426" s="29"/>
      <c r="L1426" s="29"/>
      <c r="M1426" s="29"/>
      <c r="N1426" s="29"/>
    </row>
    <row r="1427" spans="2:14" x14ac:dyDescent="0.25">
      <c r="B1427" s="27"/>
      <c r="C1427" s="28"/>
      <c r="D1427" s="28"/>
      <c r="E1427" s="27"/>
      <c r="F1427" s="27"/>
      <c r="G1427" s="28"/>
      <c r="H1427" s="28"/>
      <c r="I1427" s="36"/>
      <c r="J1427" s="27"/>
      <c r="K1427" s="29"/>
      <c r="L1427" s="29"/>
      <c r="M1427" s="29"/>
      <c r="N1427" s="29"/>
    </row>
    <row r="1428" spans="2:14" x14ac:dyDescent="0.25">
      <c r="B1428" s="27"/>
      <c r="C1428" s="28"/>
      <c r="D1428" s="28"/>
      <c r="E1428" s="27"/>
      <c r="F1428" s="27"/>
      <c r="G1428" s="28"/>
      <c r="H1428" s="28"/>
      <c r="I1428" s="36"/>
      <c r="J1428" s="27"/>
      <c r="K1428" s="29"/>
      <c r="L1428" s="29"/>
      <c r="M1428" s="29"/>
      <c r="N1428" s="29"/>
    </row>
    <row r="1429" spans="2:14" x14ac:dyDescent="0.25">
      <c r="B1429" s="27"/>
      <c r="C1429" s="28"/>
      <c r="D1429" s="28"/>
      <c r="E1429" s="27"/>
      <c r="F1429" s="27"/>
      <c r="G1429" s="28"/>
      <c r="H1429" s="28"/>
      <c r="I1429" s="36"/>
      <c r="J1429" s="27"/>
      <c r="K1429" s="29"/>
      <c r="L1429" s="29"/>
      <c r="M1429" s="29"/>
      <c r="N1429" s="29"/>
    </row>
    <row r="1430" spans="2:14" x14ac:dyDescent="0.25">
      <c r="B1430" s="27"/>
      <c r="C1430" s="28"/>
      <c r="D1430" s="28"/>
      <c r="E1430" s="27"/>
      <c r="F1430" s="27"/>
      <c r="G1430" s="28"/>
      <c r="H1430" s="28"/>
      <c r="I1430" s="36"/>
      <c r="J1430" s="27"/>
      <c r="K1430" s="29"/>
      <c r="L1430" s="29"/>
      <c r="M1430" s="29"/>
      <c r="N1430" s="29"/>
    </row>
    <row r="1431" spans="2:14" x14ac:dyDescent="0.25">
      <c r="B1431" s="27"/>
      <c r="C1431" s="28"/>
      <c r="D1431" s="28"/>
      <c r="E1431" s="27"/>
      <c r="F1431" s="27"/>
      <c r="G1431" s="28"/>
      <c r="H1431" s="28"/>
      <c r="I1431" s="36"/>
      <c r="J1431" s="27"/>
      <c r="K1431" s="29"/>
      <c r="L1431" s="29"/>
      <c r="M1431" s="29"/>
      <c r="N1431" s="29"/>
    </row>
    <row r="1432" spans="2:14" x14ac:dyDescent="0.25">
      <c r="B1432" s="27"/>
      <c r="C1432" s="28"/>
      <c r="D1432" s="28"/>
      <c r="E1432" s="27"/>
      <c r="F1432" s="27"/>
      <c r="G1432" s="28"/>
      <c r="H1432" s="28"/>
      <c r="I1432" s="36"/>
      <c r="J1432" s="27"/>
      <c r="K1432" s="29"/>
      <c r="L1432" s="29"/>
      <c r="M1432" s="29"/>
      <c r="N1432" s="29"/>
    </row>
    <row r="1433" spans="2:14" x14ac:dyDescent="0.25">
      <c r="B1433" s="27"/>
      <c r="C1433" s="28"/>
      <c r="D1433" s="28"/>
      <c r="E1433" s="27"/>
      <c r="F1433" s="27"/>
      <c r="G1433" s="28"/>
      <c r="H1433" s="28"/>
      <c r="I1433" s="36"/>
      <c r="J1433" s="27"/>
      <c r="K1433" s="29"/>
      <c r="L1433" s="29"/>
      <c r="M1433" s="29"/>
      <c r="N1433" s="29"/>
    </row>
    <row r="1434" spans="2:14" x14ac:dyDescent="0.25">
      <c r="B1434" s="27"/>
      <c r="C1434" s="28"/>
      <c r="D1434" s="28"/>
      <c r="E1434" s="27"/>
      <c r="F1434" s="27"/>
      <c r="G1434" s="28"/>
      <c r="H1434" s="28"/>
      <c r="I1434" s="36"/>
      <c r="J1434" s="27"/>
      <c r="K1434" s="29"/>
      <c r="L1434" s="29"/>
      <c r="M1434" s="29"/>
      <c r="N1434" s="29"/>
    </row>
    <row r="1435" spans="2:14" x14ac:dyDescent="0.25">
      <c r="B1435" s="27"/>
      <c r="C1435" s="28"/>
      <c r="D1435" s="28"/>
      <c r="E1435" s="27"/>
      <c r="F1435" s="27"/>
      <c r="G1435" s="28"/>
      <c r="H1435" s="28"/>
      <c r="I1435" s="36"/>
      <c r="J1435" s="27"/>
      <c r="K1435" s="29"/>
      <c r="L1435" s="29"/>
      <c r="M1435" s="29"/>
      <c r="N1435" s="29"/>
    </row>
    <row r="1436" spans="2:14" x14ac:dyDescent="0.25">
      <c r="B1436" s="27"/>
      <c r="C1436" s="28"/>
      <c r="D1436" s="28"/>
      <c r="E1436" s="27"/>
      <c r="F1436" s="27"/>
      <c r="G1436" s="28"/>
      <c r="H1436" s="28"/>
      <c r="I1436" s="36"/>
      <c r="J1436" s="27"/>
      <c r="K1436" s="29"/>
      <c r="L1436" s="29"/>
      <c r="M1436" s="29"/>
      <c r="N1436" s="29"/>
    </row>
    <row r="1437" spans="2:14" x14ac:dyDescent="0.25">
      <c r="B1437" s="27"/>
      <c r="C1437" s="28"/>
      <c r="D1437" s="28"/>
      <c r="E1437" s="27"/>
      <c r="F1437" s="27"/>
      <c r="G1437" s="28"/>
      <c r="H1437" s="28"/>
      <c r="I1437" s="36"/>
      <c r="J1437" s="27"/>
      <c r="K1437" s="29"/>
      <c r="L1437" s="29"/>
      <c r="M1437" s="29"/>
      <c r="N1437" s="29"/>
    </row>
    <row r="1438" spans="2:14" x14ac:dyDescent="0.25">
      <c r="B1438" s="27"/>
      <c r="C1438" s="28"/>
      <c r="D1438" s="28"/>
      <c r="E1438" s="27"/>
      <c r="F1438" s="27"/>
      <c r="G1438" s="28"/>
      <c r="H1438" s="28"/>
      <c r="I1438" s="36"/>
      <c r="J1438" s="27"/>
      <c r="K1438" s="29"/>
      <c r="L1438" s="29"/>
      <c r="M1438" s="29"/>
      <c r="N1438" s="29"/>
    </row>
    <row r="1439" spans="2:14" x14ac:dyDescent="0.25">
      <c r="B1439" s="27"/>
      <c r="C1439" s="28"/>
      <c r="D1439" s="28"/>
      <c r="E1439" s="27"/>
      <c r="F1439" s="27"/>
      <c r="G1439" s="28"/>
      <c r="H1439" s="28"/>
      <c r="I1439" s="36"/>
      <c r="J1439" s="27"/>
      <c r="K1439" s="29"/>
      <c r="L1439" s="29"/>
      <c r="M1439" s="29"/>
      <c r="N1439" s="29"/>
    </row>
    <row r="1440" spans="2:14" x14ac:dyDescent="0.25">
      <c r="B1440" s="27"/>
      <c r="C1440" s="28"/>
      <c r="D1440" s="28"/>
      <c r="E1440" s="27"/>
      <c r="F1440" s="27"/>
      <c r="G1440" s="28"/>
      <c r="H1440" s="28"/>
      <c r="I1440" s="36"/>
      <c r="J1440" s="27"/>
      <c r="K1440" s="29"/>
      <c r="L1440" s="29"/>
      <c r="M1440" s="29"/>
      <c r="N1440" s="29"/>
    </row>
    <row r="1441" spans="2:14" x14ac:dyDescent="0.25">
      <c r="B1441" s="27"/>
      <c r="C1441" s="28"/>
      <c r="D1441" s="28"/>
      <c r="E1441" s="27"/>
      <c r="F1441" s="27"/>
      <c r="G1441" s="28"/>
      <c r="H1441" s="28"/>
      <c r="I1441" s="36"/>
      <c r="J1441" s="27"/>
      <c r="K1441" s="29"/>
      <c r="L1441" s="29"/>
      <c r="M1441" s="29"/>
      <c r="N1441" s="29"/>
    </row>
    <row r="1442" spans="2:14" x14ac:dyDescent="0.25">
      <c r="B1442" s="27"/>
      <c r="C1442" s="28"/>
      <c r="D1442" s="28"/>
      <c r="E1442" s="27"/>
      <c r="F1442" s="27"/>
      <c r="G1442" s="28"/>
      <c r="H1442" s="28"/>
      <c r="I1442" s="36"/>
      <c r="J1442" s="27"/>
      <c r="K1442" s="29"/>
      <c r="L1442" s="29"/>
      <c r="M1442" s="29"/>
      <c r="N1442" s="29"/>
    </row>
    <row r="1443" spans="2:14" x14ac:dyDescent="0.25">
      <c r="B1443" s="27"/>
      <c r="C1443" s="28"/>
      <c r="D1443" s="28"/>
      <c r="E1443" s="27"/>
      <c r="F1443" s="27"/>
      <c r="G1443" s="28"/>
      <c r="H1443" s="28"/>
      <c r="I1443" s="36"/>
      <c r="J1443" s="27"/>
      <c r="K1443" s="29"/>
      <c r="L1443" s="29"/>
      <c r="M1443" s="29"/>
      <c r="N1443" s="29"/>
    </row>
    <row r="1444" spans="2:14" x14ac:dyDescent="0.25">
      <c r="B1444" s="27"/>
      <c r="C1444" s="28"/>
      <c r="D1444" s="28"/>
      <c r="E1444" s="27"/>
      <c r="F1444" s="27"/>
      <c r="G1444" s="28"/>
      <c r="H1444" s="28"/>
      <c r="I1444" s="36"/>
      <c r="J1444" s="27"/>
      <c r="K1444" s="29"/>
      <c r="L1444" s="29"/>
      <c r="M1444" s="29"/>
      <c r="N1444" s="29"/>
    </row>
    <row r="1445" spans="2:14" x14ac:dyDescent="0.25">
      <c r="B1445" s="27"/>
      <c r="C1445" s="28"/>
      <c r="D1445" s="28"/>
      <c r="E1445" s="27"/>
      <c r="F1445" s="27"/>
      <c r="G1445" s="28"/>
      <c r="H1445" s="28"/>
      <c r="I1445" s="36"/>
      <c r="J1445" s="27"/>
      <c r="K1445" s="29"/>
      <c r="L1445" s="29"/>
      <c r="M1445" s="29"/>
      <c r="N1445" s="29"/>
    </row>
    <row r="1446" spans="2:14" x14ac:dyDescent="0.25">
      <c r="B1446" s="27"/>
      <c r="C1446" s="28"/>
      <c r="D1446" s="28"/>
      <c r="E1446" s="27"/>
      <c r="F1446" s="27"/>
      <c r="G1446" s="28"/>
      <c r="H1446" s="28"/>
      <c r="I1446" s="36"/>
      <c r="J1446" s="27"/>
      <c r="K1446" s="29"/>
      <c r="L1446" s="29"/>
      <c r="M1446" s="29"/>
      <c r="N1446" s="29"/>
    </row>
    <row r="1447" spans="2:14" x14ac:dyDescent="0.25">
      <c r="B1447" s="27"/>
      <c r="C1447" s="28"/>
      <c r="D1447" s="28"/>
      <c r="E1447" s="27"/>
      <c r="F1447" s="27"/>
      <c r="G1447" s="28"/>
      <c r="H1447" s="28"/>
      <c r="I1447" s="36"/>
      <c r="J1447" s="27"/>
      <c r="K1447" s="29"/>
      <c r="L1447" s="29"/>
      <c r="M1447" s="29"/>
      <c r="N1447" s="29"/>
    </row>
    <row r="1448" spans="2:14" x14ac:dyDescent="0.25">
      <c r="B1448" s="27"/>
      <c r="C1448" s="28"/>
      <c r="D1448" s="28"/>
      <c r="E1448" s="27"/>
      <c r="F1448" s="27"/>
      <c r="G1448" s="28"/>
      <c r="H1448" s="28"/>
      <c r="I1448" s="36"/>
      <c r="J1448" s="27"/>
      <c r="K1448" s="29"/>
      <c r="L1448" s="29"/>
      <c r="M1448" s="29"/>
      <c r="N1448" s="29"/>
    </row>
    <row r="1449" spans="2:14" x14ac:dyDescent="0.25">
      <c r="B1449" s="27"/>
      <c r="C1449" s="28"/>
      <c r="D1449" s="28"/>
      <c r="E1449" s="27"/>
      <c r="F1449" s="27"/>
      <c r="G1449" s="28"/>
      <c r="H1449" s="28"/>
      <c r="I1449" s="36"/>
      <c r="J1449" s="27"/>
      <c r="K1449" s="29"/>
      <c r="L1449" s="29"/>
      <c r="M1449" s="29"/>
      <c r="N1449" s="29"/>
    </row>
    <row r="1450" spans="2:14" x14ac:dyDescent="0.25">
      <c r="B1450" s="27"/>
      <c r="C1450" s="28"/>
      <c r="D1450" s="28"/>
      <c r="E1450" s="27"/>
      <c r="F1450" s="27"/>
      <c r="G1450" s="28"/>
      <c r="H1450" s="28"/>
      <c r="I1450" s="36"/>
      <c r="J1450" s="27"/>
      <c r="K1450" s="29"/>
      <c r="L1450" s="29"/>
      <c r="M1450" s="29"/>
      <c r="N1450" s="29"/>
    </row>
    <row r="1451" spans="2:14" x14ac:dyDescent="0.25">
      <c r="B1451" s="27"/>
      <c r="C1451" s="28"/>
      <c r="D1451" s="28"/>
      <c r="E1451" s="27"/>
      <c r="F1451" s="27"/>
      <c r="G1451" s="28"/>
      <c r="H1451" s="28"/>
      <c r="I1451" s="36"/>
      <c r="J1451" s="27"/>
      <c r="K1451" s="29"/>
      <c r="L1451" s="29"/>
      <c r="M1451" s="29"/>
      <c r="N1451" s="29"/>
    </row>
    <row r="1452" spans="2:14" x14ac:dyDescent="0.25">
      <c r="B1452" s="27"/>
      <c r="C1452" s="28"/>
      <c r="D1452" s="28"/>
      <c r="E1452" s="27"/>
      <c r="F1452" s="27"/>
      <c r="G1452" s="28"/>
      <c r="H1452" s="28"/>
      <c r="I1452" s="36"/>
      <c r="J1452" s="27"/>
      <c r="K1452" s="29"/>
      <c r="L1452" s="29"/>
      <c r="M1452" s="29"/>
      <c r="N1452" s="29"/>
    </row>
    <row r="1453" spans="2:14" x14ac:dyDescent="0.25">
      <c r="B1453" s="27"/>
      <c r="C1453" s="28"/>
      <c r="D1453" s="28"/>
      <c r="E1453" s="27"/>
      <c r="F1453" s="27"/>
      <c r="G1453" s="28"/>
      <c r="H1453" s="28"/>
      <c r="I1453" s="36"/>
      <c r="J1453" s="27"/>
      <c r="K1453" s="29"/>
      <c r="L1453" s="29"/>
      <c r="M1453" s="29"/>
      <c r="N1453" s="29"/>
    </row>
    <row r="1454" spans="2:14" x14ac:dyDescent="0.25">
      <c r="B1454" s="27"/>
      <c r="C1454" s="28"/>
      <c r="D1454" s="28"/>
      <c r="E1454" s="27"/>
      <c r="F1454" s="27"/>
      <c r="G1454" s="28"/>
      <c r="H1454" s="28"/>
      <c r="I1454" s="36"/>
      <c r="J1454" s="27"/>
      <c r="K1454" s="29"/>
      <c r="L1454" s="29"/>
      <c r="M1454" s="29"/>
      <c r="N1454" s="29"/>
    </row>
    <row r="1455" spans="2:14" x14ac:dyDescent="0.25">
      <c r="B1455" s="27"/>
      <c r="C1455" s="28"/>
      <c r="D1455" s="28"/>
      <c r="E1455" s="27"/>
      <c r="F1455" s="27"/>
      <c r="G1455" s="28"/>
      <c r="H1455" s="28"/>
      <c r="I1455" s="36"/>
      <c r="J1455" s="27"/>
      <c r="K1455" s="29"/>
      <c r="L1455" s="29"/>
      <c r="M1455" s="29"/>
      <c r="N1455" s="29"/>
    </row>
    <row r="1456" spans="2:14" x14ac:dyDescent="0.25">
      <c r="B1456" s="27"/>
      <c r="C1456" s="28"/>
      <c r="D1456" s="28"/>
      <c r="E1456" s="27"/>
      <c r="F1456" s="27"/>
      <c r="G1456" s="28"/>
      <c r="H1456" s="28"/>
      <c r="I1456" s="36"/>
      <c r="J1456" s="27"/>
      <c r="K1456" s="29"/>
      <c r="L1456" s="29"/>
      <c r="M1456" s="29"/>
      <c r="N1456" s="29"/>
    </row>
    <row r="1457" spans="2:14" x14ac:dyDescent="0.25">
      <c r="B1457" s="27"/>
      <c r="C1457" s="28"/>
      <c r="D1457" s="28"/>
      <c r="E1457" s="27"/>
      <c r="F1457" s="27"/>
      <c r="G1457" s="28"/>
      <c r="H1457" s="28"/>
      <c r="I1457" s="36"/>
      <c r="J1457" s="27"/>
      <c r="K1457" s="29"/>
      <c r="L1457" s="29"/>
      <c r="M1457" s="29"/>
      <c r="N1457" s="29"/>
    </row>
    <row r="1458" spans="2:14" x14ac:dyDescent="0.25">
      <c r="B1458" s="27"/>
      <c r="C1458" s="28"/>
      <c r="D1458" s="28"/>
      <c r="E1458" s="27"/>
      <c r="F1458" s="27"/>
      <c r="G1458" s="28"/>
      <c r="H1458" s="28"/>
      <c r="I1458" s="36"/>
      <c r="J1458" s="27"/>
      <c r="K1458" s="29"/>
      <c r="L1458" s="29"/>
      <c r="M1458" s="29"/>
      <c r="N1458" s="29"/>
    </row>
    <row r="1459" spans="2:14" x14ac:dyDescent="0.25">
      <c r="B1459" s="27"/>
      <c r="C1459" s="28"/>
      <c r="D1459" s="28"/>
      <c r="E1459" s="27"/>
      <c r="F1459" s="27"/>
      <c r="G1459" s="28"/>
      <c r="H1459" s="28"/>
      <c r="I1459" s="36"/>
      <c r="J1459" s="27"/>
      <c r="K1459" s="29"/>
      <c r="L1459" s="29"/>
      <c r="M1459" s="29"/>
      <c r="N1459" s="29"/>
    </row>
    <row r="1460" spans="2:14" x14ac:dyDescent="0.25">
      <c r="B1460" s="27"/>
      <c r="C1460" s="28"/>
      <c r="D1460" s="28"/>
      <c r="E1460" s="27"/>
      <c r="F1460" s="27"/>
      <c r="G1460" s="28"/>
      <c r="H1460" s="28"/>
      <c r="I1460" s="36"/>
      <c r="J1460" s="27"/>
      <c r="K1460" s="29"/>
      <c r="L1460" s="29"/>
      <c r="M1460" s="29"/>
      <c r="N1460" s="29"/>
    </row>
    <row r="1461" spans="2:14" x14ac:dyDescent="0.25">
      <c r="B1461" s="27"/>
      <c r="C1461" s="28"/>
      <c r="D1461" s="28"/>
      <c r="E1461" s="27"/>
      <c r="F1461" s="27"/>
      <c r="G1461" s="28"/>
      <c r="H1461" s="28"/>
      <c r="I1461" s="36"/>
      <c r="J1461" s="27"/>
      <c r="K1461" s="29"/>
      <c r="L1461" s="29"/>
      <c r="M1461" s="29"/>
      <c r="N1461" s="29"/>
    </row>
    <row r="1462" spans="2:14" x14ac:dyDescent="0.25">
      <c r="B1462" s="27"/>
      <c r="C1462" s="28"/>
      <c r="D1462" s="28"/>
      <c r="E1462" s="27"/>
      <c r="F1462" s="27"/>
      <c r="G1462" s="28"/>
      <c r="H1462" s="28"/>
      <c r="I1462" s="36"/>
      <c r="J1462" s="27"/>
      <c r="K1462" s="29"/>
      <c r="L1462" s="29"/>
      <c r="M1462" s="29"/>
      <c r="N1462" s="29"/>
    </row>
    <row r="1463" spans="2:14" x14ac:dyDescent="0.25">
      <c r="B1463" s="27"/>
      <c r="C1463" s="28"/>
      <c r="D1463" s="28"/>
      <c r="E1463" s="27"/>
      <c r="F1463" s="27"/>
      <c r="G1463" s="28"/>
      <c r="H1463" s="28"/>
      <c r="I1463" s="36"/>
      <c r="J1463" s="27"/>
      <c r="K1463" s="29"/>
      <c r="L1463" s="29"/>
      <c r="M1463" s="29"/>
      <c r="N1463" s="29"/>
    </row>
    <row r="1464" spans="2:14" x14ac:dyDescent="0.25">
      <c r="B1464" s="27"/>
      <c r="C1464" s="28"/>
      <c r="D1464" s="28"/>
      <c r="E1464" s="27"/>
      <c r="F1464" s="27"/>
      <c r="G1464" s="28"/>
      <c r="H1464" s="28"/>
      <c r="I1464" s="36"/>
      <c r="J1464" s="27"/>
      <c r="K1464" s="29"/>
      <c r="L1464" s="29"/>
      <c r="M1464" s="29"/>
      <c r="N1464" s="29"/>
    </row>
    <row r="1465" spans="2:14" x14ac:dyDescent="0.25">
      <c r="B1465" s="27"/>
      <c r="C1465" s="28"/>
      <c r="D1465" s="28"/>
      <c r="E1465" s="27"/>
      <c r="F1465" s="27"/>
      <c r="G1465" s="28"/>
      <c r="H1465" s="28"/>
      <c r="I1465" s="36"/>
      <c r="J1465" s="27"/>
      <c r="K1465" s="29"/>
      <c r="L1465" s="29"/>
      <c r="M1465" s="29"/>
      <c r="N1465" s="29"/>
    </row>
    <row r="1466" spans="2:14" x14ac:dyDescent="0.25">
      <c r="B1466" s="27"/>
      <c r="C1466" s="28"/>
      <c r="D1466" s="28"/>
      <c r="E1466" s="27"/>
      <c r="F1466" s="27"/>
      <c r="G1466" s="28"/>
      <c r="H1466" s="28"/>
      <c r="I1466" s="36"/>
      <c r="J1466" s="27"/>
      <c r="K1466" s="29"/>
      <c r="L1466" s="29"/>
      <c r="M1466" s="29"/>
      <c r="N1466" s="29"/>
    </row>
    <row r="1467" spans="2:14" x14ac:dyDescent="0.25">
      <c r="B1467" s="27"/>
      <c r="C1467" s="28"/>
      <c r="D1467" s="28"/>
      <c r="E1467" s="27"/>
      <c r="F1467" s="27"/>
      <c r="G1467" s="28"/>
      <c r="H1467" s="28"/>
      <c r="I1467" s="36"/>
      <c r="J1467" s="27"/>
      <c r="K1467" s="29"/>
      <c r="L1467" s="29"/>
      <c r="M1467" s="29"/>
      <c r="N1467" s="29"/>
    </row>
    <row r="1468" spans="2:14" x14ac:dyDescent="0.25">
      <c r="B1468" s="27"/>
      <c r="C1468" s="28"/>
      <c r="D1468" s="28"/>
      <c r="E1468" s="27"/>
      <c r="F1468" s="27"/>
      <c r="G1468" s="28"/>
      <c r="H1468" s="28"/>
      <c r="I1468" s="36"/>
      <c r="J1468" s="27"/>
      <c r="K1468" s="29"/>
      <c r="L1468" s="29"/>
      <c r="M1468" s="29"/>
      <c r="N1468" s="29"/>
    </row>
    <row r="1469" spans="2:14" x14ac:dyDescent="0.25">
      <c r="B1469" s="27"/>
      <c r="C1469" s="28"/>
      <c r="D1469" s="28"/>
      <c r="E1469" s="27"/>
      <c r="F1469" s="27"/>
      <c r="G1469" s="28"/>
      <c r="H1469" s="28"/>
      <c r="I1469" s="39"/>
      <c r="J1469" s="27"/>
      <c r="K1469" s="29"/>
      <c r="L1469" s="29"/>
      <c r="M1469" s="29"/>
      <c r="N1469" s="29"/>
    </row>
    <row r="1470" spans="2:14" x14ac:dyDescent="0.25">
      <c r="B1470" s="27"/>
      <c r="C1470" s="28"/>
      <c r="D1470" s="28"/>
      <c r="E1470" s="27"/>
      <c r="F1470" s="27"/>
      <c r="G1470" s="28"/>
      <c r="H1470" s="28"/>
      <c r="I1470" s="38"/>
      <c r="J1470" s="27"/>
      <c r="K1470" s="29"/>
      <c r="L1470" s="29"/>
      <c r="M1470" s="29"/>
      <c r="N1470" s="29"/>
    </row>
    <row r="1471" spans="2:14" x14ac:dyDescent="0.25">
      <c r="B1471" s="27"/>
      <c r="C1471" s="28"/>
      <c r="D1471" s="28"/>
      <c r="E1471" s="27"/>
      <c r="F1471" s="27"/>
      <c r="G1471" s="28"/>
      <c r="H1471" s="28"/>
      <c r="I1471" s="37"/>
      <c r="J1471" s="27"/>
      <c r="K1471" s="29"/>
      <c r="L1471" s="29"/>
      <c r="M1471" s="29"/>
      <c r="N1471" s="29"/>
    </row>
    <row r="1472" spans="2:14" x14ac:dyDescent="0.25">
      <c r="B1472" s="27"/>
      <c r="C1472" s="28"/>
      <c r="D1472" s="28"/>
      <c r="E1472" s="27"/>
      <c r="F1472" s="27"/>
      <c r="G1472" s="28"/>
      <c r="H1472" s="28"/>
      <c r="I1472" s="36"/>
      <c r="J1472" s="27"/>
      <c r="K1472" s="29"/>
      <c r="L1472" s="29"/>
      <c r="M1472" s="29"/>
      <c r="N1472" s="29"/>
    </row>
    <row r="1473" spans="2:14" x14ac:dyDescent="0.25">
      <c r="B1473" s="27"/>
      <c r="C1473" s="28"/>
      <c r="D1473" s="28"/>
      <c r="E1473" s="27"/>
      <c r="F1473" s="27"/>
      <c r="G1473" s="28"/>
      <c r="H1473" s="28"/>
      <c r="I1473" s="37"/>
      <c r="J1473" s="27"/>
      <c r="K1473" s="29"/>
      <c r="L1473" s="29"/>
      <c r="M1473" s="29"/>
      <c r="N1473" s="29"/>
    </row>
    <row r="1474" spans="2:14" x14ac:dyDescent="0.25">
      <c r="B1474" s="27"/>
      <c r="C1474" s="28"/>
      <c r="D1474" s="28"/>
      <c r="E1474" s="27"/>
      <c r="F1474" s="27"/>
      <c r="G1474" s="28"/>
      <c r="H1474" s="28"/>
      <c r="I1474" s="36"/>
      <c r="J1474" s="27"/>
      <c r="K1474" s="29"/>
      <c r="L1474" s="29"/>
      <c r="M1474" s="29"/>
      <c r="N1474" s="29"/>
    </row>
    <row r="1475" spans="2:14" x14ac:dyDescent="0.25">
      <c r="B1475" s="27"/>
      <c r="C1475" s="28"/>
      <c r="D1475" s="28"/>
      <c r="E1475" s="27"/>
      <c r="F1475" s="27"/>
      <c r="G1475" s="28"/>
      <c r="H1475" s="28"/>
      <c r="I1475" s="36"/>
      <c r="J1475" s="27"/>
      <c r="K1475" s="29"/>
      <c r="L1475" s="29"/>
      <c r="M1475" s="29"/>
      <c r="N1475" s="29"/>
    </row>
    <row r="1476" spans="2:14" x14ac:dyDescent="0.25">
      <c r="B1476" s="27"/>
      <c r="C1476" s="28"/>
      <c r="D1476" s="28"/>
      <c r="E1476" s="27"/>
      <c r="F1476" s="27"/>
      <c r="G1476" s="28"/>
      <c r="H1476" s="28"/>
      <c r="I1476" s="36"/>
      <c r="J1476" s="27"/>
      <c r="K1476" s="29"/>
      <c r="L1476" s="29"/>
      <c r="M1476" s="29"/>
      <c r="N1476" s="29"/>
    </row>
    <row r="1477" spans="2:14" x14ac:dyDescent="0.25">
      <c r="B1477" s="27"/>
      <c r="C1477" s="28"/>
      <c r="D1477" s="28"/>
      <c r="E1477" s="27"/>
      <c r="F1477" s="27"/>
      <c r="G1477" s="28"/>
      <c r="H1477" s="28"/>
      <c r="I1477" s="36"/>
      <c r="J1477" s="27"/>
      <c r="K1477" s="29"/>
      <c r="L1477" s="29"/>
      <c r="M1477" s="29"/>
      <c r="N1477" s="29"/>
    </row>
    <row r="1478" spans="2:14" x14ac:dyDescent="0.25">
      <c r="B1478" s="27"/>
      <c r="C1478" s="28"/>
      <c r="D1478" s="28"/>
      <c r="E1478" s="27"/>
      <c r="F1478" s="27"/>
      <c r="G1478" s="28"/>
      <c r="H1478" s="28"/>
      <c r="I1478" s="36"/>
      <c r="J1478" s="27"/>
      <c r="K1478" s="29"/>
      <c r="L1478" s="29"/>
      <c r="M1478" s="29"/>
      <c r="N1478" s="29"/>
    </row>
    <row r="1479" spans="2:14" x14ac:dyDescent="0.25">
      <c r="B1479" s="27"/>
      <c r="C1479" s="28"/>
      <c r="D1479" s="28"/>
      <c r="E1479" s="27"/>
      <c r="F1479" s="27"/>
      <c r="G1479" s="28"/>
      <c r="H1479" s="28"/>
      <c r="I1479" s="36"/>
      <c r="J1479" s="27"/>
      <c r="K1479" s="29"/>
      <c r="L1479" s="29"/>
      <c r="M1479" s="29"/>
      <c r="N1479" s="29"/>
    </row>
    <row r="1480" spans="2:14" x14ac:dyDescent="0.25">
      <c r="B1480" s="27"/>
      <c r="C1480" s="28"/>
      <c r="D1480" s="28"/>
      <c r="E1480" s="27"/>
      <c r="F1480" s="27"/>
      <c r="G1480" s="28"/>
      <c r="H1480" s="28"/>
      <c r="I1480" s="36"/>
      <c r="J1480" s="27"/>
      <c r="K1480" s="29"/>
      <c r="L1480" s="29"/>
      <c r="M1480" s="29"/>
      <c r="N1480" s="29"/>
    </row>
    <row r="1481" spans="2:14" x14ac:dyDescent="0.25">
      <c r="B1481" s="27"/>
      <c r="C1481" s="28"/>
      <c r="D1481" s="28"/>
      <c r="E1481" s="27"/>
      <c r="F1481" s="27"/>
      <c r="G1481" s="28"/>
      <c r="H1481" s="28"/>
      <c r="I1481" s="36"/>
      <c r="J1481" s="27"/>
      <c r="K1481" s="29"/>
      <c r="L1481" s="29"/>
      <c r="M1481" s="29"/>
      <c r="N1481" s="29"/>
    </row>
    <row r="1482" spans="2:14" x14ac:dyDescent="0.25">
      <c r="B1482" s="27"/>
      <c r="C1482" s="28"/>
      <c r="D1482" s="28"/>
      <c r="E1482" s="27"/>
      <c r="F1482" s="27"/>
      <c r="G1482" s="28"/>
      <c r="H1482" s="28"/>
      <c r="I1482" s="36"/>
      <c r="J1482" s="27"/>
      <c r="K1482" s="29"/>
      <c r="L1482" s="29"/>
      <c r="M1482" s="29"/>
      <c r="N1482" s="29"/>
    </row>
    <row r="1483" spans="2:14" x14ac:dyDescent="0.25">
      <c r="B1483" s="27"/>
      <c r="C1483" s="28"/>
      <c r="D1483" s="28"/>
      <c r="E1483" s="27"/>
      <c r="F1483" s="27"/>
      <c r="G1483" s="28"/>
      <c r="H1483" s="28"/>
      <c r="I1483" s="36"/>
      <c r="J1483" s="27"/>
      <c r="K1483" s="29"/>
      <c r="L1483" s="29"/>
      <c r="M1483" s="29"/>
      <c r="N1483" s="29"/>
    </row>
    <row r="1484" spans="2:14" x14ac:dyDescent="0.25">
      <c r="B1484" s="27"/>
      <c r="C1484" s="28"/>
      <c r="D1484" s="28"/>
      <c r="E1484" s="27"/>
      <c r="F1484" s="27"/>
      <c r="G1484" s="28"/>
      <c r="H1484" s="28"/>
      <c r="I1484" s="36"/>
      <c r="J1484" s="27"/>
      <c r="K1484" s="29"/>
      <c r="L1484" s="29"/>
      <c r="M1484" s="29"/>
      <c r="N1484" s="29"/>
    </row>
    <row r="1485" spans="2:14" x14ac:dyDescent="0.25">
      <c r="B1485" s="27"/>
      <c r="C1485" s="28"/>
      <c r="D1485" s="28"/>
      <c r="E1485" s="27"/>
      <c r="F1485" s="27"/>
      <c r="G1485" s="28"/>
      <c r="H1485" s="28"/>
      <c r="I1485" s="36"/>
      <c r="J1485" s="27"/>
      <c r="K1485" s="29"/>
      <c r="L1485" s="29"/>
      <c r="M1485" s="29"/>
      <c r="N1485" s="29"/>
    </row>
    <row r="1486" spans="2:14" x14ac:dyDescent="0.25">
      <c r="B1486" s="27"/>
      <c r="C1486" s="28"/>
      <c r="D1486" s="28"/>
      <c r="E1486" s="27"/>
      <c r="F1486" s="27"/>
      <c r="G1486" s="28"/>
      <c r="H1486" s="28"/>
      <c r="I1486" s="36"/>
      <c r="J1486" s="27"/>
      <c r="K1486" s="29"/>
      <c r="L1486" s="29"/>
      <c r="M1486" s="29"/>
      <c r="N1486" s="29"/>
    </row>
    <row r="1487" spans="2:14" x14ac:dyDescent="0.25">
      <c r="B1487" s="27"/>
      <c r="C1487" s="28"/>
      <c r="D1487" s="28"/>
      <c r="E1487" s="27"/>
      <c r="F1487" s="27"/>
      <c r="G1487" s="28"/>
      <c r="H1487" s="28"/>
      <c r="I1487" s="36"/>
      <c r="J1487" s="27"/>
      <c r="K1487" s="29"/>
      <c r="L1487" s="29"/>
      <c r="M1487" s="29"/>
      <c r="N1487" s="29"/>
    </row>
    <row r="1488" spans="2:14" x14ac:dyDescent="0.25">
      <c r="B1488" s="27"/>
      <c r="C1488" s="28"/>
      <c r="D1488" s="28"/>
      <c r="E1488" s="27"/>
      <c r="F1488" s="27"/>
      <c r="G1488" s="28"/>
      <c r="H1488" s="28"/>
      <c r="I1488" s="36"/>
      <c r="J1488" s="27"/>
      <c r="K1488" s="29"/>
      <c r="L1488" s="29"/>
      <c r="M1488" s="29"/>
      <c r="N1488" s="29"/>
    </row>
    <row r="1489" spans="2:14" x14ac:dyDescent="0.25">
      <c r="B1489" s="27"/>
      <c r="C1489" s="28"/>
      <c r="D1489" s="28"/>
      <c r="E1489" s="27"/>
      <c r="F1489" s="27"/>
      <c r="G1489" s="28"/>
      <c r="H1489" s="28"/>
      <c r="I1489" s="36"/>
      <c r="J1489" s="27"/>
      <c r="K1489" s="29"/>
      <c r="L1489" s="29"/>
      <c r="M1489" s="29"/>
      <c r="N1489" s="29"/>
    </row>
    <row r="1490" spans="2:14" x14ac:dyDescent="0.25">
      <c r="B1490" s="27"/>
      <c r="C1490" s="28"/>
      <c r="D1490" s="28"/>
      <c r="E1490" s="27"/>
      <c r="F1490" s="27"/>
      <c r="G1490" s="28"/>
      <c r="H1490" s="28"/>
      <c r="I1490" s="36"/>
      <c r="J1490" s="27"/>
      <c r="K1490" s="29"/>
      <c r="L1490" s="29"/>
      <c r="M1490" s="29"/>
      <c r="N1490" s="29"/>
    </row>
    <row r="1491" spans="2:14" x14ac:dyDescent="0.25">
      <c r="B1491" s="27"/>
      <c r="C1491" s="28"/>
      <c r="D1491" s="28"/>
      <c r="E1491" s="27"/>
      <c r="F1491" s="27"/>
      <c r="G1491" s="28"/>
      <c r="H1491" s="28"/>
      <c r="I1491" s="36"/>
      <c r="J1491" s="27"/>
      <c r="K1491" s="29"/>
      <c r="L1491" s="29"/>
      <c r="M1491" s="29"/>
      <c r="N1491" s="29"/>
    </row>
    <row r="1492" spans="2:14" x14ac:dyDescent="0.25">
      <c r="B1492" s="27"/>
      <c r="C1492" s="28"/>
      <c r="D1492" s="28"/>
      <c r="E1492" s="27"/>
      <c r="F1492" s="27"/>
      <c r="G1492" s="28"/>
      <c r="H1492" s="28"/>
      <c r="I1492" s="36"/>
      <c r="J1492" s="27"/>
      <c r="K1492" s="29"/>
      <c r="L1492" s="29"/>
      <c r="M1492" s="29"/>
      <c r="N1492" s="29"/>
    </row>
    <row r="1493" spans="2:14" x14ac:dyDescent="0.25">
      <c r="B1493" s="27"/>
      <c r="C1493" s="28"/>
      <c r="D1493" s="28"/>
      <c r="E1493" s="27"/>
      <c r="F1493" s="27"/>
      <c r="G1493" s="28"/>
      <c r="H1493" s="28"/>
      <c r="I1493" s="36"/>
      <c r="J1493" s="27"/>
      <c r="K1493" s="29"/>
      <c r="L1493" s="29"/>
      <c r="M1493" s="29"/>
      <c r="N1493" s="29"/>
    </row>
    <row r="1494" spans="2:14" x14ac:dyDescent="0.25">
      <c r="B1494" s="27"/>
      <c r="C1494" s="28"/>
      <c r="D1494" s="28"/>
      <c r="E1494" s="27"/>
      <c r="F1494" s="27"/>
      <c r="G1494" s="28"/>
      <c r="H1494" s="28"/>
      <c r="I1494" s="36"/>
      <c r="J1494" s="27"/>
      <c r="K1494" s="29"/>
      <c r="L1494" s="29"/>
      <c r="M1494" s="29"/>
      <c r="N1494" s="29"/>
    </row>
    <row r="1495" spans="2:14" x14ac:dyDescent="0.25">
      <c r="B1495" s="27"/>
      <c r="C1495" s="28"/>
      <c r="D1495" s="28"/>
      <c r="E1495" s="27"/>
      <c r="F1495" s="27"/>
      <c r="G1495" s="28"/>
      <c r="H1495" s="28"/>
      <c r="I1495" s="36"/>
      <c r="J1495" s="27"/>
      <c r="K1495" s="29"/>
      <c r="L1495" s="29"/>
      <c r="M1495" s="29"/>
      <c r="N1495" s="29"/>
    </row>
    <row r="1496" spans="2:14" x14ac:dyDescent="0.25">
      <c r="B1496" s="27"/>
      <c r="C1496" s="28"/>
      <c r="D1496" s="28"/>
      <c r="E1496" s="27"/>
      <c r="F1496" s="27"/>
      <c r="G1496" s="28"/>
      <c r="H1496" s="28"/>
      <c r="I1496" s="36"/>
      <c r="J1496" s="27"/>
      <c r="K1496" s="29"/>
      <c r="L1496" s="29"/>
      <c r="M1496" s="29"/>
      <c r="N1496" s="29"/>
    </row>
    <row r="1497" spans="2:14" x14ac:dyDescent="0.25">
      <c r="B1497" s="27"/>
      <c r="C1497" s="28"/>
      <c r="D1497" s="28"/>
      <c r="E1497" s="27"/>
      <c r="F1497" s="27"/>
      <c r="G1497" s="28"/>
      <c r="H1497" s="28"/>
      <c r="I1497" s="36"/>
      <c r="J1497" s="27"/>
      <c r="K1497" s="29"/>
      <c r="L1497" s="29"/>
      <c r="M1497" s="29"/>
      <c r="N1497" s="29"/>
    </row>
    <row r="1498" spans="2:14" x14ac:dyDescent="0.25">
      <c r="B1498" s="27"/>
      <c r="C1498" s="28"/>
      <c r="D1498" s="28"/>
      <c r="E1498" s="27"/>
      <c r="F1498" s="27"/>
      <c r="G1498" s="28"/>
      <c r="H1498" s="28"/>
      <c r="I1498" s="36"/>
      <c r="J1498" s="27"/>
      <c r="K1498" s="29"/>
      <c r="L1498" s="29"/>
      <c r="M1498" s="29"/>
      <c r="N1498" s="29"/>
    </row>
    <row r="1499" spans="2:14" x14ac:dyDescent="0.25">
      <c r="B1499" s="27"/>
      <c r="C1499" s="28"/>
      <c r="D1499" s="28"/>
      <c r="E1499" s="27"/>
      <c r="F1499" s="27"/>
      <c r="G1499" s="28"/>
      <c r="H1499" s="28"/>
      <c r="I1499" s="36"/>
      <c r="J1499" s="27"/>
      <c r="K1499" s="29"/>
      <c r="L1499" s="29"/>
      <c r="M1499" s="29"/>
      <c r="N1499" s="29"/>
    </row>
    <row r="1500" spans="2:14" x14ac:dyDescent="0.25">
      <c r="B1500" s="27"/>
      <c r="C1500" s="28"/>
      <c r="D1500" s="28"/>
      <c r="E1500" s="27"/>
      <c r="F1500" s="27"/>
      <c r="G1500" s="28"/>
      <c r="H1500" s="28"/>
      <c r="I1500" s="36"/>
      <c r="J1500" s="27"/>
      <c r="K1500" s="29"/>
      <c r="L1500" s="29"/>
      <c r="M1500" s="29"/>
      <c r="N1500" s="29"/>
    </row>
    <row r="1501" spans="2:14" x14ac:dyDescent="0.25">
      <c r="B1501" s="27"/>
      <c r="C1501" s="28"/>
      <c r="D1501" s="28"/>
      <c r="E1501" s="27"/>
      <c r="F1501" s="27"/>
      <c r="G1501" s="28"/>
      <c r="H1501" s="28"/>
      <c r="I1501" s="36"/>
      <c r="J1501" s="27"/>
      <c r="K1501" s="29"/>
      <c r="L1501" s="29"/>
      <c r="M1501" s="29"/>
      <c r="N1501" s="29"/>
    </row>
    <row r="1502" spans="2:14" x14ac:dyDescent="0.25">
      <c r="B1502" s="27"/>
      <c r="C1502" s="28"/>
      <c r="D1502" s="28"/>
      <c r="E1502" s="27"/>
      <c r="F1502" s="27"/>
      <c r="G1502" s="28"/>
      <c r="H1502" s="28"/>
      <c r="I1502" s="36"/>
      <c r="J1502" s="27"/>
      <c r="K1502" s="29"/>
      <c r="L1502" s="29"/>
      <c r="M1502" s="29"/>
      <c r="N1502" s="29"/>
    </row>
    <row r="1503" spans="2:14" x14ac:dyDescent="0.25">
      <c r="B1503" s="27"/>
      <c r="C1503" s="28"/>
      <c r="D1503" s="28"/>
      <c r="E1503" s="27"/>
      <c r="F1503" s="27"/>
      <c r="G1503" s="28"/>
      <c r="H1503" s="28"/>
      <c r="I1503" s="36"/>
      <c r="J1503" s="27"/>
      <c r="K1503" s="29"/>
      <c r="L1503" s="29"/>
      <c r="M1503" s="29"/>
      <c r="N1503" s="29"/>
    </row>
    <row r="1504" spans="2:14" x14ac:dyDescent="0.25">
      <c r="B1504" s="27"/>
      <c r="C1504" s="28"/>
      <c r="D1504" s="28"/>
      <c r="E1504" s="27"/>
      <c r="F1504" s="27"/>
      <c r="G1504" s="28"/>
      <c r="H1504" s="28"/>
      <c r="I1504" s="36"/>
      <c r="J1504" s="27"/>
      <c r="K1504" s="29"/>
      <c r="L1504" s="29"/>
      <c r="M1504" s="29"/>
      <c r="N1504" s="29"/>
    </row>
    <row r="1505" spans="2:14" x14ac:dyDescent="0.25">
      <c r="B1505" s="27"/>
      <c r="C1505" s="28"/>
      <c r="D1505" s="28"/>
      <c r="E1505" s="27"/>
      <c r="F1505" s="27"/>
      <c r="G1505" s="28"/>
      <c r="H1505" s="28"/>
      <c r="I1505" s="36"/>
      <c r="J1505" s="27"/>
      <c r="K1505" s="29"/>
      <c r="L1505" s="29"/>
      <c r="M1505" s="29"/>
      <c r="N1505" s="29"/>
    </row>
    <row r="1506" spans="2:14" x14ac:dyDescent="0.25">
      <c r="B1506" s="27"/>
      <c r="C1506" s="28"/>
      <c r="D1506" s="28"/>
      <c r="E1506" s="27"/>
      <c r="F1506" s="27"/>
      <c r="G1506" s="28"/>
      <c r="H1506" s="28"/>
      <c r="I1506" s="36"/>
      <c r="J1506" s="27"/>
      <c r="K1506" s="29"/>
      <c r="L1506" s="29"/>
      <c r="M1506" s="29"/>
      <c r="N1506" s="29"/>
    </row>
    <row r="1507" spans="2:14" x14ac:dyDescent="0.25">
      <c r="B1507" s="27"/>
      <c r="C1507" s="28"/>
      <c r="D1507" s="28"/>
      <c r="E1507" s="27"/>
      <c r="F1507" s="27"/>
      <c r="G1507" s="28"/>
      <c r="H1507" s="28"/>
      <c r="I1507" s="36"/>
      <c r="J1507" s="27"/>
      <c r="K1507" s="29"/>
      <c r="L1507" s="29"/>
      <c r="M1507" s="29"/>
      <c r="N1507" s="29"/>
    </row>
    <row r="1508" spans="2:14" x14ac:dyDescent="0.25">
      <c r="B1508" s="27"/>
      <c r="C1508" s="28"/>
      <c r="D1508" s="28"/>
      <c r="E1508" s="27"/>
      <c r="F1508" s="27"/>
      <c r="G1508" s="28"/>
      <c r="H1508" s="28"/>
      <c r="I1508" s="36"/>
      <c r="J1508" s="27"/>
      <c r="K1508" s="29"/>
      <c r="L1508" s="29"/>
      <c r="M1508" s="29"/>
      <c r="N1508" s="29"/>
    </row>
    <row r="1509" spans="2:14" x14ac:dyDescent="0.25">
      <c r="B1509" s="27"/>
      <c r="C1509" s="28"/>
      <c r="D1509" s="28"/>
      <c r="E1509" s="27"/>
      <c r="F1509" s="27"/>
      <c r="G1509" s="28"/>
      <c r="H1509" s="28"/>
      <c r="I1509" s="36"/>
      <c r="J1509" s="27"/>
      <c r="K1509" s="29"/>
      <c r="L1509" s="29"/>
      <c r="M1509" s="29"/>
      <c r="N1509" s="29"/>
    </row>
    <row r="1510" spans="2:14" x14ac:dyDescent="0.25">
      <c r="B1510" s="27"/>
      <c r="C1510" s="28"/>
      <c r="D1510" s="28"/>
      <c r="E1510" s="27"/>
      <c r="F1510" s="27"/>
      <c r="G1510" s="28"/>
      <c r="H1510" s="28"/>
      <c r="I1510" s="36"/>
      <c r="J1510" s="27"/>
      <c r="K1510" s="29"/>
      <c r="L1510" s="29"/>
      <c r="M1510" s="29"/>
      <c r="N1510" s="29"/>
    </row>
    <row r="1511" spans="2:14" x14ac:dyDescent="0.25">
      <c r="B1511" s="27"/>
      <c r="C1511" s="28"/>
      <c r="D1511" s="28"/>
      <c r="E1511" s="27"/>
      <c r="F1511" s="27"/>
      <c r="G1511" s="28"/>
      <c r="H1511" s="28"/>
      <c r="I1511" s="36"/>
      <c r="J1511" s="27"/>
      <c r="K1511" s="29"/>
      <c r="L1511" s="29"/>
      <c r="M1511" s="29"/>
      <c r="N1511" s="29"/>
    </row>
    <row r="1512" spans="2:14" x14ac:dyDescent="0.25">
      <c r="B1512" s="27"/>
      <c r="C1512" s="28"/>
      <c r="D1512" s="28"/>
      <c r="E1512" s="27"/>
      <c r="F1512" s="27"/>
      <c r="G1512" s="28"/>
      <c r="H1512" s="28"/>
      <c r="I1512" s="36"/>
      <c r="J1512" s="27"/>
      <c r="K1512" s="29"/>
      <c r="L1512" s="29"/>
      <c r="M1512" s="29"/>
      <c r="N1512" s="29"/>
    </row>
    <row r="1513" spans="2:14" x14ac:dyDescent="0.25">
      <c r="B1513" s="27"/>
      <c r="C1513" s="28"/>
      <c r="D1513" s="28"/>
      <c r="E1513" s="27"/>
      <c r="F1513" s="27"/>
      <c r="G1513" s="28"/>
      <c r="H1513" s="28"/>
      <c r="I1513" s="36"/>
      <c r="J1513" s="27"/>
      <c r="K1513" s="29"/>
      <c r="L1513" s="29"/>
      <c r="M1513" s="29"/>
      <c r="N1513" s="29"/>
    </row>
    <row r="1514" spans="2:14" x14ac:dyDescent="0.25">
      <c r="B1514" s="27"/>
      <c r="C1514" s="28"/>
      <c r="D1514" s="28"/>
      <c r="E1514" s="27"/>
      <c r="F1514" s="27"/>
      <c r="G1514" s="28"/>
      <c r="H1514" s="28"/>
      <c r="I1514" s="36"/>
      <c r="J1514" s="27"/>
      <c r="K1514" s="29"/>
      <c r="L1514" s="29"/>
      <c r="M1514" s="29"/>
      <c r="N1514" s="29"/>
    </row>
    <row r="1515" spans="2:14" x14ac:dyDescent="0.25">
      <c r="B1515" s="27"/>
      <c r="C1515" s="28"/>
      <c r="D1515" s="28"/>
      <c r="E1515" s="27"/>
      <c r="F1515" s="27"/>
      <c r="G1515" s="28"/>
      <c r="H1515" s="28"/>
      <c r="I1515" s="36"/>
      <c r="J1515" s="27"/>
      <c r="K1515" s="29"/>
      <c r="L1515" s="29"/>
      <c r="M1515" s="29"/>
      <c r="N1515" s="29"/>
    </row>
    <row r="1516" spans="2:14" x14ac:dyDescent="0.25">
      <c r="B1516" s="27"/>
      <c r="C1516" s="28"/>
      <c r="D1516" s="28"/>
      <c r="E1516" s="27"/>
      <c r="F1516" s="27"/>
      <c r="G1516" s="28"/>
      <c r="H1516" s="28"/>
      <c r="I1516" s="36"/>
      <c r="J1516" s="27"/>
      <c r="K1516" s="29"/>
      <c r="L1516" s="29"/>
      <c r="M1516" s="29"/>
      <c r="N1516" s="29"/>
    </row>
    <row r="1517" spans="2:14" x14ac:dyDescent="0.25">
      <c r="B1517" s="27"/>
      <c r="C1517" s="28"/>
      <c r="D1517" s="28"/>
      <c r="E1517" s="27"/>
      <c r="F1517" s="27"/>
      <c r="G1517" s="28"/>
      <c r="H1517" s="28"/>
      <c r="I1517" s="36"/>
      <c r="J1517" s="27"/>
      <c r="K1517" s="29"/>
      <c r="L1517" s="29"/>
      <c r="M1517" s="29"/>
      <c r="N1517" s="29"/>
    </row>
    <row r="1518" spans="2:14" x14ac:dyDescent="0.25">
      <c r="B1518" s="27"/>
      <c r="C1518" s="28"/>
      <c r="D1518" s="28"/>
      <c r="E1518" s="27"/>
      <c r="F1518" s="27"/>
      <c r="G1518" s="28"/>
      <c r="H1518" s="28"/>
      <c r="I1518" s="36"/>
      <c r="J1518" s="27"/>
      <c r="K1518" s="29"/>
      <c r="L1518" s="29"/>
      <c r="M1518" s="29"/>
      <c r="N1518" s="29"/>
    </row>
    <row r="1519" spans="2:14" x14ac:dyDescent="0.25">
      <c r="B1519" s="27"/>
      <c r="C1519" s="28"/>
      <c r="D1519" s="28"/>
      <c r="E1519" s="27"/>
      <c r="F1519" s="27"/>
      <c r="G1519" s="28"/>
      <c r="H1519" s="28"/>
      <c r="I1519" s="36"/>
      <c r="J1519" s="27"/>
      <c r="K1519" s="29"/>
      <c r="L1519" s="29"/>
      <c r="M1519" s="29"/>
      <c r="N1519" s="29"/>
    </row>
    <row r="1520" spans="2:14" x14ac:dyDescent="0.25">
      <c r="B1520" s="27"/>
      <c r="C1520" s="28"/>
      <c r="D1520" s="28"/>
      <c r="E1520" s="27"/>
      <c r="F1520" s="27"/>
      <c r="G1520" s="28"/>
      <c r="H1520" s="28"/>
      <c r="I1520" s="36"/>
      <c r="J1520" s="27"/>
      <c r="K1520" s="29"/>
      <c r="L1520" s="29"/>
      <c r="M1520" s="29"/>
      <c r="N1520" s="29"/>
    </row>
    <row r="1521" spans="2:14" x14ac:dyDescent="0.25">
      <c r="B1521" s="27"/>
      <c r="C1521" s="28"/>
      <c r="D1521" s="28"/>
      <c r="E1521" s="27"/>
      <c r="F1521" s="27"/>
      <c r="G1521" s="28"/>
      <c r="H1521" s="28"/>
      <c r="I1521" s="36"/>
      <c r="J1521" s="27"/>
      <c r="K1521" s="29"/>
      <c r="L1521" s="29"/>
      <c r="M1521" s="29"/>
      <c r="N1521" s="29"/>
    </row>
    <row r="1522" spans="2:14" x14ac:dyDescent="0.25">
      <c r="B1522" s="27"/>
      <c r="C1522" s="28"/>
      <c r="D1522" s="28"/>
      <c r="E1522" s="27"/>
      <c r="F1522" s="27"/>
      <c r="G1522" s="28"/>
      <c r="H1522" s="28"/>
      <c r="I1522" s="36"/>
      <c r="J1522" s="27"/>
      <c r="K1522" s="29"/>
      <c r="L1522" s="29"/>
      <c r="M1522" s="29"/>
      <c r="N1522" s="29"/>
    </row>
    <row r="1523" spans="2:14" x14ac:dyDescent="0.25">
      <c r="B1523" s="27"/>
      <c r="C1523" s="28"/>
      <c r="D1523" s="28"/>
      <c r="E1523" s="27"/>
      <c r="F1523" s="27"/>
      <c r="G1523" s="28"/>
      <c r="H1523" s="28"/>
      <c r="I1523" s="36"/>
      <c r="J1523" s="27"/>
      <c r="K1523" s="29"/>
      <c r="L1523" s="29"/>
      <c r="M1523" s="29"/>
      <c r="N1523" s="29"/>
    </row>
    <row r="1524" spans="2:14" x14ac:dyDescent="0.25">
      <c r="B1524" s="27"/>
      <c r="C1524" s="28"/>
      <c r="D1524" s="28"/>
      <c r="E1524" s="27"/>
      <c r="F1524" s="27"/>
      <c r="G1524" s="28"/>
      <c r="H1524" s="28"/>
      <c r="I1524" s="36"/>
      <c r="J1524" s="27"/>
      <c r="K1524" s="29"/>
      <c r="L1524" s="29"/>
      <c r="M1524" s="29"/>
      <c r="N1524" s="29"/>
    </row>
    <row r="1525" spans="2:14" x14ac:dyDescent="0.25">
      <c r="B1525" s="27"/>
      <c r="C1525" s="28"/>
      <c r="D1525" s="28"/>
      <c r="E1525" s="27"/>
      <c r="F1525" s="27"/>
      <c r="G1525" s="28"/>
      <c r="H1525" s="28"/>
      <c r="I1525" s="36"/>
      <c r="J1525" s="27"/>
      <c r="K1525" s="29"/>
      <c r="L1525" s="29"/>
      <c r="M1525" s="29"/>
      <c r="N1525" s="29"/>
    </row>
    <row r="1526" spans="2:14" x14ac:dyDescent="0.25">
      <c r="B1526" s="27"/>
      <c r="C1526" s="28"/>
      <c r="D1526" s="28"/>
      <c r="E1526" s="27"/>
      <c r="F1526" s="27"/>
      <c r="G1526" s="28"/>
      <c r="H1526" s="28"/>
      <c r="I1526" s="36"/>
      <c r="J1526" s="27"/>
      <c r="K1526" s="29"/>
      <c r="L1526" s="29"/>
      <c r="M1526" s="29"/>
      <c r="N1526" s="29"/>
    </row>
    <row r="1527" spans="2:14" x14ac:dyDescent="0.25">
      <c r="B1527" s="27"/>
      <c r="C1527" s="28"/>
      <c r="D1527" s="28"/>
      <c r="E1527" s="27"/>
      <c r="F1527" s="27"/>
      <c r="G1527" s="28"/>
      <c r="H1527" s="28"/>
      <c r="I1527" s="36"/>
      <c r="J1527" s="27"/>
      <c r="K1527" s="29"/>
      <c r="L1527" s="29"/>
      <c r="M1527" s="29"/>
      <c r="N1527" s="29"/>
    </row>
    <row r="1528" spans="2:14" x14ac:dyDescent="0.25">
      <c r="B1528" s="27"/>
      <c r="C1528" s="28"/>
      <c r="D1528" s="28"/>
      <c r="E1528" s="27"/>
      <c r="F1528" s="27"/>
      <c r="G1528" s="28"/>
      <c r="H1528" s="28"/>
      <c r="I1528" s="36"/>
      <c r="J1528" s="27"/>
      <c r="K1528" s="29"/>
      <c r="L1528" s="29"/>
      <c r="M1528" s="29"/>
      <c r="N1528" s="29"/>
    </row>
    <row r="1529" spans="2:14" x14ac:dyDescent="0.25">
      <c r="B1529" s="27"/>
      <c r="C1529" s="28"/>
      <c r="D1529" s="28"/>
      <c r="E1529" s="27"/>
      <c r="F1529" s="27"/>
      <c r="G1529" s="28"/>
      <c r="H1529" s="28"/>
      <c r="I1529" s="36"/>
      <c r="J1529" s="27"/>
      <c r="K1529" s="29"/>
      <c r="L1529" s="29"/>
      <c r="M1529" s="29"/>
      <c r="N1529" s="29"/>
    </row>
    <row r="1530" spans="2:14" x14ac:dyDescent="0.25">
      <c r="B1530" s="27"/>
      <c r="C1530" s="28"/>
      <c r="D1530" s="28"/>
      <c r="E1530" s="27"/>
      <c r="F1530" s="27"/>
      <c r="G1530" s="28"/>
      <c r="H1530" s="28"/>
      <c r="I1530" s="36"/>
      <c r="J1530" s="27"/>
      <c r="K1530" s="29"/>
      <c r="L1530" s="29"/>
      <c r="M1530" s="29"/>
      <c r="N1530" s="29"/>
    </row>
    <row r="1531" spans="2:14" x14ac:dyDescent="0.25">
      <c r="B1531" s="27"/>
      <c r="C1531" s="28"/>
      <c r="D1531" s="28"/>
      <c r="E1531" s="27"/>
      <c r="F1531" s="27"/>
      <c r="G1531" s="28"/>
      <c r="H1531" s="28"/>
      <c r="I1531" s="36"/>
      <c r="J1531" s="27"/>
      <c r="K1531" s="29"/>
      <c r="L1531" s="29"/>
      <c r="M1531" s="29"/>
      <c r="N1531" s="29"/>
    </row>
    <row r="1532" spans="2:14" x14ac:dyDescent="0.25">
      <c r="B1532" s="27"/>
      <c r="C1532" s="28"/>
      <c r="D1532" s="28"/>
      <c r="E1532" s="27"/>
      <c r="F1532" s="27"/>
      <c r="G1532" s="28"/>
      <c r="H1532" s="28"/>
      <c r="I1532" s="36"/>
      <c r="J1532" s="27"/>
      <c r="K1532" s="29"/>
      <c r="L1532" s="29"/>
      <c r="M1532" s="29"/>
      <c r="N1532" s="29"/>
    </row>
    <row r="1533" spans="2:14" x14ac:dyDescent="0.25">
      <c r="B1533" s="27"/>
      <c r="C1533" s="28"/>
      <c r="D1533" s="28"/>
      <c r="E1533" s="27"/>
      <c r="F1533" s="27"/>
      <c r="G1533" s="28"/>
      <c r="H1533" s="28"/>
      <c r="I1533" s="36"/>
      <c r="J1533" s="27"/>
      <c r="K1533" s="29"/>
      <c r="L1533" s="29"/>
      <c r="M1533" s="29"/>
      <c r="N1533" s="29"/>
    </row>
    <row r="1534" spans="2:14" x14ac:dyDescent="0.25">
      <c r="B1534" s="27"/>
      <c r="C1534" s="28"/>
      <c r="D1534" s="28"/>
      <c r="E1534" s="27"/>
      <c r="F1534" s="27"/>
      <c r="G1534" s="28"/>
      <c r="H1534" s="28"/>
      <c r="I1534" s="36"/>
      <c r="J1534" s="27"/>
      <c r="K1534" s="29"/>
      <c r="L1534" s="29"/>
      <c r="M1534" s="29"/>
      <c r="N1534" s="29"/>
    </row>
  </sheetData>
  <autoFilter ref="B12:N1534" xr:uid="{B5C537E6-8B07-41B6-8279-8C2AD690E917}"/>
  <mergeCells count="4">
    <mergeCell ref="B2:N2"/>
    <mergeCell ref="B3:K3"/>
    <mergeCell ref="Q11:S11"/>
    <mergeCell ref="T11:U11"/>
  </mergeCells>
  <dataValidations count="2">
    <dataValidation type="list" allowBlank="1" showInputMessage="1" showErrorMessage="1" sqref="C6" xr:uid="{CEDB8564-F825-47C8-AA6D-3BA8EE1FF469}">
      <formula1>TipoEvento</formula1>
    </dataValidation>
    <dataValidation type="list" allowBlank="1" showInputMessage="1" showErrorMessage="1" sqref="C7" xr:uid="{32F6F756-0AAA-49D8-A323-C1120A272947}">
      <formula1>INDIRECT(C6)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738C996-36ED-4D0C-AB09-0FE120C83F36}">
          <x14:formula1>
            <xm:f>'Datos base'!$A$3:$A$10</xm:f>
          </x14:formula1>
          <xm:sqref>C4</xm:sqref>
        </x14:dataValidation>
        <x14:dataValidation type="list" allowBlank="1" showInputMessage="1" showErrorMessage="1" xr:uid="{F455AEE3-58AD-4027-A421-B8E0051E347E}">
          <x14:formula1>
            <xm:f>'Datos base'!$B$3:$B$33</xm:f>
          </x14:formula1>
          <xm:sqref>C5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4D15D-DC6D-4AD0-A475-B380E3F3073C}">
  <dimension ref="A1:M404"/>
  <sheetViews>
    <sheetView topLeftCell="E2" workbookViewId="0">
      <pane ySplit="1" topLeftCell="A3" activePane="bottomLeft" state="frozen"/>
      <selection activeCell="A2" sqref="A2"/>
      <selection pane="bottomLeft" activeCell="L5" sqref="L5"/>
    </sheetView>
  </sheetViews>
  <sheetFormatPr baseColWidth="10" defaultColWidth="11.42578125" defaultRowHeight="15" x14ac:dyDescent="0.25"/>
  <cols>
    <col min="1" max="1" width="21.28515625" bestFit="1" customWidth="1"/>
    <col min="2" max="2" width="23.140625" customWidth="1"/>
    <col min="3" max="3" width="18" bestFit="1" customWidth="1"/>
    <col min="4" max="4" width="27.28515625" customWidth="1"/>
    <col min="5" max="5" width="20.7109375" customWidth="1"/>
    <col min="8" max="8" width="21.42578125" customWidth="1"/>
    <col min="10" max="10" width="25.7109375" customWidth="1"/>
    <col min="12" max="12" width="34.28515625" customWidth="1"/>
    <col min="14" max="14" width="23" customWidth="1"/>
    <col min="15" max="15" width="53.42578125" bestFit="1" customWidth="1"/>
  </cols>
  <sheetData>
    <row r="1" spans="1:13" ht="390" hidden="1" x14ac:dyDescent="0.25">
      <c r="A1" s="1" t="s">
        <v>34</v>
      </c>
      <c r="B1" s="1" t="s">
        <v>34</v>
      </c>
      <c r="C1" s="12" t="s">
        <v>35</v>
      </c>
      <c r="D1" s="12"/>
    </row>
    <row r="2" spans="1:13" s="12" customFormat="1" ht="18" customHeight="1" x14ac:dyDescent="0.25">
      <c r="A2" s="9" t="s">
        <v>36</v>
      </c>
      <c r="B2" s="10" t="s">
        <v>37</v>
      </c>
      <c r="C2" s="11" t="s">
        <v>38</v>
      </c>
      <c r="D2" s="11" t="s">
        <v>39</v>
      </c>
      <c r="E2" s="11" t="s">
        <v>40</v>
      </c>
      <c r="H2" s="25" t="s">
        <v>38</v>
      </c>
      <c r="I2" s="26"/>
      <c r="J2" s="25" t="s">
        <v>41</v>
      </c>
      <c r="K2" s="26"/>
      <c r="L2" s="25" t="s">
        <v>42</v>
      </c>
    </row>
    <row r="3" spans="1:13" x14ac:dyDescent="0.25">
      <c r="A3" s="15" t="s">
        <v>43</v>
      </c>
      <c r="B3" s="15" t="s">
        <v>44</v>
      </c>
      <c r="C3" t="s">
        <v>6</v>
      </c>
      <c r="D3" t="s">
        <v>8</v>
      </c>
      <c r="E3" t="s">
        <v>45</v>
      </c>
      <c r="H3" s="15" t="s">
        <v>46</v>
      </c>
      <c r="J3" s="15" t="s">
        <v>43</v>
      </c>
      <c r="L3" s="30" t="s">
        <v>45</v>
      </c>
    </row>
    <row r="4" spans="1:13" x14ac:dyDescent="0.25">
      <c r="A4" s="15" t="s">
        <v>2</v>
      </c>
      <c r="B4" s="15" t="s">
        <v>47</v>
      </c>
      <c r="E4" t="s">
        <v>48</v>
      </c>
      <c r="H4" s="15" t="s">
        <v>6</v>
      </c>
      <c r="J4" s="16" t="s">
        <v>49</v>
      </c>
      <c r="L4" s="31" t="s">
        <v>33</v>
      </c>
    </row>
    <row r="5" spans="1:13" x14ac:dyDescent="0.25">
      <c r="A5" s="15" t="s">
        <v>50</v>
      </c>
      <c r="B5" s="15" t="s">
        <v>51</v>
      </c>
      <c r="E5" t="s">
        <v>52</v>
      </c>
      <c r="H5" s="15" t="s">
        <v>53</v>
      </c>
      <c r="J5" s="16" t="s">
        <v>54</v>
      </c>
      <c r="L5" s="30" t="s">
        <v>55</v>
      </c>
      <c r="M5" t="s">
        <v>127</v>
      </c>
    </row>
    <row r="6" spans="1:13" x14ac:dyDescent="0.25">
      <c r="A6" s="15" t="s">
        <v>56</v>
      </c>
      <c r="B6" s="15" t="s">
        <v>57</v>
      </c>
      <c r="E6" t="s">
        <v>58</v>
      </c>
      <c r="H6" s="15" t="s">
        <v>59</v>
      </c>
      <c r="J6" s="15" t="s">
        <v>8</v>
      </c>
      <c r="L6" s="30" t="s">
        <v>60</v>
      </c>
    </row>
    <row r="7" spans="1:13" x14ac:dyDescent="0.25">
      <c r="A7" s="15" t="s">
        <v>61</v>
      </c>
      <c r="B7" s="15" t="s">
        <v>62</v>
      </c>
      <c r="E7" s="15" t="s">
        <v>63</v>
      </c>
      <c r="H7" s="17" t="s">
        <v>64</v>
      </c>
      <c r="J7" s="16" t="s">
        <v>65</v>
      </c>
      <c r="L7" s="30" t="s">
        <v>66</v>
      </c>
    </row>
    <row r="8" spans="1:13" x14ac:dyDescent="0.25">
      <c r="A8" s="15" t="s">
        <v>67</v>
      </c>
      <c r="B8" s="15" t="s">
        <v>68</v>
      </c>
      <c r="E8" t="s">
        <v>69</v>
      </c>
      <c r="H8" s="15" t="s">
        <v>70</v>
      </c>
      <c r="J8" s="15" t="s">
        <v>71</v>
      </c>
      <c r="L8" s="31" t="s">
        <v>72</v>
      </c>
    </row>
    <row r="9" spans="1:13" x14ac:dyDescent="0.25">
      <c r="A9" s="15" t="s">
        <v>73</v>
      </c>
      <c r="B9" s="15" t="s">
        <v>74</v>
      </c>
      <c r="C9" t="s">
        <v>6</v>
      </c>
      <c r="D9" t="s">
        <v>75</v>
      </c>
      <c r="E9" t="s">
        <v>45</v>
      </c>
      <c r="H9" s="15" t="s">
        <v>76</v>
      </c>
      <c r="J9" s="15" t="s">
        <v>77</v>
      </c>
      <c r="L9" s="30" t="s">
        <v>78</v>
      </c>
    </row>
    <row r="10" spans="1:13" x14ac:dyDescent="0.25">
      <c r="A10" s="15" t="s">
        <v>79</v>
      </c>
      <c r="B10" s="8" t="s">
        <v>80</v>
      </c>
      <c r="E10" t="s">
        <v>48</v>
      </c>
      <c r="H10" s="15" t="s">
        <v>81</v>
      </c>
      <c r="J10" s="15" t="s">
        <v>82</v>
      </c>
      <c r="L10" s="31" t="s">
        <v>83</v>
      </c>
    </row>
    <row r="11" spans="1:13" x14ac:dyDescent="0.25">
      <c r="A11" s="15" t="s">
        <v>84</v>
      </c>
      <c r="B11" s="15" t="s">
        <v>85</v>
      </c>
      <c r="E11" t="s">
        <v>52</v>
      </c>
      <c r="H11" s="15" t="s">
        <v>86</v>
      </c>
      <c r="J11" s="15" t="s">
        <v>87</v>
      </c>
    </row>
    <row r="12" spans="1:13" x14ac:dyDescent="0.25">
      <c r="A12" s="15" t="s">
        <v>88</v>
      </c>
      <c r="B12" s="15" t="s">
        <v>89</v>
      </c>
      <c r="E12" t="s">
        <v>58</v>
      </c>
      <c r="H12" s="15" t="s">
        <v>90</v>
      </c>
      <c r="J12" s="15" t="s">
        <v>91</v>
      </c>
    </row>
    <row r="13" spans="1:13" x14ac:dyDescent="0.25">
      <c r="B13" s="15" t="s">
        <v>92</v>
      </c>
      <c r="E13" s="15" t="s">
        <v>63</v>
      </c>
      <c r="H13" s="15" t="s">
        <v>43</v>
      </c>
      <c r="J13" s="15" t="s">
        <v>93</v>
      </c>
    </row>
    <row r="14" spans="1:13" x14ac:dyDescent="0.25">
      <c r="B14" s="15" t="s">
        <v>94</v>
      </c>
      <c r="E14" t="s">
        <v>69</v>
      </c>
      <c r="H14" s="24"/>
      <c r="J14" s="15" t="s">
        <v>69</v>
      </c>
    </row>
    <row r="15" spans="1:13" x14ac:dyDescent="0.25">
      <c r="B15" s="15" t="s">
        <v>95</v>
      </c>
      <c r="C15" t="s">
        <v>6</v>
      </c>
      <c r="D15" t="s">
        <v>93</v>
      </c>
      <c r="E15" t="s">
        <v>45</v>
      </c>
      <c r="H15" s="16" t="s">
        <v>96</v>
      </c>
      <c r="J15" s="16" t="s">
        <v>97</v>
      </c>
    </row>
    <row r="16" spans="1:13" x14ac:dyDescent="0.25">
      <c r="B16" s="15" t="s">
        <v>4</v>
      </c>
      <c r="E16" t="s">
        <v>48</v>
      </c>
      <c r="H16" s="16" t="s">
        <v>98</v>
      </c>
      <c r="J16" s="15" t="s">
        <v>75</v>
      </c>
    </row>
    <row r="17" spans="2:10" x14ac:dyDescent="0.25">
      <c r="B17" s="15" t="s">
        <v>99</v>
      </c>
      <c r="E17" t="s">
        <v>52</v>
      </c>
      <c r="H17" s="16" t="s">
        <v>100</v>
      </c>
      <c r="J17" s="15" t="s">
        <v>101</v>
      </c>
    </row>
    <row r="18" spans="2:10" x14ac:dyDescent="0.25">
      <c r="B18" s="15" t="s">
        <v>102</v>
      </c>
      <c r="E18" t="s">
        <v>58</v>
      </c>
    </row>
    <row r="19" spans="2:10" x14ac:dyDescent="0.25">
      <c r="B19" s="15" t="s">
        <v>103</v>
      </c>
      <c r="E19" s="15" t="s">
        <v>63</v>
      </c>
    </row>
    <row r="20" spans="2:10" x14ac:dyDescent="0.25">
      <c r="B20" s="15" t="s">
        <v>104</v>
      </c>
      <c r="E20" t="s">
        <v>69</v>
      </c>
    </row>
    <row r="21" spans="2:10" x14ac:dyDescent="0.25">
      <c r="B21" s="15" t="s">
        <v>105</v>
      </c>
      <c r="C21" t="s">
        <v>6</v>
      </c>
      <c r="D21" t="s">
        <v>101</v>
      </c>
      <c r="E21" t="s">
        <v>45</v>
      </c>
    </row>
    <row r="22" spans="2:10" x14ac:dyDescent="0.25">
      <c r="B22" s="15" t="s">
        <v>106</v>
      </c>
      <c r="E22" t="s">
        <v>48</v>
      </c>
    </row>
    <row r="23" spans="2:10" x14ac:dyDescent="0.25">
      <c r="B23" s="15" t="s">
        <v>107</v>
      </c>
      <c r="E23" t="s">
        <v>52</v>
      </c>
    </row>
    <row r="24" spans="2:10" x14ac:dyDescent="0.25">
      <c r="B24" s="15" t="s">
        <v>108</v>
      </c>
      <c r="E24" t="s">
        <v>58</v>
      </c>
    </row>
    <row r="25" spans="2:10" x14ac:dyDescent="0.25">
      <c r="B25" s="15" t="s">
        <v>109</v>
      </c>
      <c r="E25" s="15" t="s">
        <v>63</v>
      </c>
    </row>
    <row r="26" spans="2:10" x14ac:dyDescent="0.25">
      <c r="B26" s="15" t="s">
        <v>110</v>
      </c>
      <c r="E26" t="s">
        <v>69</v>
      </c>
    </row>
    <row r="27" spans="2:10" x14ac:dyDescent="0.25">
      <c r="B27" s="15" t="s">
        <v>111</v>
      </c>
      <c r="C27" t="s">
        <v>6</v>
      </c>
      <c r="D27" t="s">
        <v>87</v>
      </c>
      <c r="E27" t="s">
        <v>45</v>
      </c>
    </row>
    <row r="28" spans="2:10" x14ac:dyDescent="0.25">
      <c r="B28" s="8" t="s">
        <v>112</v>
      </c>
      <c r="E28" t="s">
        <v>48</v>
      </c>
    </row>
    <row r="29" spans="2:10" x14ac:dyDescent="0.25">
      <c r="B29" s="15" t="s">
        <v>113</v>
      </c>
      <c r="E29" t="s">
        <v>52</v>
      </c>
    </row>
    <row r="30" spans="2:10" x14ac:dyDescent="0.25">
      <c r="B30" s="15" t="s">
        <v>114</v>
      </c>
      <c r="E30" t="s">
        <v>58</v>
      </c>
    </row>
    <row r="31" spans="2:10" x14ac:dyDescent="0.25">
      <c r="B31" s="15" t="s">
        <v>115</v>
      </c>
      <c r="E31" s="15" t="s">
        <v>63</v>
      </c>
    </row>
    <row r="32" spans="2:10" x14ac:dyDescent="0.25">
      <c r="B32" s="15" t="s">
        <v>123</v>
      </c>
      <c r="E32" t="s">
        <v>69</v>
      </c>
    </row>
    <row r="33" spans="2:5" x14ac:dyDescent="0.25">
      <c r="B33" s="15" t="s">
        <v>124</v>
      </c>
      <c r="C33" t="s">
        <v>6</v>
      </c>
      <c r="D33" t="s">
        <v>91</v>
      </c>
      <c r="E33" t="s">
        <v>45</v>
      </c>
    </row>
    <row r="34" spans="2:5" x14ac:dyDescent="0.25">
      <c r="E34" t="s">
        <v>48</v>
      </c>
    </row>
    <row r="35" spans="2:5" x14ac:dyDescent="0.25">
      <c r="E35" t="s">
        <v>52</v>
      </c>
    </row>
    <row r="36" spans="2:5" x14ac:dyDescent="0.25">
      <c r="E36" t="s">
        <v>58</v>
      </c>
    </row>
    <row r="37" spans="2:5" x14ac:dyDescent="0.25">
      <c r="E37" s="15" t="s">
        <v>63</v>
      </c>
    </row>
    <row r="38" spans="2:5" x14ac:dyDescent="0.25">
      <c r="E38" t="s">
        <v>69</v>
      </c>
    </row>
    <row r="39" spans="2:5" x14ac:dyDescent="0.25">
      <c r="C39" t="s">
        <v>6</v>
      </c>
      <c r="D39" t="s">
        <v>69</v>
      </c>
      <c r="E39" t="s">
        <v>45</v>
      </c>
    </row>
    <row r="40" spans="2:5" x14ac:dyDescent="0.25">
      <c r="E40" t="s">
        <v>48</v>
      </c>
    </row>
    <row r="41" spans="2:5" x14ac:dyDescent="0.25">
      <c r="E41" t="s">
        <v>52</v>
      </c>
    </row>
    <row r="42" spans="2:5" x14ac:dyDescent="0.25">
      <c r="E42" t="s">
        <v>58</v>
      </c>
    </row>
    <row r="43" spans="2:5" x14ac:dyDescent="0.25">
      <c r="E43" s="15" t="s">
        <v>63</v>
      </c>
    </row>
    <row r="44" spans="2:5" x14ac:dyDescent="0.25">
      <c r="E44" t="s">
        <v>69</v>
      </c>
    </row>
    <row r="45" spans="2:5" x14ac:dyDescent="0.25">
      <c r="C45" t="s">
        <v>46</v>
      </c>
      <c r="D45" t="s">
        <v>8</v>
      </c>
      <c r="E45" t="s">
        <v>45</v>
      </c>
    </row>
    <row r="46" spans="2:5" x14ac:dyDescent="0.25">
      <c r="E46" t="s">
        <v>48</v>
      </c>
    </row>
    <row r="47" spans="2:5" x14ac:dyDescent="0.25">
      <c r="E47" t="s">
        <v>52</v>
      </c>
    </row>
    <row r="48" spans="2:5" x14ac:dyDescent="0.25">
      <c r="E48" t="s">
        <v>58</v>
      </c>
    </row>
    <row r="49" spans="3:5" x14ac:dyDescent="0.25">
      <c r="E49" s="15" t="s">
        <v>63</v>
      </c>
    </row>
    <row r="50" spans="3:5" x14ac:dyDescent="0.25">
      <c r="E50" t="s">
        <v>69</v>
      </c>
    </row>
    <row r="51" spans="3:5" x14ac:dyDescent="0.25">
      <c r="C51" t="s">
        <v>46</v>
      </c>
      <c r="D51" t="s">
        <v>75</v>
      </c>
      <c r="E51" t="s">
        <v>45</v>
      </c>
    </row>
    <row r="52" spans="3:5" x14ac:dyDescent="0.25">
      <c r="E52" t="s">
        <v>48</v>
      </c>
    </row>
    <row r="53" spans="3:5" x14ac:dyDescent="0.25">
      <c r="E53" t="s">
        <v>52</v>
      </c>
    </row>
    <row r="54" spans="3:5" x14ac:dyDescent="0.25">
      <c r="E54" t="s">
        <v>58</v>
      </c>
    </row>
    <row r="55" spans="3:5" x14ac:dyDescent="0.25">
      <c r="E55" s="15" t="s">
        <v>63</v>
      </c>
    </row>
    <row r="56" spans="3:5" x14ac:dyDescent="0.25">
      <c r="E56" t="s">
        <v>69</v>
      </c>
    </row>
    <row r="57" spans="3:5" x14ac:dyDescent="0.25">
      <c r="C57" t="s">
        <v>46</v>
      </c>
      <c r="D57" t="s">
        <v>93</v>
      </c>
      <c r="E57" t="s">
        <v>45</v>
      </c>
    </row>
    <row r="58" spans="3:5" x14ac:dyDescent="0.25">
      <c r="E58" t="s">
        <v>48</v>
      </c>
    </row>
    <row r="59" spans="3:5" x14ac:dyDescent="0.25">
      <c r="E59" t="s">
        <v>52</v>
      </c>
    </row>
    <row r="60" spans="3:5" x14ac:dyDescent="0.25">
      <c r="E60" t="s">
        <v>58</v>
      </c>
    </row>
    <row r="61" spans="3:5" x14ac:dyDescent="0.25">
      <c r="E61" s="15" t="s">
        <v>63</v>
      </c>
    </row>
    <row r="62" spans="3:5" x14ac:dyDescent="0.25">
      <c r="E62" t="s">
        <v>69</v>
      </c>
    </row>
    <row r="63" spans="3:5" x14ac:dyDescent="0.25">
      <c r="C63" t="s">
        <v>46</v>
      </c>
      <c r="D63" t="s">
        <v>101</v>
      </c>
      <c r="E63" t="s">
        <v>45</v>
      </c>
    </row>
    <row r="64" spans="3:5" x14ac:dyDescent="0.25">
      <c r="E64" t="s">
        <v>48</v>
      </c>
    </row>
    <row r="65" spans="3:5" x14ac:dyDescent="0.25">
      <c r="E65" t="s">
        <v>52</v>
      </c>
    </row>
    <row r="66" spans="3:5" x14ac:dyDescent="0.25">
      <c r="E66" t="s">
        <v>58</v>
      </c>
    </row>
    <row r="67" spans="3:5" x14ac:dyDescent="0.25">
      <c r="E67" s="15" t="s">
        <v>63</v>
      </c>
    </row>
    <row r="68" spans="3:5" x14ac:dyDescent="0.25">
      <c r="E68" t="s">
        <v>69</v>
      </c>
    </row>
    <row r="69" spans="3:5" x14ac:dyDescent="0.25">
      <c r="C69" t="s">
        <v>46</v>
      </c>
      <c r="D69" t="s">
        <v>87</v>
      </c>
      <c r="E69" t="s">
        <v>45</v>
      </c>
    </row>
    <row r="70" spans="3:5" x14ac:dyDescent="0.25">
      <c r="E70" t="s">
        <v>48</v>
      </c>
    </row>
    <row r="71" spans="3:5" x14ac:dyDescent="0.25">
      <c r="E71" t="s">
        <v>52</v>
      </c>
    </row>
    <row r="72" spans="3:5" x14ac:dyDescent="0.25">
      <c r="E72" t="s">
        <v>58</v>
      </c>
    </row>
    <row r="73" spans="3:5" x14ac:dyDescent="0.25">
      <c r="E73" s="15" t="s">
        <v>63</v>
      </c>
    </row>
    <row r="74" spans="3:5" x14ac:dyDescent="0.25">
      <c r="E74" t="s">
        <v>69</v>
      </c>
    </row>
    <row r="75" spans="3:5" x14ac:dyDescent="0.25">
      <c r="C75" t="s">
        <v>46</v>
      </c>
      <c r="D75" t="s">
        <v>91</v>
      </c>
      <c r="E75" t="s">
        <v>45</v>
      </c>
    </row>
    <row r="76" spans="3:5" x14ac:dyDescent="0.25">
      <c r="E76" t="s">
        <v>48</v>
      </c>
    </row>
    <row r="77" spans="3:5" x14ac:dyDescent="0.25">
      <c r="E77" t="s">
        <v>52</v>
      </c>
    </row>
    <row r="78" spans="3:5" x14ac:dyDescent="0.25">
      <c r="E78" t="s">
        <v>58</v>
      </c>
    </row>
    <row r="79" spans="3:5" x14ac:dyDescent="0.25">
      <c r="E79" s="15" t="s">
        <v>63</v>
      </c>
    </row>
    <row r="80" spans="3:5" x14ac:dyDescent="0.25">
      <c r="E80" t="s">
        <v>69</v>
      </c>
    </row>
    <row r="81" spans="3:5" x14ac:dyDescent="0.25">
      <c r="C81" t="s">
        <v>46</v>
      </c>
      <c r="D81" t="s">
        <v>69</v>
      </c>
      <c r="E81" t="s">
        <v>45</v>
      </c>
    </row>
    <row r="82" spans="3:5" x14ac:dyDescent="0.25">
      <c r="E82" t="s">
        <v>48</v>
      </c>
    </row>
    <row r="83" spans="3:5" x14ac:dyDescent="0.25">
      <c r="E83" t="s">
        <v>52</v>
      </c>
    </row>
    <row r="84" spans="3:5" x14ac:dyDescent="0.25">
      <c r="E84" t="s">
        <v>58</v>
      </c>
    </row>
    <row r="85" spans="3:5" x14ac:dyDescent="0.25">
      <c r="E85" s="15" t="s">
        <v>63</v>
      </c>
    </row>
    <row r="86" spans="3:5" x14ac:dyDescent="0.25">
      <c r="E86" t="s">
        <v>69</v>
      </c>
    </row>
    <row r="87" spans="3:5" x14ac:dyDescent="0.25">
      <c r="C87" s="15" t="s">
        <v>53</v>
      </c>
      <c r="D87" s="15" t="s">
        <v>82</v>
      </c>
      <c r="E87" t="s">
        <v>45</v>
      </c>
    </row>
    <row r="88" spans="3:5" x14ac:dyDescent="0.25">
      <c r="E88" t="s">
        <v>48</v>
      </c>
    </row>
    <row r="89" spans="3:5" x14ac:dyDescent="0.25">
      <c r="E89" t="s">
        <v>52</v>
      </c>
    </row>
    <row r="90" spans="3:5" x14ac:dyDescent="0.25">
      <c r="E90" t="s">
        <v>58</v>
      </c>
    </row>
    <row r="91" spans="3:5" x14ac:dyDescent="0.25">
      <c r="E91" s="15" t="s">
        <v>63</v>
      </c>
    </row>
    <row r="92" spans="3:5" x14ac:dyDescent="0.25">
      <c r="E92" t="s">
        <v>69</v>
      </c>
    </row>
    <row r="93" spans="3:5" x14ac:dyDescent="0.25">
      <c r="C93" s="15" t="s">
        <v>53</v>
      </c>
      <c r="D93" t="s">
        <v>8</v>
      </c>
      <c r="E93" t="s">
        <v>45</v>
      </c>
    </row>
    <row r="94" spans="3:5" x14ac:dyDescent="0.25">
      <c r="E94" t="s">
        <v>48</v>
      </c>
    </row>
    <row r="95" spans="3:5" x14ac:dyDescent="0.25">
      <c r="E95" t="s">
        <v>52</v>
      </c>
    </row>
    <row r="96" spans="3:5" x14ac:dyDescent="0.25">
      <c r="E96" t="s">
        <v>58</v>
      </c>
    </row>
    <row r="97" spans="3:5" x14ac:dyDescent="0.25">
      <c r="E97" s="15" t="s">
        <v>63</v>
      </c>
    </row>
    <row r="98" spans="3:5" x14ac:dyDescent="0.25">
      <c r="E98" t="s">
        <v>69</v>
      </c>
    </row>
    <row r="99" spans="3:5" x14ac:dyDescent="0.25">
      <c r="C99" s="15" t="s">
        <v>53</v>
      </c>
      <c r="D99" t="s">
        <v>75</v>
      </c>
      <c r="E99" t="s">
        <v>45</v>
      </c>
    </row>
    <row r="100" spans="3:5" x14ac:dyDescent="0.25">
      <c r="E100" t="s">
        <v>48</v>
      </c>
    </row>
    <row r="101" spans="3:5" x14ac:dyDescent="0.25">
      <c r="E101" t="s">
        <v>52</v>
      </c>
    </row>
    <row r="102" spans="3:5" x14ac:dyDescent="0.25">
      <c r="E102" t="s">
        <v>58</v>
      </c>
    </row>
    <row r="103" spans="3:5" x14ac:dyDescent="0.25">
      <c r="E103" s="15" t="s">
        <v>63</v>
      </c>
    </row>
    <row r="104" spans="3:5" x14ac:dyDescent="0.25">
      <c r="E104" t="s">
        <v>69</v>
      </c>
    </row>
    <row r="105" spans="3:5" x14ac:dyDescent="0.25">
      <c r="C105" s="15" t="s">
        <v>53</v>
      </c>
      <c r="D105" t="s">
        <v>93</v>
      </c>
      <c r="E105" t="s">
        <v>45</v>
      </c>
    </row>
    <row r="106" spans="3:5" x14ac:dyDescent="0.25">
      <c r="E106" t="s">
        <v>48</v>
      </c>
    </row>
    <row r="107" spans="3:5" x14ac:dyDescent="0.25">
      <c r="E107" t="s">
        <v>52</v>
      </c>
    </row>
    <row r="108" spans="3:5" x14ac:dyDescent="0.25">
      <c r="E108" t="s">
        <v>58</v>
      </c>
    </row>
    <row r="109" spans="3:5" x14ac:dyDescent="0.25">
      <c r="E109" s="15" t="s">
        <v>63</v>
      </c>
    </row>
    <row r="110" spans="3:5" x14ac:dyDescent="0.25">
      <c r="E110" t="s">
        <v>69</v>
      </c>
    </row>
    <row r="111" spans="3:5" x14ac:dyDescent="0.25">
      <c r="C111" s="15" t="s">
        <v>53</v>
      </c>
      <c r="D111" t="s">
        <v>101</v>
      </c>
      <c r="E111" t="s">
        <v>45</v>
      </c>
    </row>
    <row r="112" spans="3:5" x14ac:dyDescent="0.25">
      <c r="E112" t="s">
        <v>48</v>
      </c>
    </row>
    <row r="113" spans="3:5" x14ac:dyDescent="0.25">
      <c r="E113" t="s">
        <v>52</v>
      </c>
    </row>
    <row r="114" spans="3:5" x14ac:dyDescent="0.25">
      <c r="E114" t="s">
        <v>58</v>
      </c>
    </row>
    <row r="115" spans="3:5" x14ac:dyDescent="0.25">
      <c r="E115" s="15" t="s">
        <v>63</v>
      </c>
    </row>
    <row r="116" spans="3:5" x14ac:dyDescent="0.25">
      <c r="E116" t="s">
        <v>69</v>
      </c>
    </row>
    <row r="117" spans="3:5" x14ac:dyDescent="0.25">
      <c r="C117" s="15" t="s">
        <v>53</v>
      </c>
      <c r="D117" t="s">
        <v>87</v>
      </c>
      <c r="E117" t="s">
        <v>45</v>
      </c>
    </row>
    <row r="118" spans="3:5" x14ac:dyDescent="0.25">
      <c r="E118" t="s">
        <v>48</v>
      </c>
    </row>
    <row r="119" spans="3:5" x14ac:dyDescent="0.25">
      <c r="E119" t="s">
        <v>52</v>
      </c>
    </row>
    <row r="120" spans="3:5" x14ac:dyDescent="0.25">
      <c r="E120" t="s">
        <v>58</v>
      </c>
    </row>
    <row r="121" spans="3:5" x14ac:dyDescent="0.25">
      <c r="E121" s="15" t="s">
        <v>63</v>
      </c>
    </row>
    <row r="122" spans="3:5" x14ac:dyDescent="0.25">
      <c r="E122" t="s">
        <v>69</v>
      </c>
    </row>
    <row r="123" spans="3:5" x14ac:dyDescent="0.25">
      <c r="C123" s="15" t="s">
        <v>53</v>
      </c>
      <c r="D123" t="s">
        <v>91</v>
      </c>
      <c r="E123" t="s">
        <v>45</v>
      </c>
    </row>
    <row r="124" spans="3:5" x14ac:dyDescent="0.25">
      <c r="E124" t="s">
        <v>48</v>
      </c>
    </row>
    <row r="125" spans="3:5" x14ac:dyDescent="0.25">
      <c r="E125" t="s">
        <v>52</v>
      </c>
    </row>
    <row r="126" spans="3:5" x14ac:dyDescent="0.25">
      <c r="E126" t="s">
        <v>58</v>
      </c>
    </row>
    <row r="127" spans="3:5" x14ac:dyDescent="0.25">
      <c r="E127" s="15" t="s">
        <v>63</v>
      </c>
    </row>
    <row r="128" spans="3:5" x14ac:dyDescent="0.25">
      <c r="E128" t="s">
        <v>69</v>
      </c>
    </row>
    <row r="129" spans="3:5" x14ac:dyDescent="0.25">
      <c r="C129" s="15" t="s">
        <v>53</v>
      </c>
      <c r="D129" t="s">
        <v>69</v>
      </c>
      <c r="E129" t="s">
        <v>45</v>
      </c>
    </row>
    <row r="130" spans="3:5" x14ac:dyDescent="0.25">
      <c r="E130" t="s">
        <v>48</v>
      </c>
    </row>
    <row r="131" spans="3:5" x14ac:dyDescent="0.25">
      <c r="E131" t="s">
        <v>52</v>
      </c>
    </row>
    <row r="132" spans="3:5" x14ac:dyDescent="0.25">
      <c r="E132" t="s">
        <v>58</v>
      </c>
    </row>
    <row r="133" spans="3:5" x14ac:dyDescent="0.25">
      <c r="E133" s="15" t="s">
        <v>63</v>
      </c>
    </row>
    <row r="134" spans="3:5" x14ac:dyDescent="0.25">
      <c r="E134" t="s">
        <v>69</v>
      </c>
    </row>
    <row r="135" spans="3:5" x14ac:dyDescent="0.25">
      <c r="C135" t="s">
        <v>100</v>
      </c>
      <c r="D135" t="s">
        <v>97</v>
      </c>
      <c r="E135" t="s">
        <v>45</v>
      </c>
    </row>
    <row r="136" spans="3:5" x14ac:dyDescent="0.25">
      <c r="E136" t="s">
        <v>48</v>
      </c>
    </row>
    <row r="137" spans="3:5" x14ac:dyDescent="0.25">
      <c r="E137" t="s">
        <v>52</v>
      </c>
    </row>
    <row r="138" spans="3:5" x14ac:dyDescent="0.25">
      <c r="E138" t="s">
        <v>58</v>
      </c>
    </row>
    <row r="139" spans="3:5" x14ac:dyDescent="0.25">
      <c r="E139" s="15" t="s">
        <v>63</v>
      </c>
    </row>
    <row r="140" spans="3:5" x14ac:dyDescent="0.25">
      <c r="E140" t="s">
        <v>69</v>
      </c>
    </row>
    <row r="141" spans="3:5" x14ac:dyDescent="0.25">
      <c r="C141" t="s">
        <v>100</v>
      </c>
      <c r="D141" s="15" t="s">
        <v>65</v>
      </c>
      <c r="E141" t="s">
        <v>45</v>
      </c>
    </row>
    <row r="142" spans="3:5" x14ac:dyDescent="0.25">
      <c r="E142" t="s">
        <v>48</v>
      </c>
    </row>
    <row r="143" spans="3:5" x14ac:dyDescent="0.25">
      <c r="E143" t="s">
        <v>52</v>
      </c>
    </row>
    <row r="144" spans="3:5" x14ac:dyDescent="0.25">
      <c r="E144" t="s">
        <v>58</v>
      </c>
    </row>
    <row r="145" spans="3:5" x14ac:dyDescent="0.25">
      <c r="E145" s="15" t="s">
        <v>63</v>
      </c>
    </row>
    <row r="146" spans="3:5" x14ac:dyDescent="0.25">
      <c r="E146" t="s">
        <v>69</v>
      </c>
    </row>
    <row r="147" spans="3:5" x14ac:dyDescent="0.25">
      <c r="C147" t="s">
        <v>100</v>
      </c>
      <c r="D147" t="s">
        <v>54</v>
      </c>
      <c r="E147" t="s">
        <v>45</v>
      </c>
    </row>
    <row r="148" spans="3:5" x14ac:dyDescent="0.25">
      <c r="E148" t="s">
        <v>48</v>
      </c>
    </row>
    <row r="149" spans="3:5" x14ac:dyDescent="0.25">
      <c r="E149" t="s">
        <v>52</v>
      </c>
    </row>
    <row r="150" spans="3:5" x14ac:dyDescent="0.25">
      <c r="E150" t="s">
        <v>58</v>
      </c>
    </row>
    <row r="151" spans="3:5" x14ac:dyDescent="0.25">
      <c r="E151" s="15" t="s">
        <v>63</v>
      </c>
    </row>
    <row r="152" spans="3:5" x14ac:dyDescent="0.25">
      <c r="E152" t="s">
        <v>69</v>
      </c>
    </row>
    <row r="153" spans="3:5" x14ac:dyDescent="0.25">
      <c r="C153" s="15" t="s">
        <v>116</v>
      </c>
      <c r="D153" t="s">
        <v>8</v>
      </c>
      <c r="E153" t="s">
        <v>45</v>
      </c>
    </row>
    <row r="154" spans="3:5" x14ac:dyDescent="0.25">
      <c r="E154" t="s">
        <v>48</v>
      </c>
    </row>
    <row r="155" spans="3:5" x14ac:dyDescent="0.25">
      <c r="E155" t="s">
        <v>52</v>
      </c>
    </row>
    <row r="156" spans="3:5" x14ac:dyDescent="0.25">
      <c r="E156" t="s">
        <v>58</v>
      </c>
    </row>
    <row r="157" spans="3:5" x14ac:dyDescent="0.25">
      <c r="E157" s="15" t="s">
        <v>63</v>
      </c>
    </row>
    <row r="158" spans="3:5" x14ac:dyDescent="0.25">
      <c r="E158" t="s">
        <v>69</v>
      </c>
    </row>
    <row r="159" spans="3:5" x14ac:dyDescent="0.25">
      <c r="C159" s="15" t="s">
        <v>116</v>
      </c>
      <c r="D159" t="s">
        <v>75</v>
      </c>
      <c r="E159" t="s">
        <v>45</v>
      </c>
    </row>
    <row r="160" spans="3:5" x14ac:dyDescent="0.25">
      <c r="E160" t="s">
        <v>48</v>
      </c>
    </row>
    <row r="161" spans="3:5" x14ac:dyDescent="0.25">
      <c r="E161" t="s">
        <v>52</v>
      </c>
    </row>
    <row r="162" spans="3:5" x14ac:dyDescent="0.25">
      <c r="E162" t="s">
        <v>58</v>
      </c>
    </row>
    <row r="163" spans="3:5" x14ac:dyDescent="0.25">
      <c r="E163" s="15" t="s">
        <v>63</v>
      </c>
    </row>
    <row r="164" spans="3:5" x14ac:dyDescent="0.25">
      <c r="E164" t="s">
        <v>69</v>
      </c>
    </row>
    <row r="165" spans="3:5" x14ac:dyDescent="0.25">
      <c r="C165" s="15" t="s">
        <v>116</v>
      </c>
      <c r="D165" t="s">
        <v>93</v>
      </c>
      <c r="E165" t="s">
        <v>45</v>
      </c>
    </row>
    <row r="166" spans="3:5" x14ac:dyDescent="0.25">
      <c r="E166" t="s">
        <v>48</v>
      </c>
    </row>
    <row r="167" spans="3:5" x14ac:dyDescent="0.25">
      <c r="E167" t="s">
        <v>52</v>
      </c>
    </row>
    <row r="168" spans="3:5" x14ac:dyDescent="0.25">
      <c r="E168" t="s">
        <v>58</v>
      </c>
    </row>
    <row r="169" spans="3:5" x14ac:dyDescent="0.25">
      <c r="E169" s="15" t="s">
        <v>63</v>
      </c>
    </row>
    <row r="170" spans="3:5" x14ac:dyDescent="0.25">
      <c r="E170" t="s">
        <v>69</v>
      </c>
    </row>
    <row r="171" spans="3:5" x14ac:dyDescent="0.25">
      <c r="C171" s="15" t="s">
        <v>116</v>
      </c>
      <c r="D171" t="s">
        <v>101</v>
      </c>
      <c r="E171" t="s">
        <v>45</v>
      </c>
    </row>
    <row r="172" spans="3:5" x14ac:dyDescent="0.25">
      <c r="E172" t="s">
        <v>48</v>
      </c>
    </row>
    <row r="173" spans="3:5" x14ac:dyDescent="0.25">
      <c r="E173" t="s">
        <v>52</v>
      </c>
    </row>
    <row r="174" spans="3:5" x14ac:dyDescent="0.25">
      <c r="E174" t="s">
        <v>58</v>
      </c>
    </row>
    <row r="175" spans="3:5" x14ac:dyDescent="0.25">
      <c r="E175" s="15" t="s">
        <v>63</v>
      </c>
    </row>
    <row r="176" spans="3:5" x14ac:dyDescent="0.25">
      <c r="E176" t="s">
        <v>69</v>
      </c>
    </row>
    <row r="177" spans="3:5" x14ac:dyDescent="0.25">
      <c r="C177" s="15" t="s">
        <v>116</v>
      </c>
      <c r="D177" t="s">
        <v>87</v>
      </c>
      <c r="E177" t="s">
        <v>45</v>
      </c>
    </row>
    <row r="178" spans="3:5" x14ac:dyDescent="0.25">
      <c r="E178" t="s">
        <v>48</v>
      </c>
    </row>
    <row r="179" spans="3:5" x14ac:dyDescent="0.25">
      <c r="E179" t="s">
        <v>52</v>
      </c>
    </row>
    <row r="180" spans="3:5" x14ac:dyDescent="0.25">
      <c r="E180" t="s">
        <v>58</v>
      </c>
    </row>
    <row r="181" spans="3:5" x14ac:dyDescent="0.25">
      <c r="E181" s="15" t="s">
        <v>63</v>
      </c>
    </row>
    <row r="182" spans="3:5" x14ac:dyDescent="0.25">
      <c r="E182" t="s">
        <v>69</v>
      </c>
    </row>
    <row r="183" spans="3:5" x14ac:dyDescent="0.25">
      <c r="C183" s="15" t="s">
        <v>116</v>
      </c>
      <c r="D183" t="s">
        <v>91</v>
      </c>
      <c r="E183" t="s">
        <v>45</v>
      </c>
    </row>
    <row r="184" spans="3:5" x14ac:dyDescent="0.25">
      <c r="E184" t="s">
        <v>48</v>
      </c>
    </row>
    <row r="185" spans="3:5" x14ac:dyDescent="0.25">
      <c r="E185" t="s">
        <v>52</v>
      </c>
    </row>
    <row r="186" spans="3:5" x14ac:dyDescent="0.25">
      <c r="E186" t="s">
        <v>58</v>
      </c>
    </row>
    <row r="187" spans="3:5" x14ac:dyDescent="0.25">
      <c r="E187" s="15" t="s">
        <v>63</v>
      </c>
    </row>
    <row r="188" spans="3:5" x14ac:dyDescent="0.25">
      <c r="E188" t="s">
        <v>69</v>
      </c>
    </row>
    <row r="189" spans="3:5" x14ac:dyDescent="0.25">
      <c r="C189" s="15" t="s">
        <v>116</v>
      </c>
      <c r="D189" t="s">
        <v>69</v>
      </c>
      <c r="E189" t="s">
        <v>45</v>
      </c>
    </row>
    <row r="190" spans="3:5" x14ac:dyDescent="0.25">
      <c r="E190" t="s">
        <v>48</v>
      </c>
    </row>
    <row r="191" spans="3:5" x14ac:dyDescent="0.25">
      <c r="E191" t="s">
        <v>52</v>
      </c>
    </row>
    <row r="192" spans="3:5" x14ac:dyDescent="0.25">
      <c r="E192" t="s">
        <v>58</v>
      </c>
    </row>
    <row r="193" spans="3:5" x14ac:dyDescent="0.25">
      <c r="E193" s="15" t="s">
        <v>63</v>
      </c>
    </row>
    <row r="194" spans="3:5" x14ac:dyDescent="0.25">
      <c r="E194" t="s">
        <v>69</v>
      </c>
    </row>
    <row r="195" spans="3:5" x14ac:dyDescent="0.25">
      <c r="C195" t="s">
        <v>43</v>
      </c>
      <c r="D195" t="s">
        <v>43</v>
      </c>
      <c r="E195" t="s">
        <v>45</v>
      </c>
    </row>
    <row r="196" spans="3:5" x14ac:dyDescent="0.25">
      <c r="E196" t="s">
        <v>48</v>
      </c>
    </row>
    <row r="197" spans="3:5" x14ac:dyDescent="0.25">
      <c r="E197" t="s">
        <v>52</v>
      </c>
    </row>
    <row r="198" spans="3:5" x14ac:dyDescent="0.25">
      <c r="E198" t="s">
        <v>58</v>
      </c>
    </row>
    <row r="199" spans="3:5" x14ac:dyDescent="0.25">
      <c r="E199" s="15" t="s">
        <v>63</v>
      </c>
    </row>
    <row r="200" spans="3:5" x14ac:dyDescent="0.25">
      <c r="E200" t="s">
        <v>69</v>
      </c>
    </row>
    <row r="201" spans="3:5" x14ac:dyDescent="0.25">
      <c r="C201" t="s">
        <v>70</v>
      </c>
      <c r="D201" t="s">
        <v>8</v>
      </c>
      <c r="E201" t="s">
        <v>45</v>
      </c>
    </row>
    <row r="202" spans="3:5" x14ac:dyDescent="0.25">
      <c r="E202" t="s">
        <v>48</v>
      </c>
    </row>
    <row r="203" spans="3:5" x14ac:dyDescent="0.25">
      <c r="E203" t="s">
        <v>52</v>
      </c>
    </row>
    <row r="204" spans="3:5" x14ac:dyDescent="0.25">
      <c r="E204" t="s">
        <v>58</v>
      </c>
    </row>
    <row r="205" spans="3:5" x14ac:dyDescent="0.25">
      <c r="E205" s="15" t="s">
        <v>63</v>
      </c>
    </row>
    <row r="206" spans="3:5" x14ac:dyDescent="0.25">
      <c r="E206" t="s">
        <v>69</v>
      </c>
    </row>
    <row r="207" spans="3:5" x14ac:dyDescent="0.25">
      <c r="C207" t="s">
        <v>70</v>
      </c>
      <c r="D207" t="s">
        <v>75</v>
      </c>
      <c r="E207" t="s">
        <v>45</v>
      </c>
    </row>
    <row r="208" spans="3:5" x14ac:dyDescent="0.25">
      <c r="E208" t="s">
        <v>48</v>
      </c>
    </row>
    <row r="209" spans="3:5" x14ac:dyDescent="0.25">
      <c r="E209" t="s">
        <v>52</v>
      </c>
    </row>
    <row r="210" spans="3:5" x14ac:dyDescent="0.25">
      <c r="E210" t="s">
        <v>58</v>
      </c>
    </row>
    <row r="211" spans="3:5" x14ac:dyDescent="0.25">
      <c r="E211" s="15" t="s">
        <v>63</v>
      </c>
    </row>
    <row r="212" spans="3:5" x14ac:dyDescent="0.25">
      <c r="E212" t="s">
        <v>69</v>
      </c>
    </row>
    <row r="213" spans="3:5" x14ac:dyDescent="0.25">
      <c r="C213" s="15" t="s">
        <v>117</v>
      </c>
      <c r="D213" t="s">
        <v>8</v>
      </c>
      <c r="E213" t="s">
        <v>45</v>
      </c>
    </row>
    <row r="214" spans="3:5" x14ac:dyDescent="0.25">
      <c r="E214" t="s">
        <v>48</v>
      </c>
    </row>
    <row r="215" spans="3:5" x14ac:dyDescent="0.25">
      <c r="E215" t="s">
        <v>52</v>
      </c>
    </row>
    <row r="216" spans="3:5" x14ac:dyDescent="0.25">
      <c r="E216" t="s">
        <v>58</v>
      </c>
    </row>
    <row r="217" spans="3:5" x14ac:dyDescent="0.25">
      <c r="E217" s="15" t="s">
        <v>63</v>
      </c>
    </row>
    <row r="218" spans="3:5" x14ac:dyDescent="0.25">
      <c r="E218" t="s">
        <v>69</v>
      </c>
    </row>
    <row r="219" spans="3:5" x14ac:dyDescent="0.25">
      <c r="C219" s="15" t="s">
        <v>117</v>
      </c>
      <c r="D219" t="s">
        <v>75</v>
      </c>
      <c r="E219" t="s">
        <v>45</v>
      </c>
    </row>
    <row r="220" spans="3:5" x14ac:dyDescent="0.25">
      <c r="E220" t="s">
        <v>48</v>
      </c>
    </row>
    <row r="221" spans="3:5" x14ac:dyDescent="0.25">
      <c r="E221" t="s">
        <v>52</v>
      </c>
    </row>
    <row r="222" spans="3:5" x14ac:dyDescent="0.25">
      <c r="E222" t="s">
        <v>58</v>
      </c>
    </row>
    <row r="223" spans="3:5" x14ac:dyDescent="0.25">
      <c r="E223" s="15" t="s">
        <v>63</v>
      </c>
    </row>
    <row r="224" spans="3:5" x14ac:dyDescent="0.25">
      <c r="E224" t="s">
        <v>69</v>
      </c>
    </row>
    <row r="225" spans="3:5" x14ac:dyDescent="0.25">
      <c r="C225" s="15" t="s">
        <v>117</v>
      </c>
      <c r="D225" t="s">
        <v>93</v>
      </c>
      <c r="E225" t="s">
        <v>45</v>
      </c>
    </row>
    <row r="226" spans="3:5" x14ac:dyDescent="0.25">
      <c r="E226" t="s">
        <v>48</v>
      </c>
    </row>
    <row r="227" spans="3:5" x14ac:dyDescent="0.25">
      <c r="E227" t="s">
        <v>52</v>
      </c>
    </row>
    <row r="228" spans="3:5" x14ac:dyDescent="0.25">
      <c r="E228" t="s">
        <v>58</v>
      </c>
    </row>
    <row r="229" spans="3:5" x14ac:dyDescent="0.25">
      <c r="E229" s="15" t="s">
        <v>63</v>
      </c>
    </row>
    <row r="230" spans="3:5" x14ac:dyDescent="0.25">
      <c r="E230" t="s">
        <v>69</v>
      </c>
    </row>
    <row r="231" spans="3:5" x14ac:dyDescent="0.25">
      <c r="C231" s="15" t="s">
        <v>117</v>
      </c>
      <c r="D231" t="s">
        <v>101</v>
      </c>
      <c r="E231" t="s">
        <v>45</v>
      </c>
    </row>
    <row r="232" spans="3:5" x14ac:dyDescent="0.25">
      <c r="E232" t="s">
        <v>48</v>
      </c>
    </row>
    <row r="233" spans="3:5" x14ac:dyDescent="0.25">
      <c r="E233" t="s">
        <v>52</v>
      </c>
    </row>
    <row r="234" spans="3:5" x14ac:dyDescent="0.25">
      <c r="E234" t="s">
        <v>58</v>
      </c>
    </row>
    <row r="235" spans="3:5" x14ac:dyDescent="0.25">
      <c r="E235" s="15" t="s">
        <v>63</v>
      </c>
    </row>
    <row r="236" spans="3:5" x14ac:dyDescent="0.25">
      <c r="E236" t="s">
        <v>69</v>
      </c>
    </row>
    <row r="237" spans="3:5" x14ac:dyDescent="0.25">
      <c r="C237" s="15" t="s">
        <v>117</v>
      </c>
      <c r="D237" t="s">
        <v>87</v>
      </c>
      <c r="E237" t="s">
        <v>45</v>
      </c>
    </row>
    <row r="238" spans="3:5" x14ac:dyDescent="0.25">
      <c r="E238" t="s">
        <v>48</v>
      </c>
    </row>
    <row r="239" spans="3:5" x14ac:dyDescent="0.25">
      <c r="E239" t="s">
        <v>52</v>
      </c>
    </row>
    <row r="240" spans="3:5" x14ac:dyDescent="0.25">
      <c r="E240" t="s">
        <v>58</v>
      </c>
    </row>
    <row r="241" spans="3:5" x14ac:dyDescent="0.25">
      <c r="E241" s="15" t="s">
        <v>63</v>
      </c>
    </row>
    <row r="242" spans="3:5" x14ac:dyDescent="0.25">
      <c r="E242" t="s">
        <v>69</v>
      </c>
    </row>
    <row r="243" spans="3:5" x14ac:dyDescent="0.25">
      <c r="C243" s="15" t="s">
        <v>117</v>
      </c>
      <c r="D243" t="s">
        <v>91</v>
      </c>
      <c r="E243" t="s">
        <v>45</v>
      </c>
    </row>
    <row r="244" spans="3:5" x14ac:dyDescent="0.25">
      <c r="E244" t="s">
        <v>48</v>
      </c>
    </row>
    <row r="245" spans="3:5" x14ac:dyDescent="0.25">
      <c r="E245" t="s">
        <v>52</v>
      </c>
    </row>
    <row r="246" spans="3:5" x14ac:dyDescent="0.25">
      <c r="E246" t="s">
        <v>58</v>
      </c>
    </row>
    <row r="247" spans="3:5" x14ac:dyDescent="0.25">
      <c r="E247" s="15" t="s">
        <v>63</v>
      </c>
    </row>
    <row r="248" spans="3:5" x14ac:dyDescent="0.25">
      <c r="E248" t="s">
        <v>69</v>
      </c>
    </row>
    <row r="249" spans="3:5" x14ac:dyDescent="0.25">
      <c r="C249" s="15" t="s">
        <v>117</v>
      </c>
      <c r="D249" t="s">
        <v>69</v>
      </c>
      <c r="E249" t="s">
        <v>45</v>
      </c>
    </row>
    <row r="250" spans="3:5" x14ac:dyDescent="0.25">
      <c r="E250" t="s">
        <v>48</v>
      </c>
    </row>
    <row r="251" spans="3:5" x14ac:dyDescent="0.25">
      <c r="E251" t="s">
        <v>52</v>
      </c>
    </row>
    <row r="252" spans="3:5" x14ac:dyDescent="0.25">
      <c r="E252" t="s">
        <v>58</v>
      </c>
    </row>
    <row r="253" spans="3:5" x14ac:dyDescent="0.25">
      <c r="E253" s="15" t="s">
        <v>63</v>
      </c>
    </row>
    <row r="254" spans="3:5" x14ac:dyDescent="0.25">
      <c r="E254" t="s">
        <v>69</v>
      </c>
    </row>
    <row r="255" spans="3:5" x14ac:dyDescent="0.25">
      <c r="C255" s="15" t="s">
        <v>118</v>
      </c>
      <c r="D255" t="s">
        <v>8</v>
      </c>
      <c r="E255" t="s">
        <v>45</v>
      </c>
    </row>
    <row r="256" spans="3:5" x14ac:dyDescent="0.25">
      <c r="E256" t="s">
        <v>48</v>
      </c>
    </row>
    <row r="257" spans="3:5" x14ac:dyDescent="0.25">
      <c r="E257" t="s">
        <v>52</v>
      </c>
    </row>
    <row r="258" spans="3:5" x14ac:dyDescent="0.25">
      <c r="E258" t="s">
        <v>58</v>
      </c>
    </row>
    <row r="259" spans="3:5" x14ac:dyDescent="0.25">
      <c r="E259" s="15" t="s">
        <v>63</v>
      </c>
    </row>
    <row r="260" spans="3:5" x14ac:dyDescent="0.25">
      <c r="E260" t="s">
        <v>69</v>
      </c>
    </row>
    <row r="261" spans="3:5" x14ac:dyDescent="0.25">
      <c r="C261" s="15" t="s">
        <v>118</v>
      </c>
      <c r="D261" t="s">
        <v>75</v>
      </c>
      <c r="E261" t="s">
        <v>45</v>
      </c>
    </row>
    <row r="262" spans="3:5" x14ac:dyDescent="0.25">
      <c r="E262" t="s">
        <v>48</v>
      </c>
    </row>
    <row r="263" spans="3:5" x14ac:dyDescent="0.25">
      <c r="E263" t="s">
        <v>52</v>
      </c>
    </row>
    <row r="264" spans="3:5" x14ac:dyDescent="0.25">
      <c r="E264" t="s">
        <v>58</v>
      </c>
    </row>
    <row r="265" spans="3:5" x14ac:dyDescent="0.25">
      <c r="E265" s="15" t="s">
        <v>63</v>
      </c>
    </row>
    <row r="266" spans="3:5" x14ac:dyDescent="0.25">
      <c r="E266" t="s">
        <v>69</v>
      </c>
    </row>
    <row r="267" spans="3:5" x14ac:dyDescent="0.25">
      <c r="C267" s="15" t="s">
        <v>118</v>
      </c>
      <c r="D267" t="s">
        <v>93</v>
      </c>
      <c r="E267" t="s">
        <v>45</v>
      </c>
    </row>
    <row r="268" spans="3:5" x14ac:dyDescent="0.25">
      <c r="E268" t="s">
        <v>48</v>
      </c>
    </row>
    <row r="269" spans="3:5" x14ac:dyDescent="0.25">
      <c r="E269" t="s">
        <v>52</v>
      </c>
    </row>
    <row r="270" spans="3:5" x14ac:dyDescent="0.25">
      <c r="E270" t="s">
        <v>58</v>
      </c>
    </row>
    <row r="271" spans="3:5" x14ac:dyDescent="0.25">
      <c r="E271" s="15" t="s">
        <v>63</v>
      </c>
    </row>
    <row r="272" spans="3:5" x14ac:dyDescent="0.25">
      <c r="E272" t="s">
        <v>69</v>
      </c>
    </row>
    <row r="273" spans="3:5" x14ac:dyDescent="0.25">
      <c r="C273" s="15" t="s">
        <v>118</v>
      </c>
      <c r="D273" t="s">
        <v>101</v>
      </c>
      <c r="E273" t="s">
        <v>45</v>
      </c>
    </row>
    <row r="274" spans="3:5" x14ac:dyDescent="0.25">
      <c r="E274" t="s">
        <v>48</v>
      </c>
    </row>
    <row r="275" spans="3:5" x14ac:dyDescent="0.25">
      <c r="E275" t="s">
        <v>52</v>
      </c>
    </row>
    <row r="276" spans="3:5" x14ac:dyDescent="0.25">
      <c r="E276" t="s">
        <v>58</v>
      </c>
    </row>
    <row r="277" spans="3:5" x14ac:dyDescent="0.25">
      <c r="E277" s="15" t="s">
        <v>63</v>
      </c>
    </row>
    <row r="278" spans="3:5" x14ac:dyDescent="0.25">
      <c r="E278" t="s">
        <v>69</v>
      </c>
    </row>
    <row r="279" spans="3:5" x14ac:dyDescent="0.25">
      <c r="C279" s="15" t="s">
        <v>118</v>
      </c>
      <c r="D279" t="s">
        <v>87</v>
      </c>
      <c r="E279" t="s">
        <v>45</v>
      </c>
    </row>
    <row r="280" spans="3:5" x14ac:dyDescent="0.25">
      <c r="E280" t="s">
        <v>48</v>
      </c>
    </row>
    <row r="281" spans="3:5" x14ac:dyDescent="0.25">
      <c r="E281" t="s">
        <v>52</v>
      </c>
    </row>
    <row r="282" spans="3:5" x14ac:dyDescent="0.25">
      <c r="E282" t="s">
        <v>58</v>
      </c>
    </row>
    <row r="283" spans="3:5" x14ac:dyDescent="0.25">
      <c r="E283" s="15" t="s">
        <v>63</v>
      </c>
    </row>
    <row r="284" spans="3:5" x14ac:dyDescent="0.25">
      <c r="E284" t="s">
        <v>69</v>
      </c>
    </row>
    <row r="285" spans="3:5" x14ac:dyDescent="0.25">
      <c r="C285" s="15" t="s">
        <v>118</v>
      </c>
      <c r="D285" t="s">
        <v>91</v>
      </c>
      <c r="E285" t="s">
        <v>45</v>
      </c>
    </row>
    <row r="286" spans="3:5" x14ac:dyDescent="0.25">
      <c r="E286" t="s">
        <v>48</v>
      </c>
    </row>
    <row r="287" spans="3:5" x14ac:dyDescent="0.25">
      <c r="E287" t="s">
        <v>52</v>
      </c>
    </row>
    <row r="288" spans="3:5" x14ac:dyDescent="0.25">
      <c r="E288" t="s">
        <v>58</v>
      </c>
    </row>
    <row r="289" spans="3:5" x14ac:dyDescent="0.25">
      <c r="E289" s="15" t="s">
        <v>63</v>
      </c>
    </row>
    <row r="290" spans="3:5" x14ac:dyDescent="0.25">
      <c r="E290" t="s">
        <v>69</v>
      </c>
    </row>
    <row r="291" spans="3:5" x14ac:dyDescent="0.25">
      <c r="C291" s="15" t="s">
        <v>118</v>
      </c>
      <c r="D291" t="s">
        <v>69</v>
      </c>
      <c r="E291" t="s">
        <v>45</v>
      </c>
    </row>
    <row r="292" spans="3:5" x14ac:dyDescent="0.25">
      <c r="E292" t="s">
        <v>48</v>
      </c>
    </row>
    <row r="293" spans="3:5" x14ac:dyDescent="0.25">
      <c r="E293" t="s">
        <v>52</v>
      </c>
    </row>
    <row r="294" spans="3:5" x14ac:dyDescent="0.25">
      <c r="E294" t="s">
        <v>58</v>
      </c>
    </row>
    <row r="295" spans="3:5" x14ac:dyDescent="0.25">
      <c r="E295" s="15" t="s">
        <v>63</v>
      </c>
    </row>
    <row r="296" spans="3:5" x14ac:dyDescent="0.25">
      <c r="E296" t="s">
        <v>69</v>
      </c>
    </row>
    <row r="297" spans="3:5" x14ac:dyDescent="0.25">
      <c r="C297" s="15" t="s">
        <v>119</v>
      </c>
      <c r="D297" t="s">
        <v>8</v>
      </c>
      <c r="E297" t="s">
        <v>45</v>
      </c>
    </row>
    <row r="298" spans="3:5" x14ac:dyDescent="0.25">
      <c r="E298" t="s">
        <v>48</v>
      </c>
    </row>
    <row r="299" spans="3:5" x14ac:dyDescent="0.25">
      <c r="E299" t="s">
        <v>52</v>
      </c>
    </row>
    <row r="300" spans="3:5" x14ac:dyDescent="0.25">
      <c r="E300" t="s">
        <v>58</v>
      </c>
    </row>
    <row r="301" spans="3:5" x14ac:dyDescent="0.25">
      <c r="E301" s="15" t="s">
        <v>63</v>
      </c>
    </row>
    <row r="302" spans="3:5" x14ac:dyDescent="0.25">
      <c r="E302" t="s">
        <v>69</v>
      </c>
    </row>
    <row r="303" spans="3:5" x14ac:dyDescent="0.25">
      <c r="C303" s="15" t="s">
        <v>119</v>
      </c>
      <c r="D303" t="s">
        <v>75</v>
      </c>
      <c r="E303" t="s">
        <v>45</v>
      </c>
    </row>
    <row r="304" spans="3:5" x14ac:dyDescent="0.25">
      <c r="E304" t="s">
        <v>48</v>
      </c>
    </row>
    <row r="305" spans="3:5" x14ac:dyDescent="0.25">
      <c r="E305" t="s">
        <v>52</v>
      </c>
    </row>
    <row r="306" spans="3:5" x14ac:dyDescent="0.25">
      <c r="E306" t="s">
        <v>58</v>
      </c>
    </row>
    <row r="307" spans="3:5" x14ac:dyDescent="0.25">
      <c r="E307" s="15" t="s">
        <v>63</v>
      </c>
    </row>
    <row r="308" spans="3:5" x14ac:dyDescent="0.25">
      <c r="E308" t="s">
        <v>69</v>
      </c>
    </row>
    <row r="309" spans="3:5" x14ac:dyDescent="0.25">
      <c r="C309" s="15" t="s">
        <v>119</v>
      </c>
      <c r="D309" t="s">
        <v>93</v>
      </c>
      <c r="E309" t="s">
        <v>45</v>
      </c>
    </row>
    <row r="310" spans="3:5" x14ac:dyDescent="0.25">
      <c r="E310" t="s">
        <v>48</v>
      </c>
    </row>
    <row r="311" spans="3:5" x14ac:dyDescent="0.25">
      <c r="E311" t="s">
        <v>52</v>
      </c>
    </row>
    <row r="312" spans="3:5" x14ac:dyDescent="0.25">
      <c r="E312" t="s">
        <v>58</v>
      </c>
    </row>
    <row r="313" spans="3:5" x14ac:dyDescent="0.25">
      <c r="E313" s="15" t="s">
        <v>63</v>
      </c>
    </row>
    <row r="314" spans="3:5" x14ac:dyDescent="0.25">
      <c r="E314" t="s">
        <v>69</v>
      </c>
    </row>
    <row r="315" spans="3:5" x14ac:dyDescent="0.25">
      <c r="C315" s="15" t="s">
        <v>119</v>
      </c>
      <c r="D315" t="s">
        <v>101</v>
      </c>
      <c r="E315" t="s">
        <v>45</v>
      </c>
    </row>
    <row r="316" spans="3:5" x14ac:dyDescent="0.25">
      <c r="E316" t="s">
        <v>48</v>
      </c>
    </row>
    <row r="317" spans="3:5" x14ac:dyDescent="0.25">
      <c r="E317" t="s">
        <v>52</v>
      </c>
    </row>
    <row r="318" spans="3:5" x14ac:dyDescent="0.25">
      <c r="E318" t="s">
        <v>58</v>
      </c>
    </row>
    <row r="319" spans="3:5" x14ac:dyDescent="0.25">
      <c r="E319" s="15" t="s">
        <v>63</v>
      </c>
    </row>
    <row r="320" spans="3:5" x14ac:dyDescent="0.25">
      <c r="E320" t="s">
        <v>69</v>
      </c>
    </row>
    <row r="321" spans="3:5" x14ac:dyDescent="0.25">
      <c r="C321" s="15" t="s">
        <v>119</v>
      </c>
      <c r="D321" t="s">
        <v>87</v>
      </c>
      <c r="E321" t="s">
        <v>45</v>
      </c>
    </row>
    <row r="322" spans="3:5" x14ac:dyDescent="0.25">
      <c r="E322" t="s">
        <v>48</v>
      </c>
    </row>
    <row r="323" spans="3:5" x14ac:dyDescent="0.25">
      <c r="E323" t="s">
        <v>52</v>
      </c>
    </row>
    <row r="324" spans="3:5" x14ac:dyDescent="0.25">
      <c r="E324" t="s">
        <v>58</v>
      </c>
    </row>
    <row r="325" spans="3:5" x14ac:dyDescent="0.25">
      <c r="E325" s="15" t="s">
        <v>63</v>
      </c>
    </row>
    <row r="326" spans="3:5" x14ac:dyDescent="0.25">
      <c r="E326" t="s">
        <v>69</v>
      </c>
    </row>
    <row r="327" spans="3:5" x14ac:dyDescent="0.25">
      <c r="C327" s="15" t="s">
        <v>119</v>
      </c>
      <c r="D327" t="s">
        <v>91</v>
      </c>
      <c r="E327" t="s">
        <v>45</v>
      </c>
    </row>
    <row r="328" spans="3:5" x14ac:dyDescent="0.25">
      <c r="E328" t="s">
        <v>48</v>
      </c>
    </row>
    <row r="329" spans="3:5" x14ac:dyDescent="0.25">
      <c r="E329" t="s">
        <v>52</v>
      </c>
    </row>
    <row r="330" spans="3:5" x14ac:dyDescent="0.25">
      <c r="E330" t="s">
        <v>58</v>
      </c>
    </row>
    <row r="331" spans="3:5" x14ac:dyDescent="0.25">
      <c r="E331" s="15" t="s">
        <v>63</v>
      </c>
    </row>
    <row r="332" spans="3:5" x14ac:dyDescent="0.25">
      <c r="E332" t="s">
        <v>69</v>
      </c>
    </row>
    <row r="333" spans="3:5" x14ac:dyDescent="0.25">
      <c r="C333" s="15" t="s">
        <v>119</v>
      </c>
      <c r="D333" t="s">
        <v>69</v>
      </c>
      <c r="E333" t="s">
        <v>45</v>
      </c>
    </row>
    <row r="334" spans="3:5" x14ac:dyDescent="0.25">
      <c r="E334" t="s">
        <v>48</v>
      </c>
    </row>
    <row r="335" spans="3:5" x14ac:dyDescent="0.25">
      <c r="E335" t="s">
        <v>52</v>
      </c>
    </row>
    <row r="336" spans="3:5" x14ac:dyDescent="0.25">
      <c r="E336" t="s">
        <v>58</v>
      </c>
    </row>
    <row r="337" spans="3:5" x14ac:dyDescent="0.25">
      <c r="E337" s="15" t="s">
        <v>63</v>
      </c>
    </row>
    <row r="338" spans="3:5" x14ac:dyDescent="0.25">
      <c r="E338" t="s">
        <v>69</v>
      </c>
    </row>
    <row r="339" spans="3:5" x14ac:dyDescent="0.25">
      <c r="C339" s="15" t="s">
        <v>120</v>
      </c>
      <c r="D339" t="s">
        <v>8</v>
      </c>
      <c r="E339" t="s">
        <v>45</v>
      </c>
    </row>
    <row r="340" spans="3:5" x14ac:dyDescent="0.25">
      <c r="E340" t="s">
        <v>48</v>
      </c>
    </row>
    <row r="341" spans="3:5" x14ac:dyDescent="0.25">
      <c r="E341" t="s">
        <v>52</v>
      </c>
    </row>
    <row r="342" spans="3:5" x14ac:dyDescent="0.25">
      <c r="E342" t="s">
        <v>58</v>
      </c>
    </row>
    <row r="343" spans="3:5" x14ac:dyDescent="0.25">
      <c r="E343" s="15" t="s">
        <v>63</v>
      </c>
    </row>
    <row r="344" spans="3:5" x14ac:dyDescent="0.25">
      <c r="E344" t="s">
        <v>69</v>
      </c>
    </row>
    <row r="345" spans="3:5" x14ac:dyDescent="0.25">
      <c r="C345" s="15" t="s">
        <v>120</v>
      </c>
      <c r="D345" t="s">
        <v>75</v>
      </c>
      <c r="E345" t="s">
        <v>45</v>
      </c>
    </row>
    <row r="346" spans="3:5" x14ac:dyDescent="0.25">
      <c r="E346" t="s">
        <v>48</v>
      </c>
    </row>
    <row r="347" spans="3:5" x14ac:dyDescent="0.25">
      <c r="E347" t="s">
        <v>52</v>
      </c>
    </row>
    <row r="348" spans="3:5" x14ac:dyDescent="0.25">
      <c r="E348" t="s">
        <v>58</v>
      </c>
    </row>
    <row r="349" spans="3:5" x14ac:dyDescent="0.25">
      <c r="E349" s="15" t="s">
        <v>63</v>
      </c>
    </row>
    <row r="350" spans="3:5" x14ac:dyDescent="0.25">
      <c r="E350" t="s">
        <v>69</v>
      </c>
    </row>
    <row r="351" spans="3:5" x14ac:dyDescent="0.25">
      <c r="C351" s="15" t="s">
        <v>120</v>
      </c>
      <c r="D351" t="s">
        <v>93</v>
      </c>
      <c r="E351" t="s">
        <v>45</v>
      </c>
    </row>
    <row r="352" spans="3:5" x14ac:dyDescent="0.25">
      <c r="E352" t="s">
        <v>48</v>
      </c>
    </row>
    <row r="353" spans="3:5" x14ac:dyDescent="0.25">
      <c r="E353" t="s">
        <v>52</v>
      </c>
    </row>
    <row r="354" spans="3:5" x14ac:dyDescent="0.25">
      <c r="E354" t="s">
        <v>58</v>
      </c>
    </row>
    <row r="355" spans="3:5" x14ac:dyDescent="0.25">
      <c r="E355" s="15" t="s">
        <v>63</v>
      </c>
    </row>
    <row r="356" spans="3:5" x14ac:dyDescent="0.25">
      <c r="E356" t="s">
        <v>69</v>
      </c>
    </row>
    <row r="357" spans="3:5" x14ac:dyDescent="0.25">
      <c r="C357" s="15" t="s">
        <v>120</v>
      </c>
      <c r="D357" t="s">
        <v>101</v>
      </c>
      <c r="E357" t="s">
        <v>45</v>
      </c>
    </row>
    <row r="358" spans="3:5" x14ac:dyDescent="0.25">
      <c r="E358" t="s">
        <v>48</v>
      </c>
    </row>
    <row r="359" spans="3:5" x14ac:dyDescent="0.25">
      <c r="E359" t="s">
        <v>52</v>
      </c>
    </row>
    <row r="360" spans="3:5" x14ac:dyDescent="0.25">
      <c r="E360" t="s">
        <v>58</v>
      </c>
    </row>
    <row r="361" spans="3:5" x14ac:dyDescent="0.25">
      <c r="E361" s="15" t="s">
        <v>63</v>
      </c>
    </row>
    <row r="362" spans="3:5" x14ac:dyDescent="0.25">
      <c r="E362" t="s">
        <v>69</v>
      </c>
    </row>
    <row r="363" spans="3:5" x14ac:dyDescent="0.25">
      <c r="C363" s="15" t="s">
        <v>120</v>
      </c>
      <c r="D363" t="s">
        <v>87</v>
      </c>
      <c r="E363" t="s">
        <v>45</v>
      </c>
    </row>
    <row r="364" spans="3:5" x14ac:dyDescent="0.25">
      <c r="E364" t="s">
        <v>48</v>
      </c>
    </row>
    <row r="365" spans="3:5" x14ac:dyDescent="0.25">
      <c r="E365" t="s">
        <v>52</v>
      </c>
    </row>
    <row r="366" spans="3:5" x14ac:dyDescent="0.25">
      <c r="E366" t="s">
        <v>58</v>
      </c>
    </row>
    <row r="367" spans="3:5" x14ac:dyDescent="0.25">
      <c r="E367" s="15" t="s">
        <v>63</v>
      </c>
    </row>
    <row r="368" spans="3:5" x14ac:dyDescent="0.25">
      <c r="E368" t="s">
        <v>69</v>
      </c>
    </row>
    <row r="369" spans="3:5" x14ac:dyDescent="0.25">
      <c r="C369" s="15" t="s">
        <v>120</v>
      </c>
      <c r="D369" t="s">
        <v>91</v>
      </c>
      <c r="E369" t="s">
        <v>45</v>
      </c>
    </row>
    <row r="370" spans="3:5" x14ac:dyDescent="0.25">
      <c r="E370" t="s">
        <v>48</v>
      </c>
    </row>
    <row r="371" spans="3:5" x14ac:dyDescent="0.25">
      <c r="E371" t="s">
        <v>52</v>
      </c>
    </row>
    <row r="372" spans="3:5" x14ac:dyDescent="0.25">
      <c r="E372" t="s">
        <v>58</v>
      </c>
    </row>
    <row r="373" spans="3:5" x14ac:dyDescent="0.25">
      <c r="E373" s="15" t="s">
        <v>63</v>
      </c>
    </row>
    <row r="374" spans="3:5" x14ac:dyDescent="0.25">
      <c r="E374" t="s">
        <v>69</v>
      </c>
    </row>
    <row r="375" spans="3:5" x14ac:dyDescent="0.25">
      <c r="C375" s="15" t="s">
        <v>120</v>
      </c>
      <c r="D375" t="s">
        <v>69</v>
      </c>
      <c r="E375" t="s">
        <v>45</v>
      </c>
    </row>
    <row r="376" spans="3:5" x14ac:dyDescent="0.25">
      <c r="E376" t="s">
        <v>48</v>
      </c>
    </row>
    <row r="377" spans="3:5" x14ac:dyDescent="0.25">
      <c r="E377" t="s">
        <v>52</v>
      </c>
    </row>
    <row r="378" spans="3:5" x14ac:dyDescent="0.25">
      <c r="E378" t="s">
        <v>58</v>
      </c>
    </row>
    <row r="379" spans="3:5" x14ac:dyDescent="0.25">
      <c r="E379" s="15" t="s">
        <v>63</v>
      </c>
    </row>
    <row r="380" spans="3:5" x14ac:dyDescent="0.25">
      <c r="E380" t="s">
        <v>69</v>
      </c>
    </row>
    <row r="381" spans="3:5" x14ac:dyDescent="0.25">
      <c r="C381" t="s">
        <v>121</v>
      </c>
      <c r="D381" s="15" t="s">
        <v>71</v>
      </c>
      <c r="E381" t="s">
        <v>45</v>
      </c>
    </row>
    <row r="382" spans="3:5" x14ac:dyDescent="0.25">
      <c r="E382" t="s">
        <v>48</v>
      </c>
    </row>
    <row r="383" spans="3:5" x14ac:dyDescent="0.25">
      <c r="E383" t="s">
        <v>52</v>
      </c>
    </row>
    <row r="384" spans="3:5" x14ac:dyDescent="0.25">
      <c r="E384" t="s">
        <v>58</v>
      </c>
    </row>
    <row r="385" spans="3:5" x14ac:dyDescent="0.25">
      <c r="E385" s="15" t="s">
        <v>63</v>
      </c>
    </row>
    <row r="386" spans="3:5" x14ac:dyDescent="0.25">
      <c r="E386" t="s">
        <v>69</v>
      </c>
    </row>
    <row r="387" spans="3:5" x14ac:dyDescent="0.25">
      <c r="C387" t="s">
        <v>121</v>
      </c>
      <c r="D387" t="s">
        <v>77</v>
      </c>
      <c r="E387" t="s">
        <v>45</v>
      </c>
    </row>
    <row r="388" spans="3:5" x14ac:dyDescent="0.25">
      <c r="E388" t="s">
        <v>48</v>
      </c>
    </row>
    <row r="389" spans="3:5" x14ac:dyDescent="0.25">
      <c r="E389" t="s">
        <v>52</v>
      </c>
    </row>
    <row r="390" spans="3:5" x14ac:dyDescent="0.25">
      <c r="E390" t="s">
        <v>58</v>
      </c>
    </row>
    <row r="391" spans="3:5" x14ac:dyDescent="0.25">
      <c r="E391" s="15" t="s">
        <v>63</v>
      </c>
    </row>
    <row r="392" spans="3:5" x14ac:dyDescent="0.25">
      <c r="E392" t="s">
        <v>69</v>
      </c>
    </row>
    <row r="393" spans="3:5" x14ac:dyDescent="0.25">
      <c r="C393" s="15" t="s">
        <v>49</v>
      </c>
      <c r="D393" s="15" t="s">
        <v>49</v>
      </c>
      <c r="E393" t="s">
        <v>45</v>
      </c>
    </row>
    <row r="394" spans="3:5" x14ac:dyDescent="0.25">
      <c r="E394" t="s">
        <v>48</v>
      </c>
    </row>
    <row r="395" spans="3:5" x14ac:dyDescent="0.25">
      <c r="E395" t="s">
        <v>52</v>
      </c>
    </row>
    <row r="396" spans="3:5" x14ac:dyDescent="0.25">
      <c r="E396" t="s">
        <v>58</v>
      </c>
    </row>
    <row r="397" spans="3:5" x14ac:dyDescent="0.25">
      <c r="E397" s="15" t="s">
        <v>63</v>
      </c>
    </row>
    <row r="398" spans="3:5" x14ac:dyDescent="0.25">
      <c r="E398" t="s">
        <v>69</v>
      </c>
    </row>
    <row r="399" spans="3:5" x14ac:dyDescent="0.25">
      <c r="C399" t="s">
        <v>122</v>
      </c>
      <c r="D399" t="s">
        <v>122</v>
      </c>
      <c r="E399" t="s">
        <v>45</v>
      </c>
    </row>
    <row r="400" spans="3:5" x14ac:dyDescent="0.25">
      <c r="E400" t="s">
        <v>48</v>
      </c>
    </row>
    <row r="401" spans="5:5" x14ac:dyDescent="0.25">
      <c r="E401" t="s">
        <v>52</v>
      </c>
    </row>
    <row r="402" spans="5:5" x14ac:dyDescent="0.25">
      <c r="E402" t="s">
        <v>58</v>
      </c>
    </row>
    <row r="403" spans="5:5" x14ac:dyDescent="0.25">
      <c r="E403" s="15" t="s">
        <v>63</v>
      </c>
    </row>
    <row r="404" spans="5:5" x14ac:dyDescent="0.25">
      <c r="E404" t="s">
        <v>69</v>
      </c>
    </row>
  </sheetData>
  <autoFilter ref="A2:L2" xr:uid="{21516C4F-9413-4383-81F2-625CBC68FB2B}"/>
  <sortState xmlns:xlrd2="http://schemas.microsoft.com/office/spreadsheetml/2017/richdata2" ref="A3:E398">
    <sortCondition ref="B2"/>
  </sortState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5F0FCC4A4F65246B8314C989581267A" ma:contentTypeVersion="16" ma:contentTypeDescription="Crear nuevo documento." ma:contentTypeScope="" ma:versionID="91fcd53eb4621b5d8d9bb6a74281d5f2">
  <xsd:schema xmlns:xsd="http://www.w3.org/2001/XMLSchema" xmlns:xs="http://www.w3.org/2001/XMLSchema" xmlns:p="http://schemas.microsoft.com/office/2006/metadata/properties" xmlns:ns2="b706d333-b1b7-46c5-af41-310da37cd499" xmlns:ns3="9a95d6a5-e0ea-44b8-9dd7-4c06c88f675c" targetNamespace="http://schemas.microsoft.com/office/2006/metadata/properties" ma:root="true" ma:fieldsID="5b3e33c77c8a69fe7cea7c576a3940fc" ns2:_="" ns3:_="">
    <xsd:import namespace="b706d333-b1b7-46c5-af41-310da37cd499"/>
    <xsd:import namespace="9a95d6a5-e0ea-44b8-9dd7-4c06c88f67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06d333-b1b7-46c5-af41-310da37cd4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35a71a5-b7c6-4117-966b-d06ce8abeb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95d6a5-e0ea-44b8-9dd7-4c06c88f67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a6fd1525-c014-4e07-aee2-63c04fdb367b}" ma:internalName="TaxCatchAll" ma:showField="CatchAllData" ma:web="9a95d6a5-e0ea-44b8-9dd7-4c06c88f67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706d333-b1b7-46c5-af41-310da37cd499">
      <Terms xmlns="http://schemas.microsoft.com/office/infopath/2007/PartnerControls"/>
    </lcf76f155ced4ddcb4097134ff3c332f>
    <TaxCatchAll xmlns="9a95d6a5-e0ea-44b8-9dd7-4c06c88f675c" xsi:nil="true"/>
  </documentManagement>
</p:properties>
</file>

<file path=customXml/itemProps1.xml><?xml version="1.0" encoding="utf-8"?>
<ds:datastoreItem xmlns:ds="http://schemas.openxmlformats.org/officeDocument/2006/customXml" ds:itemID="{23A4430C-A199-4F2E-9CEA-8909F0D7C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350FD6-10E5-4DC3-8F77-3D14B384F5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06d333-b1b7-46c5-af41-310da37cd499"/>
    <ds:schemaRef ds:uri="9a95d6a5-e0ea-44b8-9dd7-4c06c88f67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D3C47CF-4D2D-4BD3-A8A6-E79659F74F46}">
  <ds:schemaRefs>
    <ds:schemaRef ds:uri="http://schemas.microsoft.com/office/2006/metadata/properties"/>
    <ds:schemaRef ds:uri="http://schemas.microsoft.com/office/infopath/2007/PartnerControls"/>
    <ds:schemaRef ds:uri="b706d333-b1b7-46c5-af41-310da37cd499"/>
    <ds:schemaRef ds:uri="9a95d6a5-e0ea-44b8-9dd7-4c06c88f675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Planilla</vt:lpstr>
      <vt:lpstr>Biblia</vt:lpstr>
      <vt:lpstr>Planilla (2)</vt:lpstr>
      <vt:lpstr>Datos base</vt:lpstr>
      <vt:lpstr>EventoExterno</vt:lpstr>
      <vt:lpstr>FormatoPromocion</vt:lpstr>
      <vt:lpstr>TipoEvento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Nubia Navarro</dc:creator>
  <cp:keywords/>
  <dc:description/>
  <cp:lastModifiedBy>Mathias Arenas</cp:lastModifiedBy>
  <cp:revision/>
  <dcterms:created xsi:type="dcterms:W3CDTF">2019-05-17T18:03:28Z</dcterms:created>
  <dcterms:modified xsi:type="dcterms:W3CDTF">2026-07-21T18:49:45Z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0x01010045F0FCC4A4F65246B8314C989581267A</vt:lpwstr>
  </property>
  <property fmtid="{D5CDD505-2E9C-101B-9397-08002B2CF9AE}" pid="3" name="MediaServiceImageTags">
    <vt:lpwstr/>
  </property>
</Properties>
</file>